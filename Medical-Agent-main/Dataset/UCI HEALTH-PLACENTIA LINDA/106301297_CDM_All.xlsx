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S:\OSHPD files\2025\Final Files for submission\Placentia Linda\"/>
    </mc:Choice>
  </mc:AlternateContent>
  <xr:revisionPtr revIDLastSave="0" documentId="13_ncr:1_{3990B1FE-9263-424B-A40D-95105034E5D7}" xr6:coauthVersionLast="47" xr6:coauthVersionMax="47" xr10:uidLastSave="{00000000-0000-0000-0000-000000000000}"/>
  <bookViews>
    <workbookView xWindow="-120" yWindow="-120" windowWidth="29040" windowHeight="15840" xr2:uid="{19C9B88B-7DCE-47FF-A8DC-078230A2D0AA}"/>
  </bookViews>
  <sheets>
    <sheet name="106301297_CDM" sheetId="1" r:id="rId1"/>
    <sheet name="106301297_Common 25" sheetId="2" r:id="rId2"/>
    <sheet name="106301297_PCT_CHG" sheetId="4" r:id="rId3"/>
  </sheets>
  <definedNames>
    <definedName name="_xlnm._FilterDatabase" localSheetId="0" hidden="1">'106301297_CDM'!$A$5:$G$4448</definedName>
    <definedName name="_xlnm._FilterDatabase" localSheetId="2" hidden="1">'106301297_PCT_CHG'!$A$4:$K$2885</definedName>
    <definedName name="_xlnm.Print_Area" localSheetId="0">'106301297_CDM'!$A:$G</definedName>
    <definedName name="_xlnm.Print_Area" localSheetId="1">'106301297_Common 25'!$A:$C</definedName>
    <definedName name="_xlnm.Print_Area" localSheetId="2">'106301297_PCT_CHG'!$A:$K</definedName>
    <definedName name="_xlnm.Print_Titles" localSheetId="0">'106301297_CDM'!$5:$5</definedName>
    <definedName name="_xlnm.Print_Titles" localSheetId="1">'106301297_Common 25'!$1:$4</definedName>
    <definedName name="_xlnm.Print_Titles" localSheetId="2">'106301297_PCT_CHG'!$4:$4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90" i="4" l="1"/>
  <c r="B2889" i="4"/>
  <c r="H2886" i="4"/>
  <c r="G2886" i="4"/>
  <c r="E2886" i="4"/>
  <c r="F2886" i="4"/>
  <c r="C69" i="2"/>
  <c r="B2891" i="4" l="1"/>
</calcChain>
</file>

<file path=xl/sharedStrings.xml><?xml version="1.0" encoding="utf-8"?>
<sst xmlns="http://schemas.openxmlformats.org/spreadsheetml/2006/main" count="29799" uniqueCount="13196">
  <si>
    <t>HSP</t>
  </si>
  <si>
    <t>CHARGE CODE</t>
  </si>
  <si>
    <t>CHARGE DESRIPTION</t>
  </si>
  <si>
    <t>BILLING DESCRIPTION</t>
  </si>
  <si>
    <t>HOSPITAL CHARGE</t>
  </si>
  <si>
    <t>PF</t>
  </si>
  <si>
    <t>COMMENTS</t>
  </si>
  <si>
    <t>UPA</t>
  </si>
  <si>
    <t>0020100020</t>
  </si>
  <si>
    <t>SEMI-PRIVATE ROOM</t>
  </si>
  <si>
    <t>SEMI-PRIVATE</t>
  </si>
  <si>
    <t>0020100228</t>
  </si>
  <si>
    <t>INTENSIVE CARE UNIT</t>
  </si>
  <si>
    <t>ICU GEN</t>
  </si>
  <si>
    <t>0020100624</t>
  </si>
  <si>
    <t>INTENSIVE CARE INTERMED</t>
  </si>
  <si>
    <t>ICU INTERMED</t>
  </si>
  <si>
    <t>0021200027</t>
  </si>
  <si>
    <t>0021500020</t>
  </si>
  <si>
    <t>0021500228</t>
  </si>
  <si>
    <t>0021500277</t>
  </si>
  <si>
    <t>ADMIN DAY LEVEL I</t>
  </si>
  <si>
    <t>ADMIN DAY LEVEL</t>
  </si>
  <si>
    <t>0021500285</t>
  </si>
  <si>
    <t>ADMIN DAY ADULT LEVEL II</t>
  </si>
  <si>
    <t>ADMIN DAY ADULT</t>
  </si>
  <si>
    <t>0021500624</t>
  </si>
  <si>
    <t>0023300023</t>
  </si>
  <si>
    <t>0023300270</t>
  </si>
  <si>
    <t>0023300288</t>
  </si>
  <si>
    <t>0023300627</t>
  </si>
  <si>
    <t>0030800155</t>
  </si>
  <si>
    <t>LITHOTRIPSY OTHER</t>
  </si>
  <si>
    <t>LITHOTRIPSY</t>
  </si>
  <si>
    <t>0030805907</t>
  </si>
  <si>
    <t>0030830103</t>
  </si>
  <si>
    <t>SPEC PROC W/LITHO</t>
  </si>
  <si>
    <t>SP PROC W/LITHO</t>
  </si>
  <si>
    <t>0032102329</t>
  </si>
  <si>
    <t>INJECT-PLT RICH PLASMA</t>
  </si>
  <si>
    <t>INJ-PLTRICHPLAS</t>
  </si>
  <si>
    <t>0032135501</t>
  </si>
  <si>
    <t>SURG LEVEL I INT 30 MIN</t>
  </si>
  <si>
    <t>SURG LVI INT30</t>
  </si>
  <si>
    <t>0032135519</t>
  </si>
  <si>
    <t>SURG LEVEL I EA ADD 15 MIN</t>
  </si>
  <si>
    <t>SURG LVI EA15</t>
  </si>
  <si>
    <t>0032135527</t>
  </si>
  <si>
    <t>SURG LEVEL II INT 30 MIN</t>
  </si>
  <si>
    <t>SURG LVII INT30</t>
  </si>
  <si>
    <t>0032135535</t>
  </si>
  <si>
    <t>SURG LEVEL II EA ADD 15 MIN</t>
  </si>
  <si>
    <t>SURG LVII EA15</t>
  </si>
  <si>
    <t>0032135543</t>
  </si>
  <si>
    <t>SURG LEVEL III INT 30 MIN</t>
  </si>
  <si>
    <t>SURG LVIII INT3</t>
  </si>
  <si>
    <t>0032135550</t>
  </si>
  <si>
    <t>SURG LEVEL III EA ADD 15 MIN</t>
  </si>
  <si>
    <t>SURG LVIII EA15</t>
  </si>
  <si>
    <t>0032135568</t>
  </si>
  <si>
    <t>SURG LEVEL IV INT 30 MIN</t>
  </si>
  <si>
    <t>SURG LVIV INT30</t>
  </si>
  <si>
    <t>0032135576</t>
  </si>
  <si>
    <t>SURG LEVEL IV EA ADD 15 MIN</t>
  </si>
  <si>
    <t>SURG LVIV EA15</t>
  </si>
  <si>
    <t>0032135725</t>
  </si>
  <si>
    <t>RBTCS DAVN LVL II INT 30 MIN</t>
  </si>
  <si>
    <t xml:space="preserve">RBT DAVN LV II </t>
  </si>
  <si>
    <t>0032135733</t>
  </si>
  <si>
    <t>RBTCS DAVN LVL II EA 15 MIN</t>
  </si>
  <si>
    <t>0032135741</t>
  </si>
  <si>
    <t>RBTCS DAVN LVL III INT 30 MIN</t>
  </si>
  <si>
    <t>RBT DAVN LV III</t>
  </si>
  <si>
    <t>0032135758</t>
  </si>
  <si>
    <t>RBTCS DAVN LVL III EA 15 MIN</t>
  </si>
  <si>
    <t>0032135766</t>
  </si>
  <si>
    <t>RBTCS DAVN LVL IV INT 30 MIN</t>
  </si>
  <si>
    <t xml:space="preserve">RBT DAVN LV IV </t>
  </si>
  <si>
    <t>0032135774</t>
  </si>
  <si>
    <t>RBTCS DAVN LVL IV EA 15 MIN</t>
  </si>
  <si>
    <t>0032168916</t>
  </si>
  <si>
    <t>BLD AUTOSLV INTRA/PSOP</t>
  </si>
  <si>
    <t>BLD AUTOSLV</t>
  </si>
  <si>
    <t>0032210007</t>
  </si>
  <si>
    <t>SPEC PROC INIT 30 MIN</t>
  </si>
  <si>
    <t>SPEC PROC INT30</t>
  </si>
  <si>
    <t>0032210155</t>
  </si>
  <si>
    <t>SPEC PROC EA ADDL 15 MIN</t>
  </si>
  <si>
    <t>SPEC PROC EA15M</t>
  </si>
  <si>
    <t>0032235707</t>
  </si>
  <si>
    <t>RECOVERY INIT 30 MIN</t>
  </si>
  <si>
    <t>RECOVERY INT 30</t>
  </si>
  <si>
    <t>0032235715</t>
  </si>
  <si>
    <t>RECOVERY EA ADDL 15 MIN</t>
  </si>
  <si>
    <t>RECOVERY EA 15M</t>
  </si>
  <si>
    <t>0037000205</t>
  </si>
  <si>
    <t>GEN ANES W/RAD INIT 30MIN</t>
  </si>
  <si>
    <t>ANES W/RAD INIT</t>
  </si>
  <si>
    <t>0037000239</t>
  </si>
  <si>
    <t>GEN ANES W/RAD EA ADD15</t>
  </si>
  <si>
    <t>ANES W/RAD 15M</t>
  </si>
  <si>
    <t>0037035607</t>
  </si>
  <si>
    <t>ANESTHESIA INIT 30 MIN</t>
  </si>
  <si>
    <t>ANESTH INT 30M</t>
  </si>
  <si>
    <t>0037035615</t>
  </si>
  <si>
    <t>ANESTHESIA EA ADD 15 MIN</t>
  </si>
  <si>
    <t>ANESTH EA ADD15</t>
  </si>
  <si>
    <t>0040000812</t>
  </si>
  <si>
    <t>DFB ILIVIA NEO 7 VR-T 429531</t>
  </si>
  <si>
    <t xml:space="preserve">DFB ILIVIA NEO </t>
  </si>
  <si>
    <t>0040000820</t>
  </si>
  <si>
    <t>DFB ACTICOR 7 HF-T QP 429522</t>
  </si>
  <si>
    <t>DFB ACTICOR 7 H</t>
  </si>
  <si>
    <t>0040000838</t>
  </si>
  <si>
    <t>DFB ACTICOR HF-T CRT-DX 429523</t>
  </si>
  <si>
    <t>DFB ACTICOR</t>
  </si>
  <si>
    <t>0040000846</t>
  </si>
  <si>
    <t>DFB ACTICOR 7 VR-T DX 429525</t>
  </si>
  <si>
    <t>DFB ACTICOR DX</t>
  </si>
  <si>
    <t>0040001349</t>
  </si>
  <si>
    <t>DFIB ILIVIA NEO 7 DR-T 429529</t>
  </si>
  <si>
    <t>DFIB ILIVIA NEO</t>
  </si>
  <si>
    <t>0040001745</t>
  </si>
  <si>
    <t>DFB VIGILANT EL MRI VR D232</t>
  </si>
  <si>
    <t>DFB VIGILANT</t>
  </si>
  <si>
    <t>0040001877</t>
  </si>
  <si>
    <t>DFB ELLIPSE DR CD241136Q</t>
  </si>
  <si>
    <t>DFIB ELLIPSE</t>
  </si>
  <si>
    <t>0040002339</t>
  </si>
  <si>
    <t>DFB RESONATE X4 CRT-D G447</t>
  </si>
  <si>
    <t>DFB RESONATE</t>
  </si>
  <si>
    <t>R</t>
  </si>
  <si>
    <t>0040002347</t>
  </si>
  <si>
    <t>DFB RESONATE EL DR D433</t>
  </si>
  <si>
    <t>0040002354</t>
  </si>
  <si>
    <t>DFB RESONATE EL VR D432</t>
  </si>
  <si>
    <t>0040002362</t>
  </si>
  <si>
    <t>DFB RIVACOR 7 HF-T QP 429532</t>
  </si>
  <si>
    <t>DFB RIVACOR 7 H</t>
  </si>
  <si>
    <t>0040002370</t>
  </si>
  <si>
    <t>DFB RIVACOR 7 DR-T 429534</t>
  </si>
  <si>
    <t>DFB RIVACOR 7 D</t>
  </si>
  <si>
    <t>0040002388</t>
  </si>
  <si>
    <t>DFB RIVACOR 7 VR-T 429536</t>
  </si>
  <si>
    <t>DFB RIVACOR 7 V</t>
  </si>
  <si>
    <t>0040002917</t>
  </si>
  <si>
    <t>DFB GALLNT DC ICD DR CDDRA500Q</t>
  </si>
  <si>
    <t xml:space="preserve">DFB GALLANT DC </t>
  </si>
  <si>
    <t>0040002925</t>
  </si>
  <si>
    <t>DFB GALLANT CRT-D HF CDHFA500Q</t>
  </si>
  <si>
    <t>DFB GALLANT CRT</t>
  </si>
  <si>
    <t>0040003196</t>
  </si>
  <si>
    <t>IMP RCRD CRD LINQ II</t>
  </si>
  <si>
    <t>IMP RCRD CRD</t>
  </si>
  <si>
    <t>0040003220</t>
  </si>
  <si>
    <t>IMP MONITOR CARDIAC LUXDX</t>
  </si>
  <si>
    <t>IMP MONITOR CAR</t>
  </si>
  <si>
    <t>0040003626</t>
  </si>
  <si>
    <t>IMP POCKET ADPTR SPINAL</t>
  </si>
  <si>
    <t>IMP PCKET ADPTR</t>
  </si>
  <si>
    <t>0040003642</t>
  </si>
  <si>
    <t>IMP RCRD CRD REVEAL LINQ</t>
  </si>
  <si>
    <t>IMP REVEAL LINQ</t>
  </si>
  <si>
    <t>0040004160</t>
  </si>
  <si>
    <t>LD PLEXA PROMRI S DX 436909</t>
  </si>
  <si>
    <t>LD PLEXA PROMRI</t>
  </si>
  <si>
    <t>0040004178</t>
  </si>
  <si>
    <t>LD PLEXA PROMRI S DX 436910</t>
  </si>
  <si>
    <t>0040004327</t>
  </si>
  <si>
    <t>PM ASSURITY MRI PM1272</t>
  </si>
  <si>
    <t>PM ASSURITY</t>
  </si>
  <si>
    <t>0040004335</t>
  </si>
  <si>
    <t>PM ASSURITY MRI PM2272</t>
  </si>
  <si>
    <t>PM ASSURITY MRI</t>
  </si>
  <si>
    <t>0040004343</t>
  </si>
  <si>
    <t>PM AZURE XT DR MRI W1DR01</t>
  </si>
  <si>
    <t>PM AZURE XT DR</t>
  </si>
  <si>
    <t>0040004350</t>
  </si>
  <si>
    <t>PM AZURE XT SR MRI W1SR01</t>
  </si>
  <si>
    <t>PM AZURE XT SR</t>
  </si>
  <si>
    <t>0040004392</t>
  </si>
  <si>
    <t>PM AMVIA EDGE DR-T 460163</t>
  </si>
  <si>
    <t>PM AMVIA EDGE D</t>
  </si>
  <si>
    <t>0040012494</t>
  </si>
  <si>
    <t>PM VALITUDE X4 CRTP U125</t>
  </si>
  <si>
    <t>PM VALITUDE</t>
  </si>
  <si>
    <t>0040040875</t>
  </si>
  <si>
    <t>PM ACCOLADE DR MRI L311</t>
  </si>
  <si>
    <t>PM ACCOLADE</t>
  </si>
  <si>
    <t>0040040917</t>
  </si>
  <si>
    <t>PM ACCOLADE MRI SR L310</t>
  </si>
  <si>
    <t>0040040925</t>
  </si>
  <si>
    <t>PM ACCOLADE MRI EL L331</t>
  </si>
  <si>
    <t>0040041147</t>
  </si>
  <si>
    <t>PM ALLURE RF PM3222</t>
  </si>
  <si>
    <t>PM ALLURE RF</t>
  </si>
  <si>
    <t>0040041378</t>
  </si>
  <si>
    <t>PM EDORA PROMRI 407157</t>
  </si>
  <si>
    <t>PM EDORA SR-T</t>
  </si>
  <si>
    <t>0040041444</t>
  </si>
  <si>
    <t>PM EDORA PROMRI 407145</t>
  </si>
  <si>
    <t>PM EDORA DR-T</t>
  </si>
  <si>
    <t>0040041469</t>
  </si>
  <si>
    <t>PM EDORA 8 HF-T 407138</t>
  </si>
  <si>
    <t>PM EDORA 8 HF-T</t>
  </si>
  <si>
    <t>0040041816</t>
  </si>
  <si>
    <t>PM QUADRA ALLUR MP CRTP PM3562</t>
  </si>
  <si>
    <t>PM QUADRA ALLUR</t>
  </si>
  <si>
    <t>0040041832</t>
  </si>
  <si>
    <t>PM PERCEPTA QUAD MRI W4TR01</t>
  </si>
  <si>
    <t>PM PERCEPTA</t>
  </si>
  <si>
    <t>0040041980</t>
  </si>
  <si>
    <t>PM VISIONIST X4 CRT-P U228</t>
  </si>
  <si>
    <t>PM VISIONIST</t>
  </si>
  <si>
    <t>0040049942</t>
  </si>
  <si>
    <t>SYS ELCTRD DELVRY EMBLEM S-ICD</t>
  </si>
  <si>
    <t>SYS ELCTRODE DE</t>
  </si>
  <si>
    <t>0040050023</t>
  </si>
  <si>
    <t>SYS TRANSCATH PACE MICRA AV</t>
  </si>
  <si>
    <t>SYS TRANSCATH M</t>
  </si>
  <si>
    <t>0040055345</t>
  </si>
  <si>
    <t>EPIFIX PER SQ CM</t>
  </si>
  <si>
    <t>EPIFIX SQ CM</t>
  </si>
  <si>
    <t>0040082828</t>
  </si>
  <si>
    <t>DFIB COBALT XT HF CRTD DTPA2D4</t>
  </si>
  <si>
    <t xml:space="preserve">DFIB COBALT XT </t>
  </si>
  <si>
    <t>0040082844</t>
  </si>
  <si>
    <t>DFB COBALT CRTD DTPA2QQ</t>
  </si>
  <si>
    <t>DFB COBALT CRTD</t>
  </si>
  <si>
    <t>0040082869</t>
  </si>
  <si>
    <t>DFB COBALT CRTD DTPB2D4</t>
  </si>
  <si>
    <t>0040082901</t>
  </si>
  <si>
    <t>DFB COBALT DR MRI DDPB3D4</t>
  </si>
  <si>
    <t>DFB COBALT DR M</t>
  </si>
  <si>
    <t>0040083305</t>
  </si>
  <si>
    <t>DFB EVERA MRI XT DDMB1D4</t>
  </si>
  <si>
    <t>DFB EVERA MRI</t>
  </si>
  <si>
    <t>0040083339</t>
  </si>
  <si>
    <t>DFB EMBLEM MRI A219</t>
  </si>
  <si>
    <t>DFB EMBLEM</t>
  </si>
  <si>
    <t>0040083370</t>
  </si>
  <si>
    <t>DFB EVERA MRI XT DDMB1D1</t>
  </si>
  <si>
    <t>0040083388</t>
  </si>
  <si>
    <t>DFB ILIVIA PROMRI VR-T 404625</t>
  </si>
  <si>
    <t>DFB ILIVIA PROM</t>
  </si>
  <si>
    <t>0040083420</t>
  </si>
  <si>
    <t>DFB ILIVIA PROMRI DR-T 404622</t>
  </si>
  <si>
    <t>0040084238</t>
  </si>
  <si>
    <t>DFB UNIFY ASSUR 3357-40Q</t>
  </si>
  <si>
    <t>DFB UNIFY ASSUR</t>
  </si>
  <si>
    <t>0040084543</t>
  </si>
  <si>
    <t>DFB INTICA 7 HF-T 429553</t>
  </si>
  <si>
    <t>DFB INTICA 7</t>
  </si>
  <si>
    <t>0040084584</t>
  </si>
  <si>
    <t>DFB MOMENTUM IS-1 CRT-D G125</t>
  </si>
  <si>
    <t>DFB MOMENTUM</t>
  </si>
  <si>
    <t>0040084600</t>
  </si>
  <si>
    <t>DFB MOMENTUM CRT-D G124</t>
  </si>
  <si>
    <t>0040084618</t>
  </si>
  <si>
    <t>DFB MOMENTUM EL DR D121</t>
  </si>
  <si>
    <t>0040084667</t>
  </si>
  <si>
    <t>IMP GEN NSTIM ETERNA</t>
  </si>
  <si>
    <t>IMP GEN NSTIM E</t>
  </si>
  <si>
    <t>0040084691</t>
  </si>
  <si>
    <t>DFIB COBALT XT VR MRI DVPA2D4</t>
  </si>
  <si>
    <t>0040084709</t>
  </si>
  <si>
    <t>DFB INTICA NEO 7 VR-TDX 429559</t>
  </si>
  <si>
    <t xml:space="preserve">DFB INTICA NEO </t>
  </si>
  <si>
    <t>0040084782</t>
  </si>
  <si>
    <t>DFB VIGILANT EL DR D233</t>
  </si>
  <si>
    <t>0040084790</t>
  </si>
  <si>
    <t>DFB UNIFY ASSURA 335740C</t>
  </si>
  <si>
    <t>DFIB UNIFY ASSU</t>
  </si>
  <si>
    <t>0040084881</t>
  </si>
  <si>
    <t>DFB VISIA AF MRI DVFB1D4</t>
  </si>
  <si>
    <t>DFB VISIA</t>
  </si>
  <si>
    <t>0040084956</t>
  </si>
  <si>
    <t>DFB CLARIA MRI DTMA1D1</t>
  </si>
  <si>
    <t>DFB CLARIA MRI</t>
  </si>
  <si>
    <t>0040084964</t>
  </si>
  <si>
    <t>DFB VIGILANT X4 CRT-D G247</t>
  </si>
  <si>
    <t>DFB VIGILANT X4</t>
  </si>
  <si>
    <t>0040084998</t>
  </si>
  <si>
    <t>GEN NSTIM PRODIGY MRI</t>
  </si>
  <si>
    <t>GEN NSTIM PRODI</t>
  </si>
  <si>
    <t>0040085029</t>
  </si>
  <si>
    <t>GEN NSTIM PROCLAIM 3660</t>
  </si>
  <si>
    <t>GEN PROCLAIM</t>
  </si>
  <si>
    <t>0040085037</t>
  </si>
  <si>
    <t>NSTIM GASTRIC ENTERRA II</t>
  </si>
  <si>
    <t>NSTM ENTERRA II</t>
  </si>
  <si>
    <t>0040085243</t>
  </si>
  <si>
    <t>IMP NSTIM INTELLIS SENSOR MRI</t>
  </si>
  <si>
    <t>IMP NSTIM INTEL</t>
  </si>
  <si>
    <t>0040085250</t>
  </si>
  <si>
    <t>IMP MONITR CARD BIOMNTR3</t>
  </si>
  <si>
    <t>IMP BIOMONITOR3</t>
  </si>
  <si>
    <t>0040085300</t>
  </si>
  <si>
    <t>IMP MONITR CARD INS LUXDX M301</t>
  </si>
  <si>
    <t>IMP MONITR CARD</t>
  </si>
  <si>
    <t>0040085318</t>
  </si>
  <si>
    <t>IMP MONTR CRD BIOMNTR3M 450218</t>
  </si>
  <si>
    <t>IMP MONTR CRD B</t>
  </si>
  <si>
    <t>0040085326</t>
  </si>
  <si>
    <t>IMP GEN PULSE ALPHA WAVEWRITER</t>
  </si>
  <si>
    <t>IMP GEN PULSE A</t>
  </si>
  <si>
    <t>0040085334</t>
  </si>
  <si>
    <t>GEN NSTIM PULSE PROCLAIM 3664</t>
  </si>
  <si>
    <t xml:space="preserve">GEN NSTIM PLSE </t>
  </si>
  <si>
    <t>0040085516</t>
  </si>
  <si>
    <t>KT LD SLM TIP TRL MN10350-90A</t>
  </si>
  <si>
    <t xml:space="preserve">KT LD SLIM TIP </t>
  </si>
  <si>
    <t>0040085573</t>
  </si>
  <si>
    <t>KT LD TRIAL INFINION 16</t>
  </si>
  <si>
    <t>KT LEAD TRIAL</t>
  </si>
  <si>
    <t>0040085615</t>
  </si>
  <si>
    <t>KT LD MRI 1X8 COMP 977A2</t>
  </si>
  <si>
    <t>KT VECTRS SRSCN</t>
  </si>
  <si>
    <t>0040085623</t>
  </si>
  <si>
    <t>KT LD 1X8 COMP 977D260</t>
  </si>
  <si>
    <t>LT LD VECTRIS</t>
  </si>
  <si>
    <t>0040085649</t>
  </si>
  <si>
    <t>LD ACUITY X4 SPRL S 4674</t>
  </si>
  <si>
    <t>LD ACUITY X4</t>
  </si>
  <si>
    <t>0040085698</t>
  </si>
  <si>
    <t>LD ACUITY X4 SPRL L 4677</t>
  </si>
  <si>
    <t>0040085789</t>
  </si>
  <si>
    <t>LD DFB SPRINT SECR 6935M</t>
  </si>
  <si>
    <t>LD DFB SPRINT</t>
  </si>
  <si>
    <t>0040085805</t>
  </si>
  <si>
    <t>KT LD NSTIM OCTRODE 60CM</t>
  </si>
  <si>
    <t>KT LD NSTIM</t>
  </si>
  <si>
    <t>0040086233</t>
  </si>
  <si>
    <t>LD DFB OPTISURE LDA210Q</t>
  </si>
  <si>
    <t>LD DFB OPTISURE</t>
  </si>
  <si>
    <t>0040086373</t>
  </si>
  <si>
    <t>LD DFB PLEXA S 65 402266</t>
  </si>
  <si>
    <t>0040086449</t>
  </si>
  <si>
    <t>LD DFIB EMBLEM S-ICD 3501</t>
  </si>
  <si>
    <t xml:space="preserve">LD DFIB EMBLEM </t>
  </si>
  <si>
    <t>0040086514</t>
  </si>
  <si>
    <t>LD INGEVITY MRI 7741</t>
  </si>
  <si>
    <t>LD INGEVITY</t>
  </si>
  <si>
    <t>0040086597</t>
  </si>
  <si>
    <t>KT LD SLM TIP TRL MN10450-50A</t>
  </si>
  <si>
    <t>0040086985</t>
  </si>
  <si>
    <t>LD NSTIM INTERSTIM 3889</t>
  </si>
  <si>
    <t>LD INTERSTIM</t>
  </si>
  <si>
    <t>0040087009</t>
  </si>
  <si>
    <t>LD NSTIM TRIAL 3086</t>
  </si>
  <si>
    <t>LD NSTIM TRIAL</t>
  </si>
  <si>
    <t>0040087132</t>
  </si>
  <si>
    <t>LD PM INGEVITY MRI 7731</t>
  </si>
  <si>
    <t>0040087199</t>
  </si>
  <si>
    <t>LD PM INGEVITY+ 7841</t>
  </si>
  <si>
    <t>LD PM INGEVITY+</t>
  </si>
  <si>
    <t>0040087215</t>
  </si>
  <si>
    <t>LD PM INGEVITY+ 7842</t>
  </si>
  <si>
    <t>0040087223</t>
  </si>
  <si>
    <t>LD PM INGEVITY+ 7840</t>
  </si>
  <si>
    <t>0040087330</t>
  </si>
  <si>
    <t>LD PM SOLIA S</t>
  </si>
  <si>
    <t>0040087348</t>
  </si>
  <si>
    <t>LD PM SOLIA T</t>
  </si>
  <si>
    <t>0040087355</t>
  </si>
  <si>
    <t>LD PM SOLIA JT</t>
  </si>
  <si>
    <t>0040087363</t>
  </si>
  <si>
    <t>LD PM SOLIA JT 53 395134</t>
  </si>
  <si>
    <t>0040087421</t>
  </si>
  <si>
    <t>LD PM TENDRIL STS 2088TC</t>
  </si>
  <si>
    <t>LD PM TENDRIL</t>
  </si>
  <si>
    <t>0040087488</t>
  </si>
  <si>
    <t>LD PACE/SENS DFB SGL COIL 0673</t>
  </si>
  <si>
    <t>LD RELIANCE 4-F</t>
  </si>
  <si>
    <t>0040087496</t>
  </si>
  <si>
    <t>LD PACE/SENS DFB SGL COIL 0672</t>
  </si>
  <si>
    <t>0040088007</t>
  </si>
  <si>
    <t>LD QUARTET QUADPLR 1458Q</t>
  </si>
  <si>
    <t>LD QUARTET</t>
  </si>
  <si>
    <t>0040088213</t>
  </si>
  <si>
    <t>LD TENDRIL MRI LPA1200M</t>
  </si>
  <si>
    <t>LD TENDRIL MRI</t>
  </si>
  <si>
    <t>0040088361</t>
  </si>
  <si>
    <t>LD SENTUS PROMRI OTW 406082</t>
  </si>
  <si>
    <t>LD SENTUS PROMR</t>
  </si>
  <si>
    <t>0040088387</t>
  </si>
  <si>
    <t>LD SENTUS PROMRI OTW 408719</t>
  </si>
  <si>
    <t>0040099004</t>
  </si>
  <si>
    <t>IMP MONITR CARD BIOMNTR4</t>
  </si>
  <si>
    <t>IMP BIOMONITOR4</t>
  </si>
  <si>
    <t>0040099012</t>
  </si>
  <si>
    <t>IMP GEN PULSE REACTIV8 5100</t>
  </si>
  <si>
    <t>IMP GEN PULSE R</t>
  </si>
  <si>
    <t>0040099020</t>
  </si>
  <si>
    <t>LD STIM REACTIV8 8145</t>
  </si>
  <si>
    <t>LD STIM REACTIV</t>
  </si>
  <si>
    <t>0040099038</t>
  </si>
  <si>
    <t>DVC CHARGER SYSTEM ETERNA</t>
  </si>
  <si>
    <t>DVC CHARGER SYS</t>
  </si>
  <si>
    <t>0040099046</t>
  </si>
  <si>
    <t>LD ANCHOR BUTTERFLY 1105</t>
  </si>
  <si>
    <t>LD ANCHOR BUTTE</t>
  </si>
  <si>
    <t>0040106833</t>
  </si>
  <si>
    <t>IMP SECNDRY FX W/BIOCMP SW LCK</t>
  </si>
  <si>
    <t>SECND FIX W/BIO</t>
  </si>
  <si>
    <t>0040106858</t>
  </si>
  <si>
    <t>ANCH PEEK PUSH LCK</t>
  </si>
  <si>
    <t>ANCH PUSH LCK</t>
  </si>
  <si>
    <t>0040106874</t>
  </si>
  <si>
    <t>IMP BONE SUBST FOAM A/S</t>
  </si>
  <si>
    <t>IMP BONE SUBST</t>
  </si>
  <si>
    <t>0040106890</t>
  </si>
  <si>
    <t>IMP BDY PCT PROXIMAL AEQUALIS</t>
  </si>
  <si>
    <t>IMP BDY PCT PRO</t>
  </si>
  <si>
    <t>0040106973</t>
  </si>
  <si>
    <t>ANCH BIO-SWVLK C DBL #2 TIGRTL</t>
  </si>
  <si>
    <t xml:space="preserve">ANCH BIO-SWVLK </t>
  </si>
  <si>
    <t>0040106981</t>
  </si>
  <si>
    <t>ANCH LINK KNOTLS QUATTRO</t>
  </si>
  <si>
    <t>ANCH LINK KNTLS</t>
  </si>
  <si>
    <t>0040106999</t>
  </si>
  <si>
    <t>ANCH SUT ALLTHREAD</t>
  </si>
  <si>
    <t>ANCH SUTURE</t>
  </si>
  <si>
    <t>0040107005</t>
  </si>
  <si>
    <t>ANCH SUT BIOCRKSCRW FT</t>
  </si>
  <si>
    <t>ANCH BIOCRKSCRW</t>
  </si>
  <si>
    <t>0040107013</t>
  </si>
  <si>
    <t>ANCH SUT SHORT SFT W/NDL</t>
  </si>
  <si>
    <t>ANCH JUGGERKNOT</t>
  </si>
  <si>
    <t>0040107021</t>
  </si>
  <si>
    <t>ANCH SUT DX SWVLK SL EYE</t>
  </si>
  <si>
    <t>ANCH SUT SWVLCK</t>
  </si>
  <si>
    <t>0040107054</t>
  </si>
  <si>
    <t>ANCH SUT SWVLCK C PEEK</t>
  </si>
  <si>
    <t>ANCH SUT</t>
  </si>
  <si>
    <t>0040107096</t>
  </si>
  <si>
    <t>ANCH SUT FOOTPRINT ULTRA</t>
  </si>
  <si>
    <t>ANCH FOOTPRINT</t>
  </si>
  <si>
    <t>0040107104</t>
  </si>
  <si>
    <t>ANCH SUT FOOTPRINT PK</t>
  </si>
  <si>
    <t>0040107112</t>
  </si>
  <si>
    <t>ANCH SUT HEALIX ADVNC BR</t>
  </si>
  <si>
    <t>ANCH SUT HEALIX</t>
  </si>
  <si>
    <t>0040107120</t>
  </si>
  <si>
    <t>ANCH SUT MINI BIOCOMPSTE</t>
  </si>
  <si>
    <t>ANCH SUT MINI</t>
  </si>
  <si>
    <t>0040107161</t>
  </si>
  <si>
    <t>ANCH SUT PRELD FRCFBR</t>
  </si>
  <si>
    <t>ANCH QUATTRO X</t>
  </si>
  <si>
    <t>0040107203</t>
  </si>
  <si>
    <t>ANCH VERSALOK</t>
  </si>
  <si>
    <t>0040107211</t>
  </si>
  <si>
    <t>ANCH SUT FBRTAK W/SUTRTP</t>
  </si>
  <si>
    <t>ANCH SUT FIBRTK</t>
  </si>
  <si>
    <t>0040107229</t>
  </si>
  <si>
    <t>ANCH SUT ALL Q-FIX 1.8MM</t>
  </si>
  <si>
    <t>ANCH SUT Q-FIX</t>
  </si>
  <si>
    <t>0040107245</t>
  </si>
  <si>
    <t>ANCH SUT KNOTLESS FIBERTAK</t>
  </si>
  <si>
    <t>ANCH SUT KNTLSS</t>
  </si>
  <si>
    <t>0040109993</t>
  </si>
  <si>
    <t>BN GRFT INFS LG</t>
  </si>
  <si>
    <t>0040110009</t>
  </si>
  <si>
    <t>BN GRFT INFS MED 4SPNG</t>
  </si>
  <si>
    <t>BN GRAFT KIT</t>
  </si>
  <si>
    <t>0040110017</t>
  </si>
  <si>
    <t>BN GRFT INFS SM 4SPNG</t>
  </si>
  <si>
    <t>0040110025</t>
  </si>
  <si>
    <t>BN GRFT INFS XSM</t>
  </si>
  <si>
    <t>0040110058</t>
  </si>
  <si>
    <t>CLAMP SM FRAG OUTER COMP</t>
  </si>
  <si>
    <t>CLAMP SM COMP</t>
  </si>
  <si>
    <t>0040110504</t>
  </si>
  <si>
    <t>BN STRIP</t>
  </si>
  <si>
    <t>0040110520</t>
  </si>
  <si>
    <t>BUTTON DSTL CLV PLT KNTLS ASSM</t>
  </si>
  <si>
    <t>BUTTN DST CLV P</t>
  </si>
  <si>
    <t>0040110546</t>
  </si>
  <si>
    <t>BUTTON PLT DSTL CLAVICLE</t>
  </si>
  <si>
    <t>BUTTON PLATE</t>
  </si>
  <si>
    <t>0040110561</t>
  </si>
  <si>
    <t>BUTTON TIGHTRP ABS RND CONCAVE</t>
  </si>
  <si>
    <t>BUTTON TGHTRP R</t>
  </si>
  <si>
    <t>0040111007</t>
  </si>
  <si>
    <t>DVC FUSION INTERMEDULARY</t>
  </si>
  <si>
    <t>DVC FUSION</t>
  </si>
  <si>
    <t>0040111015</t>
  </si>
  <si>
    <t>DVC ENDOBUTTON CL ULTRA</t>
  </si>
  <si>
    <t>DVC ENDOBUTTON</t>
  </si>
  <si>
    <t>0040111031</t>
  </si>
  <si>
    <t>DVC LORDOTC EXPND INTRBY</t>
  </si>
  <si>
    <t>DVC ELEVATE</t>
  </si>
  <si>
    <t>0040111080</t>
  </si>
  <si>
    <t>DVC MENISCL RPR CURV NDL</t>
  </si>
  <si>
    <t>DVC SPEEDCINCH</t>
  </si>
  <si>
    <t>0040111098</t>
  </si>
  <si>
    <t>DVC MENISCAL CINCH</t>
  </si>
  <si>
    <t>DVC MENSCL CNCH</t>
  </si>
  <si>
    <t>0040111114</t>
  </si>
  <si>
    <t>DVC MENISCL REPR STR ZIP</t>
  </si>
  <si>
    <t>DVC MAXFIR MARX</t>
  </si>
  <si>
    <t>0040111155</t>
  </si>
  <si>
    <t>DVC TRUNION ECLIPSE SHOULDER</t>
  </si>
  <si>
    <t>TRUNION ECLIPSE</t>
  </si>
  <si>
    <t>0040111874</t>
  </si>
  <si>
    <t>IMP ARTHROEREIS PROSTOP</t>
  </si>
  <si>
    <t>IMP ARTHROEREIS</t>
  </si>
  <si>
    <t>0040111890</t>
  </si>
  <si>
    <t>IMP ACL TIGHTROPE RT</t>
  </si>
  <si>
    <t>ACL TIGHTROP RT</t>
  </si>
  <si>
    <t>0040111908</t>
  </si>
  <si>
    <t>IMP BLD SPIRAL</t>
  </si>
  <si>
    <t>0040112005</t>
  </si>
  <si>
    <t>IMP BN SUBST FOAM</t>
  </si>
  <si>
    <t>IMP BN SUBST FM</t>
  </si>
  <si>
    <t>0040112054</t>
  </si>
  <si>
    <t>SP BN GRAFT ALLOGRAFT</t>
  </si>
  <si>
    <t>SP BN GFT ALLGF</t>
  </si>
  <si>
    <t>0040112278</t>
  </si>
  <si>
    <t>SP LUMB INTBODY DEV TLIF</t>
  </si>
  <si>
    <t>SP LUM DEV TLIF</t>
  </si>
  <si>
    <t>0040112419</t>
  </si>
  <si>
    <t>SP INTRSPN PROC DCMP DVC</t>
  </si>
  <si>
    <t>SP INTSPN DCMP</t>
  </si>
  <si>
    <t>0040112450</t>
  </si>
  <si>
    <t>SP ARTIFICIAL DISC CERV</t>
  </si>
  <si>
    <t>SP ART DSC CERV</t>
  </si>
  <si>
    <t>0040112518</t>
  </si>
  <si>
    <t>SP CLAMP</t>
  </si>
  <si>
    <t>0040117665</t>
  </si>
  <si>
    <t>KT ANCH SOFT JUGGRKNTLS INSRT</t>
  </si>
  <si>
    <t>KT ANCH SFT JUG</t>
  </si>
  <si>
    <t>0040117699</t>
  </si>
  <si>
    <t>KT ACHILL MIDSUBSTN SPDB</t>
  </si>
  <si>
    <t>KT ACHL SPDBRDG</t>
  </si>
  <si>
    <t>0040117772</t>
  </si>
  <si>
    <t>SYS HAMMERTOE FIXATION PHALIX</t>
  </si>
  <si>
    <t>SYS HAMMERTOE F</t>
  </si>
  <si>
    <t>0040117806</t>
  </si>
  <si>
    <t>SYS INTRNLBR LIG AUG FBRTP JMP</t>
  </si>
  <si>
    <t>SYS INTRNLBRC L</t>
  </si>
  <si>
    <t>0040117830</t>
  </si>
  <si>
    <t>SYS FLEXOR DIGITORIUM LONGUS</t>
  </si>
  <si>
    <t>SYS FLEXOR DIGI</t>
  </si>
  <si>
    <t>0040117855</t>
  </si>
  <si>
    <t>SYS SACROILC JOINT FUSN</t>
  </si>
  <si>
    <t>SYS IFUSE</t>
  </si>
  <si>
    <t>0040117897</t>
  </si>
  <si>
    <t>SYS SUTURETAPE PARS IMPLANT</t>
  </si>
  <si>
    <t>SYS SUTURETP PA</t>
  </si>
  <si>
    <t>0040119000</t>
  </si>
  <si>
    <t>EXTENDER BUTTN TIGHTROPE</t>
  </si>
  <si>
    <t>EXTENDER BUTTON</t>
  </si>
  <si>
    <t>0040119349</t>
  </si>
  <si>
    <t>CEMT BN PL FUL ZIMMR CAP</t>
  </si>
  <si>
    <t>CMT BN PLFL ZIM</t>
  </si>
  <si>
    <t>0040119356</t>
  </si>
  <si>
    <t>CEMT BN ANTIFUL ZIMM CAP</t>
  </si>
  <si>
    <t>CMT BN ANTF ZIM</t>
  </si>
  <si>
    <t>0040119760</t>
  </si>
  <si>
    <t>BN CMT PLFL DS DPY CAP</t>
  </si>
  <si>
    <t>BN CMT PLFL DPY</t>
  </si>
  <si>
    <t>0040119992</t>
  </si>
  <si>
    <t>IMP AC GRAFTROPE</t>
  </si>
  <si>
    <t>IMP GRAFTROPE</t>
  </si>
  <si>
    <t>0040120032</t>
  </si>
  <si>
    <t>IMP ACL TIGHTROPE</t>
  </si>
  <si>
    <t>IMP ACL TIGHTRP</t>
  </si>
  <si>
    <t>0040120057</t>
  </si>
  <si>
    <t>IMP BUTTN DOG BN AC REPR</t>
  </si>
  <si>
    <t>IMP BUTTON AC</t>
  </si>
  <si>
    <t>0040120065</t>
  </si>
  <si>
    <t>IMP TIGHTRPE FX KNTLSS MINI DL</t>
  </si>
  <si>
    <t>TIGHTROPE FIX K</t>
  </si>
  <si>
    <t>0040120180</t>
  </si>
  <si>
    <t>IMP CMC MINI TIGHTRP SYS</t>
  </si>
  <si>
    <t>IMP CMC TGHTRP</t>
  </si>
  <si>
    <t>0040120198</t>
  </si>
  <si>
    <t>IMP CARPOMETACARPAL</t>
  </si>
  <si>
    <t>IMP CMC NUGRIP</t>
  </si>
  <si>
    <t>0040120206</t>
  </si>
  <si>
    <t>IMP CERV FUSION PRIMARY</t>
  </si>
  <si>
    <t>IMP CERV FUSION</t>
  </si>
  <si>
    <t>N</t>
  </si>
  <si>
    <t>0040120248</t>
  </si>
  <si>
    <t>IMP CONVENIENCE PK GRAFTLINK</t>
  </si>
  <si>
    <t>IMP CONVNIENC P</t>
  </si>
  <si>
    <t>0040120594</t>
  </si>
  <si>
    <t>IMP FBRSTITCH CRV PLY 2-0 FBWR</t>
  </si>
  <si>
    <t>IMP FBRSTCH CRV</t>
  </si>
  <si>
    <t>0040120610</t>
  </si>
  <si>
    <t>IMP FOREFOOT INTERNLBRC PEEK</t>
  </si>
  <si>
    <t>IMP FOREFOOT IN</t>
  </si>
  <si>
    <t>0040121105</t>
  </si>
  <si>
    <t>IMP ANKLE TOTAL</t>
  </si>
  <si>
    <t>0040123002</t>
  </si>
  <si>
    <t>IMP LUMB FUSION PRIMARY</t>
  </si>
  <si>
    <t>IMP LUMB FUSION</t>
  </si>
  <si>
    <t>0040123036</t>
  </si>
  <si>
    <t>IMP MTP CARTILAG CARTIVA</t>
  </si>
  <si>
    <t>IMP MTP CARTIVA</t>
  </si>
  <si>
    <t>0040124919</t>
  </si>
  <si>
    <t>IMP PLT BUTTN TGHTRP KNTLS DST</t>
  </si>
  <si>
    <t>IMP PLT BUTTN T</t>
  </si>
  <si>
    <t>0040125502</t>
  </si>
  <si>
    <t>IMP SCRW BIOTENODESIS</t>
  </si>
  <si>
    <t>IMP SCRW BIOTEN</t>
  </si>
  <si>
    <t>0040126047</t>
  </si>
  <si>
    <t>IMPLANT SPACER</t>
  </si>
  <si>
    <t>0040128001</t>
  </si>
  <si>
    <t>HIP CENTRALIZER ACC DEPUY CL</t>
  </si>
  <si>
    <t>HIP CENTRALZR A</t>
  </si>
  <si>
    <t>0040128019</t>
  </si>
  <si>
    <t>CUP ACETAB GRIPTN COAT DPY CL</t>
  </si>
  <si>
    <t>CUP ACETB GRIPT</t>
  </si>
  <si>
    <t>0040128027</t>
  </si>
  <si>
    <t>CUP ACETABULR UNCOAT DEPUY CL</t>
  </si>
  <si>
    <t>CUP ACETABLR UN</t>
  </si>
  <si>
    <t>0040128035</t>
  </si>
  <si>
    <t>CUP ACE BMNTM PRSFT PLS DPY CL</t>
  </si>
  <si>
    <t>CP ACE BMN PRSF</t>
  </si>
  <si>
    <t>0040128043</t>
  </si>
  <si>
    <t>LINER ACE PLY MAR ALTX DPY CL</t>
  </si>
  <si>
    <t>LNR ACE PLY MAR</t>
  </si>
  <si>
    <t>0040128076</t>
  </si>
  <si>
    <t>LINER ACETB BI MENTUM DEPUY CL</t>
  </si>
  <si>
    <t>LINR ACET BI MN</t>
  </si>
  <si>
    <t>0040128084</t>
  </si>
  <si>
    <t>COMPONENT FEM COAT DEPUY CL</t>
  </si>
  <si>
    <t>COMP FEM COATED</t>
  </si>
  <si>
    <t>0040128092</t>
  </si>
  <si>
    <t>HEAD FEM UNIPOLAR DEPUY CL</t>
  </si>
  <si>
    <t>HEAD FEM UNIPOL</t>
  </si>
  <si>
    <t>0040128100</t>
  </si>
  <si>
    <t>COMP FEM UNCT FLX ATT DPY CL</t>
  </si>
  <si>
    <t>COMP FEM UNCT F</t>
  </si>
  <si>
    <t>0040128118</t>
  </si>
  <si>
    <t>HEAD FEM ALL MTL UNIPL DPY CL</t>
  </si>
  <si>
    <t xml:space="preserve">HD FEM ALL MTL </t>
  </si>
  <si>
    <t>0040128126</t>
  </si>
  <si>
    <t>HEAD FEM CERAM ANY SZ DPY CL</t>
  </si>
  <si>
    <t xml:space="preserve">HE FEM CER ANY </t>
  </si>
  <si>
    <t>0040128134</t>
  </si>
  <si>
    <t>STEM FEM CT HA ANT ACT DPY CL</t>
  </si>
  <si>
    <t xml:space="preserve">STEM FEM CT HA </t>
  </si>
  <si>
    <t>0040128142</t>
  </si>
  <si>
    <t>STEM FEM FRACTUR STEM DPY CL</t>
  </si>
  <si>
    <t>STEM FEM FRACTU</t>
  </si>
  <si>
    <t>0040128159</t>
  </si>
  <si>
    <t>STEM FEM MOD SLV NCK DEPUY CL</t>
  </si>
  <si>
    <t>STEM FEM MOD SL</t>
  </si>
  <si>
    <t>0040128167</t>
  </si>
  <si>
    <t>STEM FEM MODULAR STM DEPUY CL</t>
  </si>
  <si>
    <t>STEM FEM MODULA</t>
  </si>
  <si>
    <t>0040128175</t>
  </si>
  <si>
    <t>STEM FEMORAL UNCOAT DEPUY CL</t>
  </si>
  <si>
    <t>STEM FEM UNCOAT</t>
  </si>
  <si>
    <t>0040128183</t>
  </si>
  <si>
    <t>COMP FEM COATD ATTUNE DEPUY CL</t>
  </si>
  <si>
    <t>CMP FEM CTD ATT</t>
  </si>
  <si>
    <t>0040128191</t>
  </si>
  <si>
    <t>STEM KNEE EXTEN COATD DEPUY CL</t>
  </si>
  <si>
    <t>STEM KNEE EXT C</t>
  </si>
  <si>
    <t>0040128209</t>
  </si>
  <si>
    <t>INSRT/BEAR VIT E ATTUN DPY CL</t>
  </si>
  <si>
    <t xml:space="preserve">INSRT/BR VIT E </t>
  </si>
  <si>
    <t>0040128217</t>
  </si>
  <si>
    <t>HIP PART SLF CENT COMP DPY CL</t>
  </si>
  <si>
    <t>HIP PART SLF CE</t>
  </si>
  <si>
    <t>0040128225</t>
  </si>
  <si>
    <t>PATELLA ATTUNE POLY DEPUY CL</t>
  </si>
  <si>
    <t>PATELLA ATTN PO</t>
  </si>
  <si>
    <t>0040128233</t>
  </si>
  <si>
    <t>STEM KNEE EXTN UNCTED DEPUY CL</t>
  </si>
  <si>
    <t>STM KNEE EXTN U</t>
  </si>
  <si>
    <t>0040128241</t>
  </si>
  <si>
    <t>PATELLA POLY RP DEPUY CL</t>
  </si>
  <si>
    <t>PATELLA POLY RP</t>
  </si>
  <si>
    <t>0040128266</t>
  </si>
  <si>
    <t>BASE TIBIAL COATED DEPUY CL</t>
  </si>
  <si>
    <t>BASE TIB COATED</t>
  </si>
  <si>
    <t>0040128274</t>
  </si>
  <si>
    <t>BASE TIBIAL COATD RP DEPUY CL</t>
  </si>
  <si>
    <t>BASE TIB COAT R</t>
  </si>
  <si>
    <t>0040128282</t>
  </si>
  <si>
    <t>BASE TIB UNCT COCR TI DPY CL</t>
  </si>
  <si>
    <t>BASE TIB UNCT C</t>
  </si>
  <si>
    <t>0040128308</t>
  </si>
  <si>
    <t>KNEE UNI FEMUR 3PC FEM DPY CL</t>
  </si>
  <si>
    <t>KNE UNI FEM 3PC</t>
  </si>
  <si>
    <t>0040128316</t>
  </si>
  <si>
    <t>KNEE UNI POLY INSRT RP DPY CL</t>
  </si>
  <si>
    <t>KNE UNI POLY IN</t>
  </si>
  <si>
    <t>0040128324</t>
  </si>
  <si>
    <t>KNEE UNI TIB BASE RP DEPUY CL</t>
  </si>
  <si>
    <t>KNE UNI TIB BAS</t>
  </si>
  <si>
    <t>0040128357</t>
  </si>
  <si>
    <t>GLENOID BASEPLATE EXACT CL</t>
  </si>
  <si>
    <t>GLENOID BSPLT E</t>
  </si>
  <si>
    <t>0040128365</t>
  </si>
  <si>
    <t>GLENOSPHERE EXACT CL</t>
  </si>
  <si>
    <t>GLENOSPHERE EXA</t>
  </si>
  <si>
    <t>0040128399</t>
  </si>
  <si>
    <t>HEAD HUM STD OFST ECC EXCT CL</t>
  </si>
  <si>
    <t>HD HUM STD OFST</t>
  </si>
  <si>
    <t>0040128415</t>
  </si>
  <si>
    <t>INSERT HUM LNR BEAR EXACT CL</t>
  </si>
  <si>
    <t>INSRT HUM LNR B</t>
  </si>
  <si>
    <t>0040128423</t>
  </si>
  <si>
    <t>SPACER HUMERAL TRAY EXACT CL</t>
  </si>
  <si>
    <t xml:space="preserve">SPACER HUM TRY </t>
  </si>
  <si>
    <t>0040128431</t>
  </si>
  <si>
    <t>STEM HUMERL CT UNCEM EXACT CL</t>
  </si>
  <si>
    <t>STEM HUM CT UNC</t>
  </si>
  <si>
    <t>0040128498</t>
  </si>
  <si>
    <t>SCRW LOCK NON-LOCK EXACT CL</t>
  </si>
  <si>
    <t>SCRW LOCK NON-L</t>
  </si>
  <si>
    <t>0040128506</t>
  </si>
  <si>
    <t>CUP ACETAB COATED EXACT CL</t>
  </si>
  <si>
    <t>CUP ACETAB COAT</t>
  </si>
  <si>
    <t>0040128589</t>
  </si>
  <si>
    <t>COMP FEMOR UNCTD LOG EXACT CL</t>
  </si>
  <si>
    <t xml:space="preserve">COMP FEM UNCTD </t>
  </si>
  <si>
    <t>0040128597</t>
  </si>
  <si>
    <t>HEAD FEM METL UNIPLR EXACT CL</t>
  </si>
  <si>
    <t>HEAD FM MTL UNP</t>
  </si>
  <si>
    <t>0040128605</t>
  </si>
  <si>
    <t>HEAD FEM CERM ANY SZ EXACT CL</t>
  </si>
  <si>
    <t>HEAD FEM CERM A</t>
  </si>
  <si>
    <t>0040128613</t>
  </si>
  <si>
    <t>STEM FEMORAL COATED EXACT CL</t>
  </si>
  <si>
    <t>STEM FEMOR COAT</t>
  </si>
  <si>
    <t>0040128654</t>
  </si>
  <si>
    <t>INSERT/BEARING POLY EXACT CL</t>
  </si>
  <si>
    <t>INSERT/BEAR POL</t>
  </si>
  <si>
    <t>0040128670</t>
  </si>
  <si>
    <t>PATELLA POLY EXACTECH CL</t>
  </si>
  <si>
    <t>PATELLA POLY EX</t>
  </si>
  <si>
    <t>0040128704</t>
  </si>
  <si>
    <t>BASE TIB UNCT TRP FT EXCT CL</t>
  </si>
  <si>
    <t>BASE TIB UNCT T</t>
  </si>
  <si>
    <t>0040128738</t>
  </si>
  <si>
    <t>CUP HIP REVISION SN CL</t>
  </si>
  <si>
    <t>CUP HIP REVISIO</t>
  </si>
  <si>
    <t>0040128753</t>
  </si>
  <si>
    <t>CUP ACETABULAR CUP R3 SN CL</t>
  </si>
  <si>
    <t xml:space="preserve">CUP ACETABULAR </t>
  </si>
  <si>
    <t>0040128795</t>
  </si>
  <si>
    <t>LNR ACE MTL CR BIO BHRR3 SN CL</t>
  </si>
  <si>
    <t xml:space="preserve">LNR ACE MTL CR </t>
  </si>
  <si>
    <t>0040128811</t>
  </si>
  <si>
    <t>STEM KNEE EXTENSION SN CL</t>
  </si>
  <si>
    <t>STEM KNEE EXTEN</t>
  </si>
  <si>
    <t>0040128829</t>
  </si>
  <si>
    <t>COMP KNEE FEM REVISION SN CL</t>
  </si>
  <si>
    <t>COMP KNEE FEM R</t>
  </si>
  <si>
    <t>0040128837</t>
  </si>
  <si>
    <t>INSERT KNEE REVISION SN CL</t>
  </si>
  <si>
    <t>INSERT KNEE REV</t>
  </si>
  <si>
    <t>0040128886</t>
  </si>
  <si>
    <t>TIBIAL KNEE TRY REVISION SN CL</t>
  </si>
  <si>
    <t>TIBL KNEE TRY R</t>
  </si>
  <si>
    <t>0040128910</t>
  </si>
  <si>
    <t>CMP FEM OXI GN REN OXLEG SN CL</t>
  </si>
  <si>
    <t>CMP FM OXI GN R</t>
  </si>
  <si>
    <t>0040128936</t>
  </si>
  <si>
    <t>COMP FEM UNCTD PATL FEM SN CL</t>
  </si>
  <si>
    <t>COMP FM UNCTD P</t>
  </si>
  <si>
    <t>0040128944</t>
  </si>
  <si>
    <t>HEAD FEM METAL UNIPOLAR SN CL</t>
  </si>
  <si>
    <t>HEAD FEM METL U</t>
  </si>
  <si>
    <t>0040128951</t>
  </si>
  <si>
    <t>HEAD FEM CERAMC INC OXI SN CL</t>
  </si>
  <si>
    <t>HEAD FM CRMC IN</t>
  </si>
  <si>
    <t>0040128969</t>
  </si>
  <si>
    <t>STEM FEMORAL COATED SN CL</t>
  </si>
  <si>
    <t>STEM FEMORAL CO</t>
  </si>
  <si>
    <t>0040128985</t>
  </si>
  <si>
    <t>STEM FEM FRACTURE STEM SN CL</t>
  </si>
  <si>
    <t>STEM FEM FRACTR</t>
  </si>
  <si>
    <t>0040129017</t>
  </si>
  <si>
    <t>STEM FEMORAL UNCOATED SN CL</t>
  </si>
  <si>
    <t>STEM FEMORL UNC</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</si>
  <si>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</si>
  <si>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</si>
  <si>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</si>
  <si>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</si>
  <si>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</si>
  <si>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</si>
  <si>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</si>
  <si>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</si>
  <si>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</si>
  <si>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</si>
  <si>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</si>
  <si>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</si>
  <si>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</si>
  <si>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</si>
  <si>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</si>
  <si>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0040129330</t>
  </si>
  <si>
    <t>GLENOSPHERE ZIMMER CL</t>
  </si>
  <si>
    <t>GLENOSPHERE ZIM</t>
  </si>
  <si>
    <t>0040129355</t>
  </si>
  <si>
    <t>HEAD HUM STD OFFST ECC ZIM CL</t>
  </si>
  <si>
    <t>HEAD HUM STD OF</t>
  </si>
  <si>
    <t>0040129371</t>
  </si>
  <si>
    <t>INSERT HUM LNR BEAR ZIMMER CL</t>
  </si>
  <si>
    <t>0040129389</t>
  </si>
  <si>
    <t>SPACER HUM OR TRAY ZIMMER CL</t>
  </si>
  <si>
    <t>SPACER HUM OR T</t>
  </si>
  <si>
    <t>0040129397</t>
  </si>
  <si>
    <t>STEM HUM CTD UNCEM ZIMMER CL</t>
  </si>
  <si>
    <t>STEM HUM CTD UN</t>
  </si>
  <si>
    <t>0040129439</t>
  </si>
  <si>
    <t>SCRW LOCK NON-LCK ZIMMER CL</t>
  </si>
  <si>
    <t>SCRW LCK NONLCK</t>
  </si>
  <si>
    <t>0040129447</t>
  </si>
  <si>
    <t>CUP ACETABULR COATD ZIMMER CL</t>
  </si>
  <si>
    <t>CUP ACETABULR C</t>
  </si>
  <si>
    <t>0040129454</t>
  </si>
  <si>
    <t>CUP ACTB OSSEOT LMT HLE ZIM CL</t>
  </si>
  <si>
    <t>CUP ACTB OSSEOT</t>
  </si>
  <si>
    <t>0040129504</t>
  </si>
  <si>
    <t>HIP SCREWS ZIMMER CL</t>
  </si>
  <si>
    <t>HIP SCREWS ZIMM</t>
  </si>
  <si>
    <t>0040129512</t>
  </si>
  <si>
    <t>LNR ACET HI CRSLNK INS ZIM CL</t>
  </si>
  <si>
    <t>LNR ACET HI CRS</t>
  </si>
  <si>
    <t>0040129520</t>
  </si>
  <si>
    <t>HEAD CERAM SLEEVES ZIMMER CL</t>
  </si>
  <si>
    <t>HEAD CERAM SLEE</t>
  </si>
  <si>
    <t>0040129546</t>
  </si>
  <si>
    <t>TRY TB UNI KNE OXF MNBL ZIM CL</t>
  </si>
  <si>
    <t xml:space="preserve">TRY TB UNI KNE </t>
  </si>
  <si>
    <t>0040129553</t>
  </si>
  <si>
    <t>BASEPLT GLENOID ZIMMER CL</t>
  </si>
  <si>
    <t>BASEPLT GLENOID</t>
  </si>
  <si>
    <t>0040129561</t>
  </si>
  <si>
    <t>LNR ACET VIVACT E POLY ZIM CL</t>
  </si>
  <si>
    <t>LNR ACET VIVA E</t>
  </si>
  <si>
    <t>0040129587</t>
  </si>
  <si>
    <t>BASE POST MOD GLENOID ZIM CL</t>
  </si>
  <si>
    <t>BASE POST MOD G</t>
  </si>
  <si>
    <t>0040129611</t>
  </si>
  <si>
    <t>COMPONENT FEM PFJ ZIMMER CL</t>
  </si>
  <si>
    <t>COMPONENT FEM P</t>
  </si>
  <si>
    <t>0040129637</t>
  </si>
  <si>
    <t>COMP FEM UNCT GND PR VG ZM CL</t>
  </si>
  <si>
    <t>COMP FEM UNCT G</t>
  </si>
  <si>
    <t>0040129645</t>
  </si>
  <si>
    <t>FIX MOD GLENOID ZIMMER CL</t>
  </si>
  <si>
    <t>FIX MOD GLENOID</t>
  </si>
  <si>
    <t>0040129686</t>
  </si>
  <si>
    <t>HEAD FEM CERAM ANY SZ ZIMM CL</t>
  </si>
  <si>
    <t>HD FEM CERAM AN</t>
  </si>
  <si>
    <t>0040129694</t>
  </si>
  <si>
    <t>HEAD FEM MAGNUM HD ZIMMER CL</t>
  </si>
  <si>
    <t>HD FEM MAGNUM H</t>
  </si>
  <si>
    <t>0040129710</t>
  </si>
  <si>
    <t>STEM FEM COATED HA ZIMMER CL</t>
  </si>
  <si>
    <t xml:space="preserve">STEM FEM COATD </t>
  </si>
  <si>
    <t>0040129827</t>
  </si>
  <si>
    <t>INSRT/BEAR FLX CNG XLK ZIM CL</t>
  </si>
  <si>
    <t xml:space="preserve">INSRT/BEAR FLX </t>
  </si>
  <si>
    <t>0040129868</t>
  </si>
  <si>
    <t>INSRT/BEAR VIVACIT E ZIMM CL</t>
  </si>
  <si>
    <t>INSRT/BEAR VIVA</t>
  </si>
  <si>
    <t>0040129876</t>
  </si>
  <si>
    <t>KNEE EXTENSION STEM ZIMM CL</t>
  </si>
  <si>
    <t>KNEE EXTNSN STE</t>
  </si>
  <si>
    <t>0040129934</t>
  </si>
  <si>
    <t>HIP PART SLF CNT COMP ZIM CL</t>
  </si>
  <si>
    <t>0040129967</t>
  </si>
  <si>
    <t>PATELA PERSN PROLG VIV ZIM CL</t>
  </si>
  <si>
    <t>PATELA PERS PRO</t>
  </si>
  <si>
    <t>0040129975</t>
  </si>
  <si>
    <t>PATELLA TM METAL POLY ZIMM CL</t>
  </si>
  <si>
    <t xml:space="preserve">PATELLA TM MTL </t>
  </si>
  <si>
    <t>0040130064</t>
  </si>
  <si>
    <t>BASE TIB UNCT UNCT PRS ZIM CL</t>
  </si>
  <si>
    <t>BASE TIB UNCT P</t>
  </si>
  <si>
    <t>0040130130</t>
  </si>
  <si>
    <t>KNEE UNI FEMUR ZIMMER CL</t>
  </si>
  <si>
    <t xml:space="preserve">KNEE UNI FEMUR </t>
  </si>
  <si>
    <t>0040130163</t>
  </si>
  <si>
    <t>KNEE UNI OXFRD PLY INS ZIM CL</t>
  </si>
  <si>
    <t>KNE UNI OXFRD P</t>
  </si>
  <si>
    <t>0040130171</t>
  </si>
  <si>
    <t>KNEE UNI OXFRD TIB BSE ZIM CL</t>
  </si>
  <si>
    <t xml:space="preserve">KNE UNI OXFORD </t>
  </si>
  <si>
    <t>0040130221</t>
  </si>
  <si>
    <t>GLENOSPHERE STRYKER CL</t>
  </si>
  <si>
    <t>GLENOSPHERE STR</t>
  </si>
  <si>
    <t>0040130254</t>
  </si>
  <si>
    <t>INSRT HUM LINR BEAR STRYK CL</t>
  </si>
  <si>
    <t>0040130270</t>
  </si>
  <si>
    <t>STEM HUM CTD UNCEM STRYKR CL</t>
  </si>
  <si>
    <t>0040130320</t>
  </si>
  <si>
    <t>BASEPLATE REVERSE STRYKER CL</t>
  </si>
  <si>
    <t xml:space="preserve">BSEPLT REVERSE </t>
  </si>
  <si>
    <t>0040130338</t>
  </si>
  <si>
    <t>SCRW LOCK NON-LCK STRYKER CL</t>
  </si>
  <si>
    <t>0040130346</t>
  </si>
  <si>
    <t>CUP HUMERAL STRYKER CL</t>
  </si>
  <si>
    <t>CUP HUMERAL STR</t>
  </si>
  <si>
    <t>0040130478</t>
  </si>
  <si>
    <t>COMP FEM CTD TRIATH STRYKR CL</t>
  </si>
  <si>
    <t>COMP FEM CT TRI</t>
  </si>
  <si>
    <t>0040130510</t>
  </si>
  <si>
    <t>HEAD FEMORL ALL METAL STRK CL</t>
  </si>
  <si>
    <t>HEAD FEM ALL MT</t>
  </si>
  <si>
    <t>0040130528</t>
  </si>
  <si>
    <t>HEAD FEMORAL BIPOLAR STRYK CL</t>
  </si>
  <si>
    <t>HEAD FEM BIPOLR</t>
  </si>
  <si>
    <t>0040130536</t>
  </si>
  <si>
    <t>HEAD FEM CERAM ANY SZ STRY CL</t>
  </si>
  <si>
    <t>HD FEM CERM ANY</t>
  </si>
  <si>
    <t>0040130593</t>
  </si>
  <si>
    <t>STEM FEMORL UNCOATD STRYKR CL</t>
  </si>
  <si>
    <t>0040130619</t>
  </si>
  <si>
    <t>INSRT/BEAR POLY X3 STRYKER CL</t>
  </si>
  <si>
    <t>INSRT/BEAR POLY</t>
  </si>
  <si>
    <t>0040130635</t>
  </si>
  <si>
    <t>PATELLA METAL BACK STRYKER CL</t>
  </si>
  <si>
    <t>PATELLA METAL B</t>
  </si>
  <si>
    <t>0040130676</t>
  </si>
  <si>
    <t>BASE TIB CTD TRIATH STRYKR CL</t>
  </si>
  <si>
    <t>BASE TIB CT TRI</t>
  </si>
  <si>
    <t>0040130908</t>
  </si>
  <si>
    <t>KT ANCH SUTR SML JOINT</t>
  </si>
  <si>
    <t>KT ANCH SUTR</t>
  </si>
  <si>
    <t>0040130916</t>
  </si>
  <si>
    <t>KT DRILL PIN</t>
  </si>
  <si>
    <t>0040130932</t>
  </si>
  <si>
    <t>KT ACHILL SPEEDBRG W/JUMPSTART</t>
  </si>
  <si>
    <t>KT ACHIL SPDBRG</t>
  </si>
  <si>
    <t>0040131005</t>
  </si>
  <si>
    <t>KT BN RESORB BEAD 5CC</t>
  </si>
  <si>
    <t>KT RESORB BEAD</t>
  </si>
  <si>
    <t>0040131013</t>
  </si>
  <si>
    <t>KT BN RESORB BEAD 25CC</t>
  </si>
  <si>
    <t>0040131021</t>
  </si>
  <si>
    <t>KT BN VOID FILLER CASO4</t>
  </si>
  <si>
    <t>KT STIMULAN</t>
  </si>
  <si>
    <t>0040131039</t>
  </si>
  <si>
    <t>KT FIBULOCK IMPLANT SYSTEM</t>
  </si>
  <si>
    <t>KT FIBULOCK IMP</t>
  </si>
  <si>
    <t>0040131153</t>
  </si>
  <si>
    <t>CUP ACETABULR TRITAN STRYK CL</t>
  </si>
  <si>
    <t>CUP ACETB TRITA</t>
  </si>
  <si>
    <t>0040131187</t>
  </si>
  <si>
    <t>KT LIGAMENT AUGMNT REPR</t>
  </si>
  <si>
    <t>KT INTERNLBRACE</t>
  </si>
  <si>
    <t>0040131203</t>
  </si>
  <si>
    <t>KT LIGAMENT REPR AUGMENT</t>
  </si>
  <si>
    <t>KT LIGAMNT REPR</t>
  </si>
  <si>
    <t>0040131211</t>
  </si>
  <si>
    <t>KT MCL INTERNALBRACE</t>
  </si>
  <si>
    <t>KT MCL INTRNBRC</t>
  </si>
  <si>
    <t>0040131229</t>
  </si>
  <si>
    <t>KT MENISCAL ROOT REPAIR</t>
  </si>
  <si>
    <t>KT MENISCL ROOT</t>
  </si>
  <si>
    <t>0040131260</t>
  </si>
  <si>
    <t>STEM HUMERL CT UNCEM DEPUY CL</t>
  </si>
  <si>
    <t>0040131286</t>
  </si>
  <si>
    <t>STEM HUM MOD PRX CMP DEPUY CL</t>
  </si>
  <si>
    <t>STEM HUM MOD PR</t>
  </si>
  <si>
    <t>0040131468</t>
  </si>
  <si>
    <t>KT PROX TENODES IMP SYS</t>
  </si>
  <si>
    <t>KT PROX TENODES</t>
  </si>
  <si>
    <t>0040131476</t>
  </si>
  <si>
    <t>KT PIN/BUSHIN REPLCMNT</t>
  </si>
  <si>
    <t>KT PN/BUSH REPL</t>
  </si>
  <si>
    <t>0040131492</t>
  </si>
  <si>
    <t>KT PEC BUTTON IMPL REPR</t>
  </si>
  <si>
    <t>KT PEC REPAIR</t>
  </si>
  <si>
    <t>0040131500</t>
  </si>
  <si>
    <t>KT SUBCHONDROPLASTY KNEE</t>
  </si>
  <si>
    <t>KT SUBCHONDPLTY</t>
  </si>
  <si>
    <t>0040131518</t>
  </si>
  <si>
    <t>KT RPR TGHTRP SYND KNTLS</t>
  </si>
  <si>
    <t>KT RPR TIGHTRP</t>
  </si>
  <si>
    <t>0040131526</t>
  </si>
  <si>
    <t>KT PEC BUTTON LARGE</t>
  </si>
  <si>
    <t>KT PEC BUTTON L</t>
  </si>
  <si>
    <t>0040131542</t>
  </si>
  <si>
    <t>KT SUBCHND CMPL FOOT/ANK</t>
  </si>
  <si>
    <t>KT SUBCHNDPLSTY</t>
  </si>
  <si>
    <t>0040131708</t>
  </si>
  <si>
    <t>GLENOID PEG KEEL HYB DEPUY CL</t>
  </si>
  <si>
    <t>GLENOID PG KEEL</t>
  </si>
  <si>
    <t>0040131732</t>
  </si>
  <si>
    <t>COMPNENT HUM STM FRE DEPUY CL</t>
  </si>
  <si>
    <t>COMP HUM STEM F</t>
  </si>
  <si>
    <t>0040131815</t>
  </si>
  <si>
    <t>GLENOSPHERE INHANCE DEPUY CL</t>
  </si>
  <si>
    <t>GLENOSPHERE INH</t>
  </si>
  <si>
    <t>0040131823</t>
  </si>
  <si>
    <t>LNR REVERSE INHANCE DEPUY CL</t>
  </si>
  <si>
    <t>LNR RVS INHANCE</t>
  </si>
  <si>
    <t>0040133019</t>
  </si>
  <si>
    <t>POST TAPR UNI KN PFJ ARTHRO CL</t>
  </si>
  <si>
    <t>PST TPR UN KN P</t>
  </si>
  <si>
    <t>0040133027</t>
  </si>
  <si>
    <t>BASPLT GLEND SHLD ARTHROSRF CL</t>
  </si>
  <si>
    <t>BASPLT GLND SHL</t>
  </si>
  <si>
    <t>0040133035</t>
  </si>
  <si>
    <t>POST GLENOID SHLD ARTHROSRF CL</t>
  </si>
  <si>
    <t>PST GLND SHLD A</t>
  </si>
  <si>
    <t>0040133068</t>
  </si>
  <si>
    <t>HEAD HUM RESURF ARTHROSRFCE CL</t>
  </si>
  <si>
    <t>HEAD HUM RESURF</t>
  </si>
  <si>
    <t>0040133126</t>
  </si>
  <si>
    <t>ALLOGRFT SPD SPRL CMC ARTHR CL</t>
  </si>
  <si>
    <t>ALLOGRFT SPD SP</t>
  </si>
  <si>
    <t>0040133191</t>
  </si>
  <si>
    <t>COMP FEM UNCOATED CONFORMIS CL</t>
  </si>
  <si>
    <t>CMP FEM UNCTD C</t>
  </si>
  <si>
    <t>0040133217</t>
  </si>
  <si>
    <t>INSRT BEAR TOTAL CONFORMIS CL</t>
  </si>
  <si>
    <t xml:space="preserve">INSRT BEAR TTL </t>
  </si>
  <si>
    <t>0040133266</t>
  </si>
  <si>
    <t>STEM KNEE EXTENS CONFORMIS CL</t>
  </si>
  <si>
    <t>0040133274</t>
  </si>
  <si>
    <t>PATELLA POLY CONFORMIS CL</t>
  </si>
  <si>
    <t>PATELLA POLY CO</t>
  </si>
  <si>
    <t>0040133282</t>
  </si>
  <si>
    <t>BASE TIBIAL UNCTD CONFORMIS CL</t>
  </si>
  <si>
    <t xml:space="preserve">BASE TIB UNCTD </t>
  </si>
  <si>
    <t>0040133662</t>
  </si>
  <si>
    <t>HD SHLD MDSPCR ANTIB OSTEOR CL</t>
  </si>
  <si>
    <t>HD SHLDR MOD SP</t>
  </si>
  <si>
    <t>0040133670</t>
  </si>
  <si>
    <t>STM SHLD MDSPCR ANTIB OSTEO CL</t>
  </si>
  <si>
    <t>STM SHLDR MD SP</t>
  </si>
  <si>
    <t>0040133712</t>
  </si>
  <si>
    <t>CP ACE CTD ESCL CTD ORTH DV CL</t>
  </si>
  <si>
    <t>CUP ACET CTD ES</t>
  </si>
  <si>
    <t>0040133720</t>
  </si>
  <si>
    <t>LNR ACE PLY HGH CRSL ORTHDV CL</t>
  </si>
  <si>
    <t>LNR ACE PLY HGH</t>
  </si>
  <si>
    <t>0040133738</t>
  </si>
  <si>
    <t>HEAD FEM MTL NONMTL ORTH DV CL</t>
  </si>
  <si>
    <t xml:space="preserve">HEAD FEM METAL </t>
  </si>
  <si>
    <t>0040133753</t>
  </si>
  <si>
    <t>STEM FEM COATED ORTHO DEV CL</t>
  </si>
  <si>
    <t>STEM FEM COATED</t>
  </si>
  <si>
    <t>0040133787</t>
  </si>
  <si>
    <t>AUGMENT ORTHO DEVELOPMENT CL</t>
  </si>
  <si>
    <t>AUGMENT ORTHO D</t>
  </si>
  <si>
    <t>0040133803</t>
  </si>
  <si>
    <t>COMP FEM REVISION ORTHO DEV CL</t>
  </si>
  <si>
    <t>COMP FEM REVISI</t>
  </si>
  <si>
    <t>0040133811</t>
  </si>
  <si>
    <t>COMP FEM UNCOATED ORTHO DEV CL</t>
  </si>
  <si>
    <t>COMP FEM UNCOAT</t>
  </si>
  <si>
    <t>0040133837</t>
  </si>
  <si>
    <t>INS BR PLY VITE ULT ORTHODV CL</t>
  </si>
  <si>
    <t>INS BR PLY VITE</t>
  </si>
  <si>
    <t>0040133852</t>
  </si>
  <si>
    <t>STM EXT KNE UNCT CMNT ORTDV CL</t>
  </si>
  <si>
    <t>STM EXT KNE UNC</t>
  </si>
  <si>
    <t>0040133860</t>
  </si>
  <si>
    <t>INSRT KNEE REVS ORTHO DEVEL CL</t>
  </si>
  <si>
    <t xml:space="preserve">INSRT KNEE RVS </t>
  </si>
  <si>
    <t>0040133886</t>
  </si>
  <si>
    <t>PATLLA PLY VIT E VTL ORT DV CL</t>
  </si>
  <si>
    <t>PATELLA PLY VIT</t>
  </si>
  <si>
    <t>0040133902</t>
  </si>
  <si>
    <t>BASE TIB REVISION ORTHO DEV CL</t>
  </si>
  <si>
    <t>BASE TIB REVISI</t>
  </si>
  <si>
    <t>0040133910</t>
  </si>
  <si>
    <t>BASE TIB UNCOAT ORTHO DEV CL</t>
  </si>
  <si>
    <t>BASE TIB UNCOAT</t>
  </si>
  <si>
    <t>0040133928</t>
  </si>
  <si>
    <t>CUP ACETAB CTD CTD P2 DJO CL</t>
  </si>
  <si>
    <t xml:space="preserve">CUP ACETAB CTD </t>
  </si>
  <si>
    <t>0040133951</t>
  </si>
  <si>
    <t>LNR ACE PLY XALT VTE DM DJO CL</t>
  </si>
  <si>
    <t>LNR ACE PLY XAL</t>
  </si>
  <si>
    <t>0040133969</t>
  </si>
  <si>
    <t>HEAD FEM ALL MTL UNIPOL DJO CL</t>
  </si>
  <si>
    <t>0040133985</t>
  </si>
  <si>
    <t>STEM FEM CTD CTD HA P2 DJO CL</t>
  </si>
  <si>
    <t>STEM FEM CTD CT</t>
  </si>
  <si>
    <t>0040134058</t>
  </si>
  <si>
    <t>COMPONENT SLF CENTERING DJO CL</t>
  </si>
  <si>
    <t>COMPONENT SLF C</t>
  </si>
  <si>
    <t>0040134074</t>
  </si>
  <si>
    <t>CMP FM UNCT 3D UNCT PTL DJO CL</t>
  </si>
  <si>
    <t xml:space="preserve">CMP FM UNCT 3D </t>
  </si>
  <si>
    <t>0040134090</t>
  </si>
  <si>
    <t>PATELLA KNEE POLY DJO CL</t>
  </si>
  <si>
    <t>PATELLA KNEE PO</t>
  </si>
  <si>
    <t>0040134116</t>
  </si>
  <si>
    <t>BASE TIB UNCTD ALL POLY DJO CL</t>
  </si>
  <si>
    <t>0040134124</t>
  </si>
  <si>
    <t>INSERT TIBIAL ANY DJO CL</t>
  </si>
  <si>
    <t>INSERT TIBIAL A</t>
  </si>
  <si>
    <t>0040134215</t>
  </si>
  <si>
    <t>BASEPLATE GLENOID DJO CL</t>
  </si>
  <si>
    <t>BASEPLATE GLENO</t>
  </si>
  <si>
    <t>0040134223</t>
  </si>
  <si>
    <t>GLENOSPHERE GLENOID DJO CL</t>
  </si>
  <si>
    <t>GLENOSPHERE GLE</t>
  </si>
  <si>
    <t>0040134264</t>
  </si>
  <si>
    <t>INSRT LNR BEARNG HUMERL DJO CL</t>
  </si>
  <si>
    <t>INSRT LNR BEARN</t>
  </si>
  <si>
    <t>0040134322</t>
  </si>
  <si>
    <t>CUP STEM HUM MONOBLK DJO CL</t>
  </si>
  <si>
    <t>CUP STEM HUM MO</t>
  </si>
  <si>
    <t>0040134355</t>
  </si>
  <si>
    <t>SCREW LOCKING NON LCKNG DJO CL</t>
  </si>
  <si>
    <t>SCREW LOCKING N</t>
  </si>
  <si>
    <t>0040134967</t>
  </si>
  <si>
    <t>GLENOID AUGM TORNIER CL</t>
  </si>
  <si>
    <t>GLENOID AUGMENT</t>
  </si>
  <si>
    <t>0040134975</t>
  </si>
  <si>
    <t>BASEPLATE GLENOID TORNIER CL</t>
  </si>
  <si>
    <t>0040135006</t>
  </si>
  <si>
    <t>GLEN PEG/KEEL/HYBRD TORNIER CL</t>
  </si>
  <si>
    <t>GLENOID PEGD/KE</t>
  </si>
  <si>
    <t>0040135022</t>
  </si>
  <si>
    <t>HEAD HMRL META NUCL TORNIER CL</t>
  </si>
  <si>
    <t>HEAD HUMRL META</t>
  </si>
  <si>
    <t>0040135055</t>
  </si>
  <si>
    <t>HD HUM STD OFFS/TECC TRNIER CL</t>
  </si>
  <si>
    <t>HEAD HMRL STD/O</t>
  </si>
  <si>
    <t>0040135071</t>
  </si>
  <si>
    <t>INSRT HUM LNR BEARN TORNIER CL</t>
  </si>
  <si>
    <t>INSRT HUMRL LNR</t>
  </si>
  <si>
    <t>0040135089</t>
  </si>
  <si>
    <t>HUMRL SPACR OR TRY TORNIER CL</t>
  </si>
  <si>
    <t xml:space="preserve">HUMRL SPACR OR </t>
  </si>
  <si>
    <t>0040135113</t>
  </si>
  <si>
    <t>STEM HUMRL COATD TORNIER CL</t>
  </si>
  <si>
    <t>STEM HUMRL COAT</t>
  </si>
  <si>
    <t>0040135154</t>
  </si>
  <si>
    <t>STEM HUMRL UNCOATD TORNIER CL</t>
  </si>
  <si>
    <t>STEM HUMRL UNCO</t>
  </si>
  <si>
    <t>0040135188</t>
  </si>
  <si>
    <t>BASEPLATE GLENOID AUG FX CL</t>
  </si>
  <si>
    <t>BASEPLT GLEN AU</t>
  </si>
  <si>
    <t>0040135196</t>
  </si>
  <si>
    <t>GLENOSPHERE FX CL</t>
  </si>
  <si>
    <t xml:space="preserve">GLENOSPHERE FX </t>
  </si>
  <si>
    <t>0040135246</t>
  </si>
  <si>
    <t>HUMRL SPCR OR TRY W/LINR FX CL</t>
  </si>
  <si>
    <t>HUM SPCR TRAY L</t>
  </si>
  <si>
    <t>0040135253</t>
  </si>
  <si>
    <t>STEM HUMERAL COATED FX CL</t>
  </si>
  <si>
    <t>0040135303</t>
  </si>
  <si>
    <t>SCREW LOCKING NON LCKNG FX CL</t>
  </si>
  <si>
    <t>0040136491</t>
  </si>
  <si>
    <t>MATRX BN ALLOSYNC PURE</t>
  </si>
  <si>
    <t>MATRX BN ALLOSY</t>
  </si>
  <si>
    <t>0040136509</t>
  </si>
  <si>
    <t>MATRX BN VIABL CELL BIO4</t>
  </si>
  <si>
    <t>MATRX BN BIO4</t>
  </si>
  <si>
    <t>0040137002</t>
  </si>
  <si>
    <t>METATARSAL HEAD</t>
  </si>
  <si>
    <t>0040137101</t>
  </si>
  <si>
    <t>METATARSAL STEM</t>
  </si>
  <si>
    <t>0040142994</t>
  </si>
  <si>
    <t>PIN BUTRESS SM FRAG CLA</t>
  </si>
  <si>
    <t>PIN BUTRESS</t>
  </si>
  <si>
    <t>0040143000</t>
  </si>
  <si>
    <t>PHALANGEAL BASE</t>
  </si>
  <si>
    <t>0040143042</t>
  </si>
  <si>
    <t>PLT LC DISTAL FEMUR</t>
  </si>
  <si>
    <t>PLT LC DIST FEM</t>
  </si>
  <si>
    <t>0040143109</t>
  </si>
  <si>
    <t>PLT LC LAT PROX TIBIAL</t>
  </si>
  <si>
    <t>PLT LC LAT PROX</t>
  </si>
  <si>
    <t>0040143117</t>
  </si>
  <si>
    <t>PLT LC PROX TIBIAL</t>
  </si>
  <si>
    <t>PLT LC PROX TIB</t>
  </si>
  <si>
    <t>0040143125</t>
  </si>
  <si>
    <t>PLT LC MEDIAL DISTAL TIB</t>
  </si>
  <si>
    <t>PLT LC MED DIST</t>
  </si>
  <si>
    <t>0040143133</t>
  </si>
  <si>
    <t>PLT LC MED DISTL HUMERUS</t>
  </si>
  <si>
    <t>PLT LC MD DIST</t>
  </si>
  <si>
    <t>0040143141</t>
  </si>
  <si>
    <t>PLT RADIAL</t>
  </si>
  <si>
    <t>0040143513</t>
  </si>
  <si>
    <t>PIN VOLAR BUTTRESS</t>
  </si>
  <si>
    <t>PIN VOLR BUTTRS</t>
  </si>
  <si>
    <t>0040143554</t>
  </si>
  <si>
    <t>POST X TITN</t>
  </si>
  <si>
    <t>X-POST</t>
  </si>
  <si>
    <t>0040144990</t>
  </si>
  <si>
    <t>PUTTY OP-1 BMP7</t>
  </si>
  <si>
    <t>0040179996</t>
  </si>
  <si>
    <t>SCRW BIOCOMP-TENODES W/DRVR PK</t>
  </si>
  <si>
    <t>SCRW BIOCOMP-TE</t>
  </si>
  <si>
    <t>0040180002</t>
  </si>
  <si>
    <t>SCRW TENDONESIS</t>
  </si>
  <si>
    <t>0040180226</t>
  </si>
  <si>
    <t>LNR ACE POLY OR3O DL MOB SN CL</t>
  </si>
  <si>
    <t>LNR ACE PLY OR3</t>
  </si>
  <si>
    <t>0040180234</t>
  </si>
  <si>
    <t>LNR ACE OXIN OR3O DL MOB SN CL</t>
  </si>
  <si>
    <t>LNR ACE OX OR3O</t>
  </si>
  <si>
    <t>0040180242</t>
  </si>
  <si>
    <t>BASEPLATE GLENOID INTEGR SN CL</t>
  </si>
  <si>
    <t>0040180259</t>
  </si>
  <si>
    <t>GLENSPHERE GLENOID INTEG SN CL</t>
  </si>
  <si>
    <t>0040180309</t>
  </si>
  <si>
    <t>HUM INS/LNR/BEARNG INTEG SN CL</t>
  </si>
  <si>
    <t>HUMERAL INS/LNR</t>
  </si>
  <si>
    <t>0040180317</t>
  </si>
  <si>
    <t>STEM HUMERL COAT INTEGRA SN CL</t>
  </si>
  <si>
    <t>STEM HUMERAL CO</t>
  </si>
  <si>
    <t>0040180333</t>
  </si>
  <si>
    <t>CMP STEM HM RVS PRX INTG SN CL</t>
  </si>
  <si>
    <t>COMP STEM HUM R</t>
  </si>
  <si>
    <t>0040180358</t>
  </si>
  <si>
    <t>SCRWS LCKINGNONLCKNG INT SN CL</t>
  </si>
  <si>
    <t>SCRWS LOCKING/N</t>
  </si>
  <si>
    <t>0040180408</t>
  </si>
  <si>
    <t>GLENOID GLENOSPHERE LIMA CL</t>
  </si>
  <si>
    <t>GLENOID GLENOSP</t>
  </si>
  <si>
    <t>0040180424</t>
  </si>
  <si>
    <t>GLENOID METAL BACKED LIMA CL</t>
  </si>
  <si>
    <t>GLENOID METAL B</t>
  </si>
  <si>
    <t>0040180457</t>
  </si>
  <si>
    <t>HEAD HUM STD OFFST ECC LIMA CL</t>
  </si>
  <si>
    <t>HEAD HUMR STD O</t>
  </si>
  <si>
    <t>0040180465</t>
  </si>
  <si>
    <t>INSRT HUMRL LNR BEARNG LIMA CL</t>
  </si>
  <si>
    <t>0040180481</t>
  </si>
  <si>
    <t>STEM HUM COATD UNCOATD LIMA CL</t>
  </si>
  <si>
    <t>STEM HUM COATED</t>
  </si>
  <si>
    <t>0040180499</t>
  </si>
  <si>
    <t>STEM HUM ADAPT CONNECT LIMA CL</t>
  </si>
  <si>
    <t>STEM HUMRL ADAP</t>
  </si>
  <si>
    <t>0040180606</t>
  </si>
  <si>
    <t>SYS ACL REPAIR W IMPLNT</t>
  </si>
  <si>
    <t>SYS ACL REPAIR</t>
  </si>
  <si>
    <t>0040180614</t>
  </si>
  <si>
    <t>SYS BICEP DSTL REPR IMPL</t>
  </si>
  <si>
    <t>SYS BICEP DSTL</t>
  </si>
  <si>
    <t>0040180630</t>
  </si>
  <si>
    <t>SYS ANCHOR KNOTLESS</t>
  </si>
  <si>
    <t>SYS ANCH KNOTLS</t>
  </si>
  <si>
    <t>0040180648</t>
  </si>
  <si>
    <t>SYS MENISCL FAST-FIX CRV</t>
  </si>
  <si>
    <t>SYS MEN REPAIR</t>
  </si>
  <si>
    <t>0040180663</t>
  </si>
  <si>
    <t>WASHER FRAG MINI</t>
  </si>
  <si>
    <t>WASHER FRG MINI</t>
  </si>
  <si>
    <t>0040180671</t>
  </si>
  <si>
    <t>SYS MEN SEQUENT REPR CRV</t>
  </si>
  <si>
    <t>SYS MENISCL RPR</t>
  </si>
  <si>
    <t>0040180689</t>
  </si>
  <si>
    <t>SYS ACHILLES SPEEDBRIDGE</t>
  </si>
  <si>
    <t>SYS ACHILLES</t>
  </si>
  <si>
    <t>0040180697</t>
  </si>
  <si>
    <t>SYS COMPL PLNTAR PLT RPR</t>
  </si>
  <si>
    <t>SYS MINI SCORPN</t>
  </si>
  <si>
    <t>0040180705</t>
  </si>
  <si>
    <t>SYS IMPL SPEEDBRGD SWVLK</t>
  </si>
  <si>
    <t>SYS SPEEDBRIDGE</t>
  </si>
  <si>
    <t>0040180713</t>
  </si>
  <si>
    <t>SYS ANKL LAT RECON IMPL</t>
  </si>
  <si>
    <t>SYS ANKL RECON</t>
  </si>
  <si>
    <t>0040180721</t>
  </si>
  <si>
    <t>SYS LIGAMENT RECON CMC</t>
  </si>
  <si>
    <t>SYS LIGAMNT IMP</t>
  </si>
  <si>
    <t>0040180754</t>
  </si>
  <si>
    <t>SYS TGHTRP BTB FLIPCT II</t>
  </si>
  <si>
    <t>SYS TIGHTRP BTB</t>
  </si>
  <si>
    <t>0040180770</t>
  </si>
  <si>
    <t>SYS CORTICAL ADJUSTABL</t>
  </si>
  <si>
    <t>SYS RIGIDLOOP</t>
  </si>
  <si>
    <t>0040180796</t>
  </si>
  <si>
    <t>SYS BICEP RPR DSTL BIOCMP DEL</t>
  </si>
  <si>
    <t>SYS BICEP DISTL</t>
  </si>
  <si>
    <t>0040180804</t>
  </si>
  <si>
    <t>TIGHTROPE ABS W/BUTTON</t>
  </si>
  <si>
    <t>TIGHTROPE ABS</t>
  </si>
  <si>
    <t>0040180812</t>
  </si>
  <si>
    <t>TIGHTROPE RT W/FLIPCUTR II/III</t>
  </si>
  <si>
    <t>SYS TIGHTROP RT</t>
  </si>
  <si>
    <t>0040180820</t>
  </si>
  <si>
    <t>SYS SYNDESMOSIS TGHTRP XP SS</t>
  </si>
  <si>
    <t>SYS SYNDESM TGH</t>
  </si>
  <si>
    <t>0040180846</t>
  </si>
  <si>
    <t>TIGHTRPE ACL RT DBL LD PAS SUT</t>
  </si>
  <si>
    <t>TIGHTRPE ACL RT</t>
  </si>
  <si>
    <t>0040181000</t>
  </si>
  <si>
    <t>STEM HUM MODLR PRX CMP LIMA CL</t>
  </si>
  <si>
    <t xml:space="preserve">STEM HUM MODLR </t>
  </si>
  <si>
    <t>0040181034</t>
  </si>
  <si>
    <t>SCRW LOCKNG NONLCKNG LIMA CL</t>
  </si>
  <si>
    <t>SCRW LOCKNG NON</t>
  </si>
  <si>
    <t>0040199010</t>
  </si>
  <si>
    <t>IMP EXP INTRBDY FUSN OPTIMESH</t>
  </si>
  <si>
    <t>IMP EXP INTRBDY</t>
  </si>
  <si>
    <t>0040204091</t>
  </si>
  <si>
    <t>ALLOGRFT FLLR TB HMN PER 0.5CC</t>
  </si>
  <si>
    <t xml:space="preserve">ALLOGRFT FILLR </t>
  </si>
  <si>
    <t>0040204554</t>
  </si>
  <si>
    <t>GRFT SEGMENT COSTAL CARTILAGE</t>
  </si>
  <si>
    <t xml:space="preserve">PROFILE COSTAL </t>
  </si>
  <si>
    <t>0040204828</t>
  </si>
  <si>
    <t>ACELL MTRX SIMPLIDERM</t>
  </si>
  <si>
    <t>ACELL MTRX SIMP</t>
  </si>
  <si>
    <t>0040204869</t>
  </si>
  <si>
    <t>ALLODERM PER SQ CM (IMPLANT)</t>
  </si>
  <si>
    <t>ALLODERM PER SQ</t>
  </si>
  <si>
    <t>0040205015</t>
  </si>
  <si>
    <t>ALLOGRFT MENISCUS</t>
  </si>
  <si>
    <t>GRFT MENISCUS</t>
  </si>
  <si>
    <t>0040205023</t>
  </si>
  <si>
    <t>ALLOGRFT CYMETRA INJ 1CC</t>
  </si>
  <si>
    <t>CYMETRA 1CC</t>
  </si>
  <si>
    <t>0040205072</t>
  </si>
  <si>
    <t>ALLOGRFT AMNIOTIC MEMBRN</t>
  </si>
  <si>
    <t>AMNIOFIX INJECT</t>
  </si>
  <si>
    <t>0040205098</t>
  </si>
  <si>
    <t>ALLOGRFT CARTLG MSH VIAB</t>
  </si>
  <si>
    <t>CARTIFORM</t>
  </si>
  <si>
    <t>0040205106</t>
  </si>
  <si>
    <t>ALLOGRFT BN W/VIAB CELLS</t>
  </si>
  <si>
    <t>TRINITY ELITE</t>
  </si>
  <si>
    <t>0040205155</t>
  </si>
  <si>
    <t>ALLOGRFT FIBER DBM CORT</t>
  </si>
  <si>
    <t>FIBER FLEXIGRFT</t>
  </si>
  <si>
    <t>0040205189</t>
  </si>
  <si>
    <t>ALLOGRFT SCLERA TUTOPLST</t>
  </si>
  <si>
    <t>ALLOGRFT SCLERA</t>
  </si>
  <si>
    <t>0040205213</t>
  </si>
  <si>
    <t>ALLOWRAP DS PER SQ CM</t>
  </si>
  <si>
    <t>ALLOWRAP DS SQ</t>
  </si>
  <si>
    <t>0040205254</t>
  </si>
  <si>
    <t>BIOFIX</t>
  </si>
  <si>
    <t>0040205312</t>
  </si>
  <si>
    <t>ALLOGRFT OSTEOCHOND DSTL TIBIA</t>
  </si>
  <si>
    <t>ALLOGRFT DISTAL</t>
  </si>
  <si>
    <t>0040205346</t>
  </si>
  <si>
    <t>ALLOGRFT BN W/VIAB CELL</t>
  </si>
  <si>
    <t>TRINITY EVOLUTN</t>
  </si>
  <si>
    <t>0040205361</t>
  </si>
  <si>
    <t>ALLOGRFT DERMIS CORTIVA</t>
  </si>
  <si>
    <t>ALLOGRFT CORTIV</t>
  </si>
  <si>
    <t>0040205536</t>
  </si>
  <si>
    <t>ALLOGRFT CMC SPEEDSPIRAL</t>
  </si>
  <si>
    <t>ALLOGRFT CMC SP</t>
  </si>
  <si>
    <t>0040205619</t>
  </si>
  <si>
    <t>NRVE MEMBRNE NEUROSHIELD</t>
  </si>
  <si>
    <t>NRVE MEMBRN NEU</t>
  </si>
  <si>
    <t>0040205858</t>
  </si>
  <si>
    <t>ALLOGRFT TENDON PRESUTURED</t>
  </si>
  <si>
    <t>TENDON GRAFTLIN</t>
  </si>
  <si>
    <t>0040205874</t>
  </si>
  <si>
    <t>ALLOGRFT TENDON PRESUTUR</t>
  </si>
  <si>
    <t>TENDN VERSAGRFT</t>
  </si>
  <si>
    <t>0040205916</t>
  </si>
  <si>
    <t>AMNIOMATRIX PER 1CC</t>
  </si>
  <si>
    <t>AMNIOMATRIX 1CC</t>
  </si>
  <si>
    <t>0040205965</t>
  </si>
  <si>
    <t>AMNION ACELL LIQ AMNIO-MAXX RT</t>
  </si>
  <si>
    <t>AMNION AMNIO-MA</t>
  </si>
  <si>
    <t>0040205981</t>
  </si>
  <si>
    <t>ANCH BIO-SWIVELOCK</t>
  </si>
  <si>
    <t>ANCH SWIVELOCK</t>
  </si>
  <si>
    <t>0040206005</t>
  </si>
  <si>
    <t>ANCH CORKSCREW</t>
  </si>
  <si>
    <t>0040206401</t>
  </si>
  <si>
    <t>ANCH HEALIX PEEK</t>
  </si>
  <si>
    <t>ANCH PEEK</t>
  </si>
  <si>
    <t>0040206997</t>
  </si>
  <si>
    <t>ANCH SUT BIORAPTOR</t>
  </si>
  <si>
    <t>0040207003</t>
  </si>
  <si>
    <t>ANCH SUT BIO-SUTURETAK</t>
  </si>
  <si>
    <t>0040207011</t>
  </si>
  <si>
    <t>ANCHOR TENDON</t>
  </si>
  <si>
    <t>0040207193</t>
  </si>
  <si>
    <t>ARTACENT FLEX 2X2CM PER SQ CM</t>
  </si>
  <si>
    <t>ARTACENT PER SQ</t>
  </si>
  <si>
    <t>0040207201</t>
  </si>
  <si>
    <t>ARTHROFLEX PER SQ CM</t>
  </si>
  <si>
    <t>ARTHROFLX SQ CM</t>
  </si>
  <si>
    <t>0040207458</t>
  </si>
  <si>
    <t>BIODFENCE DRYFLEX SQ CM</t>
  </si>
  <si>
    <t>BIODFENCE SQ CM</t>
  </si>
  <si>
    <t>0040207474</t>
  </si>
  <si>
    <t>BIOMATERIAL PREPERITONL ENFORM</t>
  </si>
  <si>
    <t>BIOMATERIAL ENF</t>
  </si>
  <si>
    <t>0040208894</t>
  </si>
  <si>
    <t>CAP NERVE AXOGUARD</t>
  </si>
  <si>
    <t>CAP NERVE AXOGU</t>
  </si>
  <si>
    <t>0040209702</t>
  </si>
  <si>
    <t>CATH PTA DORADO</t>
  </si>
  <si>
    <t>0040209744</t>
  </si>
  <si>
    <t>CLARIXFLO 100MG PER 1MG</t>
  </si>
  <si>
    <t>CLARIXFLO PER 1</t>
  </si>
  <si>
    <t>0040209793</t>
  </si>
  <si>
    <t>CLARIX CORD 1K PER SQ CM</t>
  </si>
  <si>
    <t xml:space="preserve">CLARIX CORD 1K </t>
  </si>
  <si>
    <t>0040210247</t>
  </si>
  <si>
    <t>CONNECTOR NERVE AXOGUARD</t>
  </si>
  <si>
    <t>CONNECTOR NRV</t>
  </si>
  <si>
    <t>0040210262</t>
  </si>
  <si>
    <t>DVC REP URN SL ADVANTAGE</t>
  </si>
  <si>
    <t>DVC REP URN</t>
  </si>
  <si>
    <t>0040210361</t>
  </si>
  <si>
    <t>FLTR VC GUNTHER TULIP</t>
  </si>
  <si>
    <t>FLTR VC TULIP</t>
  </si>
  <si>
    <t>0040210494</t>
  </si>
  <si>
    <t>PUTTY BG FBRGRFT BIOACT MD 6CC</t>
  </si>
  <si>
    <t>PUTTY BG FIBERG</t>
  </si>
  <si>
    <t>0040210502</t>
  </si>
  <si>
    <t>PUTTY BG FBRGRFT BIOAC XSM 2CC</t>
  </si>
  <si>
    <t>0040210569</t>
  </si>
  <si>
    <t>FIBER DEMINERALIZED BONE 10CC</t>
  </si>
  <si>
    <t>DBM FIBER 10CC</t>
  </si>
  <si>
    <t>0040210577</t>
  </si>
  <si>
    <t>FIBRINET AUTOLOGOUS SYSTEM</t>
  </si>
  <si>
    <t>FIBRINET AUTOLO</t>
  </si>
  <si>
    <t>0040210643</t>
  </si>
  <si>
    <t>ALLOGRAFT STERIBRIDGE BOAT</t>
  </si>
  <si>
    <t>ALLOGRFT STERIB</t>
  </si>
  <si>
    <t>0040214801</t>
  </si>
  <si>
    <t>GEN NSTIM INTERSTIM 3058</t>
  </si>
  <si>
    <t>GEN INTERSTIM</t>
  </si>
  <si>
    <t>0040214892</t>
  </si>
  <si>
    <t>GRFT ALLOMAX 10X10</t>
  </si>
  <si>
    <t>GRFT ALLOMAX</t>
  </si>
  <si>
    <t>0040214918</t>
  </si>
  <si>
    <t>GRFT ALLOMAX 16 X 20CM</t>
  </si>
  <si>
    <t>0040214934</t>
  </si>
  <si>
    <t>GRFT ALLOMAX 8CM X 16CM</t>
  </si>
  <si>
    <t>0040215030</t>
  </si>
  <si>
    <t>GRAFIX PRIME PER SQ CM</t>
  </si>
  <si>
    <t>GRAFIX PRIME</t>
  </si>
  <si>
    <t>0040215089</t>
  </si>
  <si>
    <t>GRAFIXPL PRIME 5X5CM PER SQ CM</t>
  </si>
  <si>
    <t xml:space="preserve">GRAFIXPL PRIME </t>
  </si>
  <si>
    <t>0040215097</t>
  </si>
  <si>
    <t>GRAFIXPL PRIME 2X3CM PER SQ CM</t>
  </si>
  <si>
    <t>0040215121</t>
  </si>
  <si>
    <t>GRAFIXPL PRIME 3X4CM PER SQ CM</t>
  </si>
  <si>
    <t>0040215188</t>
  </si>
  <si>
    <t>BN ALLOGRAFT HUMAN STRIP 100</t>
  </si>
  <si>
    <t>BN ALLOGRAFT HU</t>
  </si>
  <si>
    <t>0040217028</t>
  </si>
  <si>
    <t>GRFT NERVE AVANCE</t>
  </si>
  <si>
    <t>GRFT NERVE</t>
  </si>
  <si>
    <t>0040217051</t>
  </si>
  <si>
    <t>GRFT POST PELVIC FLOOR</t>
  </si>
  <si>
    <t>GRFT BIODESIGN</t>
  </si>
  <si>
    <t>0040220162</t>
  </si>
  <si>
    <t>GRFT HUMERUS PROX WITHOUT CUFF</t>
  </si>
  <si>
    <t>GRFT HUM PROX W</t>
  </si>
  <si>
    <t>0040223281</t>
  </si>
  <si>
    <t>VEIN VASCULAR GRAFT</t>
  </si>
  <si>
    <t>VASCULAR VEIN</t>
  </si>
  <si>
    <t>0040229924</t>
  </si>
  <si>
    <t>IMP ARTHRODESIS X-FUSE</t>
  </si>
  <si>
    <t>IMP ARTHRODESIS</t>
  </si>
  <si>
    <t>0040230013</t>
  </si>
  <si>
    <t>IMP GEN NSTIM PRECISION</t>
  </si>
  <si>
    <t>IMP GEN NSTIM</t>
  </si>
  <si>
    <t>0040230021</t>
  </si>
  <si>
    <t>IMP GEN NSTIM EON</t>
  </si>
  <si>
    <t>0040230047</t>
  </si>
  <si>
    <t>IMP GEN NSTIM RECHG</t>
  </si>
  <si>
    <t>0040230138</t>
  </si>
  <si>
    <t>IMP SPACER PEEK</t>
  </si>
  <si>
    <t>IMP SPACER</t>
  </si>
  <si>
    <t>0040230195</t>
  </si>
  <si>
    <t>IMP SCREW CAP</t>
  </si>
  <si>
    <t>0040230252</t>
  </si>
  <si>
    <t>IMP BONE FIBERS SELECT</t>
  </si>
  <si>
    <t>IMP BONE FIBERS</t>
  </si>
  <si>
    <t>0040230278</t>
  </si>
  <si>
    <t>IMP GRAFT FIBULA WHOLE</t>
  </si>
  <si>
    <t>IMP GRAFT FIBUL</t>
  </si>
  <si>
    <t>0040230294</t>
  </si>
  <si>
    <t>IMP BIOBRACE SFT TISS SCAFFOLD</t>
  </si>
  <si>
    <t>IMP BIOBRACE SO</t>
  </si>
  <si>
    <t>0040233264</t>
  </si>
  <si>
    <t>KERECIS OMEGA3 PER SQ CM</t>
  </si>
  <si>
    <t xml:space="preserve">KERECIS OMEGA3 </t>
  </si>
  <si>
    <t>0040233900</t>
  </si>
  <si>
    <t>KT ANCH PUSHLOCK</t>
  </si>
  <si>
    <t>KT ANCH PUSHLK</t>
  </si>
  <si>
    <t>0040233967</t>
  </si>
  <si>
    <t>KT LD NSTIM 1X8 STD 3777</t>
  </si>
  <si>
    <t>0040233983</t>
  </si>
  <si>
    <t>KT TENDON REPAIR W ANCH</t>
  </si>
  <si>
    <t>KT TENDON REP</t>
  </si>
  <si>
    <t>0040234023</t>
  </si>
  <si>
    <t>KIT FLEXBAND FIX</t>
  </si>
  <si>
    <t>KIT FLEXBAND FI</t>
  </si>
  <si>
    <t>0040237414</t>
  </si>
  <si>
    <t>LD NSTM LINEAR ST SC2218</t>
  </si>
  <si>
    <t>LD NSTIM LINEAR</t>
  </si>
  <si>
    <t>0040238883</t>
  </si>
  <si>
    <t>MATRX COLLAGEN XENMATRIX</t>
  </si>
  <si>
    <t>MATRX COLLAGEN</t>
  </si>
  <si>
    <t>0040238909</t>
  </si>
  <si>
    <t>MATRX DURAL GRFT DURAGEN</t>
  </si>
  <si>
    <t>MATRX DURAL GRF</t>
  </si>
  <si>
    <t>0040238917</t>
  </si>
  <si>
    <t>MATRX CARTILAG EXTRACELL</t>
  </si>
  <si>
    <t>BIOCARTILAGE</t>
  </si>
  <si>
    <t>0040238974</t>
  </si>
  <si>
    <t>MATRX AMNION</t>
  </si>
  <si>
    <t>0040239287</t>
  </si>
  <si>
    <t>MATRX BN FIBERGRFT BG XL 20CC</t>
  </si>
  <si>
    <t>MATRX BN FBRGRF</t>
  </si>
  <si>
    <t>0040239295</t>
  </si>
  <si>
    <t>MATRX BN FIBRGRFT BG LG 12.5CC</t>
  </si>
  <si>
    <t>MATRX BN FIBRGR</t>
  </si>
  <si>
    <t>0040239378</t>
  </si>
  <si>
    <t>MATRX TISS FLOW VIAFLOW 2ML</t>
  </si>
  <si>
    <t>MATRX TISS FLOW</t>
  </si>
  <si>
    <t>0040239386</t>
  </si>
  <si>
    <t>MATRSTM MCRMTRX 1000MG PER 1MG</t>
  </si>
  <si>
    <t>MATRISTEM MICRM</t>
  </si>
  <si>
    <t>0040239436</t>
  </si>
  <si>
    <t>MATRX DERM MAXX PER SQ CM</t>
  </si>
  <si>
    <t>MATRX DERM MAXX</t>
  </si>
  <si>
    <t>0040239451</t>
  </si>
  <si>
    <t>MATRIX ACELLULAR HUMAN PLACNTL</t>
  </si>
  <si>
    <t>MATRIX AXIOFILL</t>
  </si>
  <si>
    <t>0040239501</t>
  </si>
  <si>
    <t>FBRGRFT PUTTY BG XXSM 1CC</t>
  </si>
  <si>
    <t>FBRGRFT PUTTY B</t>
  </si>
  <si>
    <t>0040239832</t>
  </si>
  <si>
    <t>MEMBRN AMNIOTIC CORD PRO3-C</t>
  </si>
  <si>
    <t>MEMBRN CORD PRO</t>
  </si>
  <si>
    <t>0040239840</t>
  </si>
  <si>
    <t>MEMBRN AMINOTIC PLACNTL PRO3-P</t>
  </si>
  <si>
    <t>MEMBRN PLACENTA</t>
  </si>
  <si>
    <t>0040239956</t>
  </si>
  <si>
    <t>MESH BARD 3DMAX XLG</t>
  </si>
  <si>
    <t>MESH BARD 3DMAX</t>
  </si>
  <si>
    <t>0040240061</t>
  </si>
  <si>
    <t>MSH COMP PARIETENE DS</t>
  </si>
  <si>
    <t>MSH PARIETENE D</t>
  </si>
  <si>
    <t>0040240103</t>
  </si>
  <si>
    <t>MESH GALAFLEX RESORBABL</t>
  </si>
  <si>
    <t>MESH GALAFLEX</t>
  </si>
  <si>
    <t>0040240681</t>
  </si>
  <si>
    <t>MESH HERNIA COMPOSITE</t>
  </si>
  <si>
    <t>MESH SYMBOTEX</t>
  </si>
  <si>
    <t>0040240707</t>
  </si>
  <si>
    <t>MSH H 3DMAX LIGHT POLY</t>
  </si>
  <si>
    <t>MSH 3DMAX LIGHT</t>
  </si>
  <si>
    <t>0040240715</t>
  </si>
  <si>
    <t>MSH H PARIETEX PROGRIP</t>
  </si>
  <si>
    <t>MESH HERNIA</t>
  </si>
  <si>
    <t>0040240749</t>
  </si>
  <si>
    <t>MSH H SYNECOR BIOMATERL</t>
  </si>
  <si>
    <t>MSH H SYNECOR</t>
  </si>
  <si>
    <t>0040240756</t>
  </si>
  <si>
    <t>MSH H VENTRALIGHT ST</t>
  </si>
  <si>
    <t>MSH VNTRLGHT ST</t>
  </si>
  <si>
    <t>0040240954</t>
  </si>
  <si>
    <t>MSH LAPAROSCOPIC SLF-FIX</t>
  </si>
  <si>
    <t>MSH PROGRIP</t>
  </si>
  <si>
    <t>0040241929</t>
  </si>
  <si>
    <t>MESH POLYPRO FLAT 6X6</t>
  </si>
  <si>
    <t>MESH POLYPRO</t>
  </si>
  <si>
    <t>0040241937</t>
  </si>
  <si>
    <t>MESH POLYPRO KEYHOLE</t>
  </si>
  <si>
    <t>0040241945</t>
  </si>
  <si>
    <t>MESH POLYPRO 10X14</t>
  </si>
  <si>
    <t>0040241960</t>
  </si>
  <si>
    <t>MESH POLYPRO FLAT 1X4</t>
  </si>
  <si>
    <t>0040241978</t>
  </si>
  <si>
    <t>MESH POLYPRO PRESHAPE</t>
  </si>
  <si>
    <t>0040242018</t>
  </si>
  <si>
    <t>MSH POLYPRO PLUG M</t>
  </si>
  <si>
    <t>MSH POLY PLUG</t>
  </si>
  <si>
    <t>0040242141</t>
  </si>
  <si>
    <t>MSH RESORB FULL SCAFFOLD</t>
  </si>
  <si>
    <t>MSH PHASIX ST</t>
  </si>
  <si>
    <t>0040242158</t>
  </si>
  <si>
    <t>MESH SOFT TIS FULL RESRB</t>
  </si>
  <si>
    <t>MESH PHASIX</t>
  </si>
  <si>
    <t>0040242208</t>
  </si>
  <si>
    <t>MESH SFT FLAT</t>
  </si>
  <si>
    <t>0040242448</t>
  </si>
  <si>
    <t>MSH RESTORELLE Y</t>
  </si>
  <si>
    <t>MSH RESTORELL Y</t>
  </si>
  <si>
    <t>0040242497</t>
  </si>
  <si>
    <t>MSH VENTRALIGHT POS SYS</t>
  </si>
  <si>
    <t>MSH VENTRALIGHT</t>
  </si>
  <si>
    <t>0040242505</t>
  </si>
  <si>
    <t>MSH VENTRALEX W STRP</t>
  </si>
  <si>
    <t>MSH VENTRALEX</t>
  </si>
  <si>
    <t>0040242521</t>
  </si>
  <si>
    <t>NEURAGEN PER CM</t>
  </si>
  <si>
    <t>0040242539</t>
  </si>
  <si>
    <t>NEURAWRAP PER CM</t>
  </si>
  <si>
    <t>NEURAWRAP CM</t>
  </si>
  <si>
    <t>0040242646</t>
  </si>
  <si>
    <t>PURAPLY AM PER SQ CM</t>
  </si>
  <si>
    <t>PURPLY AM SQ CM</t>
  </si>
  <si>
    <t>0040242737</t>
  </si>
  <si>
    <t>PWDR WOUND XCELLISTEM</t>
  </si>
  <si>
    <t>PWDR WND XCELLI</t>
  </si>
  <si>
    <t>0040246035</t>
  </si>
  <si>
    <t>PLUG MSH ULTRAPRO MD</t>
  </si>
  <si>
    <t>PLUG MESH MD</t>
  </si>
  <si>
    <t>0040246183</t>
  </si>
  <si>
    <t>PTCH H VENTRIO SM OVAL</t>
  </si>
  <si>
    <t>PTCH H VENTRIO</t>
  </si>
  <si>
    <t>0040246225</t>
  </si>
  <si>
    <t>PTCH H VENTRIO ST MIDLN</t>
  </si>
  <si>
    <t>0040246258</t>
  </si>
  <si>
    <t>PTCH TIS REINFRC ARTELON</t>
  </si>
  <si>
    <t>TISS REINFRCMNT</t>
  </si>
  <si>
    <t>0040246282</t>
  </si>
  <si>
    <t>PTCH AMNION DL LYR AMNIO-MAXX</t>
  </si>
  <si>
    <t>PTCH AMNIO-MAXX</t>
  </si>
  <si>
    <t>0040246431</t>
  </si>
  <si>
    <t>PURAPLY MZ PER SQ CM</t>
  </si>
  <si>
    <t>PURAPLY MZ</t>
  </si>
  <si>
    <t>0040247314</t>
  </si>
  <si>
    <t>ST STNT U AMPLATZ</t>
  </si>
  <si>
    <t>ST STNT URETERL</t>
  </si>
  <si>
    <t>0040248072</t>
  </si>
  <si>
    <t>STNT B RX PLASTIC</t>
  </si>
  <si>
    <t>STNT B RX</t>
  </si>
  <si>
    <t>0040248171</t>
  </si>
  <si>
    <t>STNT B VISIPRO</t>
  </si>
  <si>
    <t>0040251035</t>
  </si>
  <si>
    <t>STNT ESOPHAGEAL WALLFLEX</t>
  </si>
  <si>
    <t>STNT ESOPHAGEAL</t>
  </si>
  <si>
    <t>0040252058</t>
  </si>
  <si>
    <t>STNT MULTLINK VISION RX</t>
  </si>
  <si>
    <t>STNT C MULTILNK</t>
  </si>
  <si>
    <t>0040253296</t>
  </si>
  <si>
    <t>STNT P GEENEN W DELV SYS</t>
  </si>
  <si>
    <t>STNT P GEENEN</t>
  </si>
  <si>
    <t>0040253304</t>
  </si>
  <si>
    <t>STNT P SHERMAN</t>
  </si>
  <si>
    <t>0040254005</t>
  </si>
  <si>
    <t>STNT TBRNCH FLUENCY PLUS</t>
  </si>
  <si>
    <t>STNT TBRNCH</t>
  </si>
  <si>
    <t>0040254922</t>
  </si>
  <si>
    <t>SURGIMEND MP 10X15 PER 0.5CM2</t>
  </si>
  <si>
    <t>SURGIMEND MP PE</t>
  </si>
  <si>
    <t>0040254963</t>
  </si>
  <si>
    <t>STNT U PERCUFLX PLUS</t>
  </si>
  <si>
    <t>STNT PERCUFLX</t>
  </si>
  <si>
    <t>0040254989</t>
  </si>
  <si>
    <t>STNT U POLARIS ULTRA</t>
  </si>
  <si>
    <t>STNT POLARS ULT</t>
  </si>
  <si>
    <t>0040255317</t>
  </si>
  <si>
    <t>TISSUE MATRIX ANY TYPE</t>
  </si>
  <si>
    <t>TISSUE MATRIX</t>
  </si>
  <si>
    <t>0040255341</t>
  </si>
  <si>
    <t>TISS MEMBRN SOFT AVIVE</t>
  </si>
  <si>
    <t>TISS MBRN AVIVE</t>
  </si>
  <si>
    <t>0040256026</t>
  </si>
  <si>
    <t>GRFT STNT CNTRLTRL ILIAC</t>
  </si>
  <si>
    <t>GRFT ENDURNT II</t>
  </si>
  <si>
    <t>0040270100</t>
  </si>
  <si>
    <t>WRAP NRV PROTCT AXOGUARD</t>
  </si>
  <si>
    <t>WRAP NERVE</t>
  </si>
  <si>
    <t>0040270514</t>
  </si>
  <si>
    <t>AMNIOFIX</t>
  </si>
  <si>
    <t>0040270555</t>
  </si>
  <si>
    <t>ALLOGRFT HUM PLCNTL TISS</t>
  </si>
  <si>
    <t>AMNIOFILL</t>
  </si>
  <si>
    <t>0040270589</t>
  </si>
  <si>
    <t>ALLOGRFT DEMIN CORTICAL PARTCL</t>
  </si>
  <si>
    <t xml:space="preserve">ALLOGRFT DEMIN </t>
  </si>
  <si>
    <t>0040270605</t>
  </si>
  <si>
    <t>ALLOGRFT TENFUSE PIP</t>
  </si>
  <si>
    <t>ALLOGRFT PIP</t>
  </si>
  <si>
    <t>0040270613</t>
  </si>
  <si>
    <t>ALLOGRFT UMBILICAL CORD</t>
  </si>
  <si>
    <t>AMNIOCORD</t>
  </si>
  <si>
    <t>0040270621</t>
  </si>
  <si>
    <t>ALLOGRFT TENDON GRAFTLINK XL</t>
  </si>
  <si>
    <t>ALLOGRFT GRAFTL</t>
  </si>
  <si>
    <t>0040280224</t>
  </si>
  <si>
    <t>EPIFIX INJECT PER 1MG</t>
  </si>
  <si>
    <t>EPIFIX INJ 1MG</t>
  </si>
  <si>
    <t>0040280281</t>
  </si>
  <si>
    <t>ENVELOPE NEURO ABSORB ANTIBACT</t>
  </si>
  <si>
    <t xml:space="preserve">ENVELOPE NEURO </t>
  </si>
  <si>
    <t>0040283871</t>
  </si>
  <si>
    <t>ENDOPROSTH BLN VIABAHN V</t>
  </si>
  <si>
    <t>ENDOPROS VIABAH</t>
  </si>
  <si>
    <t>0040284168</t>
  </si>
  <si>
    <t>GRFT ENT REPR BIODESIGN</t>
  </si>
  <si>
    <t>0040284259</t>
  </si>
  <si>
    <t>GRFT AAA AFX 2PC CAP ENDOLOGX</t>
  </si>
  <si>
    <t>GRFT AAA AFX 2P</t>
  </si>
  <si>
    <t>0040284432</t>
  </si>
  <si>
    <t>GRFT STNT ABD ALTO CAP 3PC CSE</t>
  </si>
  <si>
    <t>GRFT STNT ABD A</t>
  </si>
  <si>
    <t>0040284804</t>
  </si>
  <si>
    <t>IMP BIOINDUCTV ARTHR W/DEL DVC</t>
  </si>
  <si>
    <t xml:space="preserve">IMP BIOINDUCTV </t>
  </si>
  <si>
    <t>0040284812</t>
  </si>
  <si>
    <t>IMP BIOINTEGRATIVE TAPESTRY</t>
  </si>
  <si>
    <t>IMP BIOINTEGRAT</t>
  </si>
  <si>
    <t>0040285041</t>
  </si>
  <si>
    <t>IMP PRT POWERPORT</t>
  </si>
  <si>
    <t>IMP POWERPORT</t>
  </si>
  <si>
    <t>0040285280</t>
  </si>
  <si>
    <t>MATRX BN FIBERGRFT MED 6.25CC</t>
  </si>
  <si>
    <t>0040285363</t>
  </si>
  <si>
    <t>MATRX BN CEL VIVIGEN FORM 15CC</t>
  </si>
  <si>
    <t xml:space="preserve">MATRX BN VIVGN </t>
  </si>
  <si>
    <t>0040285371</t>
  </si>
  <si>
    <t>MATRX BN CEL VIVIGEN FORM 5CC</t>
  </si>
  <si>
    <t>0040285389</t>
  </si>
  <si>
    <t>MATRX BN CEL VIVIGEN FORM 1CC</t>
  </si>
  <si>
    <t>MATRIX BN VIVGN</t>
  </si>
  <si>
    <t>0040285397</t>
  </si>
  <si>
    <t>MATRX BN CEL VIVIGEN FORM 10CC</t>
  </si>
  <si>
    <t>MATRX BN VIVIGN</t>
  </si>
  <si>
    <t>0040287401</t>
  </si>
  <si>
    <t>STRATTICE TM PER SQ CM SKINSUB</t>
  </si>
  <si>
    <t>STRATTICE SQ CM</t>
  </si>
  <si>
    <t>0040287476</t>
  </si>
  <si>
    <t>STRAVIX 3CMX6CM PER SQ CM</t>
  </si>
  <si>
    <t xml:space="preserve">STRAVIX PER SQ </t>
  </si>
  <si>
    <t>0040287484</t>
  </si>
  <si>
    <t>STRAVIX PL 2CMX4CM PER SQ CM</t>
  </si>
  <si>
    <t>0040288060</t>
  </si>
  <si>
    <t>SYS MESH VAGINAL SUPPORT</t>
  </si>
  <si>
    <t>SYS UPHOLD LITE</t>
  </si>
  <si>
    <t>0040288110</t>
  </si>
  <si>
    <t>SYS SLNG MIDURETH TRNOBT</t>
  </si>
  <si>
    <t>SYS SLNG OBTYX</t>
  </si>
  <si>
    <t>0040288128</t>
  </si>
  <si>
    <t>SYS SLNG MIDURETHRL MSH</t>
  </si>
  <si>
    <t>SYS SLNG SOLYX</t>
  </si>
  <si>
    <t>0040288144</t>
  </si>
  <si>
    <t>SYS SLNG MDURET TRN HALO</t>
  </si>
  <si>
    <t>SYS OBTRYX II</t>
  </si>
  <si>
    <t>0040288169</t>
  </si>
  <si>
    <t>SYS SLING RETROPUBIC</t>
  </si>
  <si>
    <t>SYS RETROARC</t>
  </si>
  <si>
    <t>0040288177</t>
  </si>
  <si>
    <t>SYS SLING SGL INCISION</t>
  </si>
  <si>
    <t>SYS SLING ALTIS</t>
  </si>
  <si>
    <t>0040288201</t>
  </si>
  <si>
    <t>TENDON ALLOGRF PRESUTURD</t>
  </si>
  <si>
    <t>TENDN SPEEDGRFT</t>
  </si>
  <si>
    <t>0040288227</t>
  </si>
  <si>
    <t>TENDON ANKLE PRESUTURED</t>
  </si>
  <si>
    <t>TENDON FLEXIGRA</t>
  </si>
  <si>
    <t>0040288268</t>
  </si>
  <si>
    <t>WND MATRIX RESTRATA PER SQ CM</t>
  </si>
  <si>
    <t>RESTRATA MESHED</t>
  </si>
  <si>
    <t>0040288367</t>
  </si>
  <si>
    <t>PUTTY BG FIBERGRFT GPS BIO</t>
  </si>
  <si>
    <t>0040288375</t>
  </si>
  <si>
    <t>PUTTY BG FIBERGRFT GPS BIO MED</t>
  </si>
  <si>
    <t>PUTTY BG FBRGRF</t>
  </si>
  <si>
    <t>0040288805</t>
  </si>
  <si>
    <t>SYS MESH PHASIX ST W ECHO2</t>
  </si>
  <si>
    <t xml:space="preserve">MESH PHASIX ST </t>
  </si>
  <si>
    <t>0040299000</t>
  </si>
  <si>
    <t>IMP UMB PTCH MESH HERNIA PHASX</t>
  </si>
  <si>
    <t>IMP UMB PTCH ME</t>
  </si>
  <si>
    <t>0040312522</t>
  </si>
  <si>
    <t>CATH BLN DIL HURRICANERX</t>
  </si>
  <si>
    <t>CATH BLN DIL</t>
  </si>
  <si>
    <t>0040313108</t>
  </si>
  <si>
    <t>CATH DIAMONDBACK 360</t>
  </si>
  <si>
    <t>CATH DIAMONDBCK</t>
  </si>
  <si>
    <t>0040313405</t>
  </si>
  <si>
    <t>CATH DRAINAGE ALL PURP</t>
  </si>
  <si>
    <t>CATH DRAINAGE</t>
  </si>
  <si>
    <t>0040313439</t>
  </si>
  <si>
    <t>CATH EMB EXTRACTION</t>
  </si>
  <si>
    <t>CATH EMB</t>
  </si>
  <si>
    <t>0040314833</t>
  </si>
  <si>
    <t>CATH PERIT DIAL LNG TRM</t>
  </si>
  <si>
    <t>CATH PERIT DIAL</t>
  </si>
  <si>
    <t>0040314957</t>
  </si>
  <si>
    <t>CATH PTA ANGIOSCULPT</t>
  </si>
  <si>
    <t>CATH BLN PTA</t>
  </si>
  <si>
    <t>0040315020</t>
  </si>
  <si>
    <t>CATH PWR PICC SOLO SL</t>
  </si>
  <si>
    <t>CATH PWR PICC</t>
  </si>
  <si>
    <t>0040325292</t>
  </si>
  <si>
    <t>GW VIPERWIRE</t>
  </si>
  <si>
    <t>0040327504</t>
  </si>
  <si>
    <t>INTEGRA 2LAYR MTRX SQ CM</t>
  </si>
  <si>
    <t>INTEGRA SQ CM</t>
  </si>
  <si>
    <t>0040328502</t>
  </si>
  <si>
    <t>INTR SHTH CATH AVANTI</t>
  </si>
  <si>
    <t>INTR SHTH CATH</t>
  </si>
  <si>
    <t>0040330011</t>
  </si>
  <si>
    <t>KT MCATH RENEGD HF FATHM</t>
  </si>
  <si>
    <t>MCATH RENEGADE</t>
  </si>
  <si>
    <t>0040330029</t>
  </si>
  <si>
    <t>KT MCTH RENEGD HF TRNSND</t>
  </si>
  <si>
    <t>0040330466</t>
  </si>
  <si>
    <t>MCATH FINECROSS</t>
  </si>
  <si>
    <t>0040330508</t>
  </si>
  <si>
    <t>MCATH DIREXION TORQUEABL</t>
  </si>
  <si>
    <t>MCATH DIREXION</t>
  </si>
  <si>
    <t>0040330532</t>
  </si>
  <si>
    <t>MCATH DELIVERY LANTERN</t>
  </si>
  <si>
    <t>MCATH LANTERN</t>
  </si>
  <si>
    <t>0040367997</t>
  </si>
  <si>
    <t>SYS EMB PROT WIRION</t>
  </si>
  <si>
    <t>SYS EMB PROT WI</t>
  </si>
  <si>
    <t>0040368037</t>
  </si>
  <si>
    <t>SYS LEAD DLV ACUITY</t>
  </si>
  <si>
    <t>SYS LEAD DLV</t>
  </si>
  <si>
    <t>0040368045</t>
  </si>
  <si>
    <t>SYS LD DLV COR SINUS</t>
  </si>
  <si>
    <t>SYS LD DLV</t>
  </si>
  <si>
    <t>0040368060</t>
  </si>
  <si>
    <t>SYS MCATH PROGREAT COAX</t>
  </si>
  <si>
    <t>SYS MCATH COAX</t>
  </si>
  <si>
    <t>0041000043</t>
  </si>
  <si>
    <t>ELECTROLYTE PANEL</t>
  </si>
  <si>
    <t>ELECTROLYTE PAN</t>
  </si>
  <si>
    <t>0041000258</t>
  </si>
  <si>
    <t>RESPI SYNC VIRUS DIR OPT</t>
  </si>
  <si>
    <t>RSV DIR OPT</t>
  </si>
  <si>
    <t>0041000316</t>
  </si>
  <si>
    <t>VANCOMYCIN</t>
  </si>
  <si>
    <t>0041000563</t>
  </si>
  <si>
    <t>CBC AUTO W/O DIFF</t>
  </si>
  <si>
    <t>CBC AUTO</t>
  </si>
  <si>
    <t>0041000621</t>
  </si>
  <si>
    <t>LIPID PANEL</t>
  </si>
  <si>
    <t>0041001090</t>
  </si>
  <si>
    <t>HEPATIC FUNCTION PANEL</t>
  </si>
  <si>
    <t>HEPATC FUNC PNL</t>
  </si>
  <si>
    <t>0041001116</t>
  </si>
  <si>
    <t>COMP METABOLIC PANEL</t>
  </si>
  <si>
    <t>COMP METABLC PN</t>
  </si>
  <si>
    <t>0041001660</t>
  </si>
  <si>
    <t>BASIC METABOLIC PANEL</t>
  </si>
  <si>
    <t>BSC METABLC PNL</t>
  </si>
  <si>
    <t>0041003526</t>
  </si>
  <si>
    <t>SARSCOV2 COVID19 AMP PRB</t>
  </si>
  <si>
    <t xml:space="preserve">SARSCOV2/COV19 </t>
  </si>
  <si>
    <t>0041003617</t>
  </si>
  <si>
    <t>SARSCOV IA ANTIGEN</t>
  </si>
  <si>
    <t>SARSCOV IA ANTI</t>
  </si>
  <si>
    <t>0041003724</t>
  </si>
  <si>
    <t>COVID 19</t>
  </si>
  <si>
    <t>0041003773</t>
  </si>
  <si>
    <t>0041004029</t>
  </si>
  <si>
    <t>DRGSCRN TRIAGE OPT OBS</t>
  </si>
  <si>
    <t>DRGSCRN DIR OPT</t>
  </si>
  <si>
    <t>0041010018</t>
  </si>
  <si>
    <t>UA AUTO W/MICRO</t>
  </si>
  <si>
    <t>0041010059</t>
  </si>
  <si>
    <t>UA QUAL/SEMIQUANT</t>
  </si>
  <si>
    <t>UA QUAL/SEMIQUA</t>
  </si>
  <si>
    <t>0041020033</t>
  </si>
  <si>
    <t>DRUG TEST PRSMV CHEM ANLYZR/8</t>
  </si>
  <si>
    <t>DRUG TEST PRSMV</t>
  </si>
  <si>
    <t>0041020090</t>
  </si>
  <si>
    <t>ACETONE QUALITATIVE/2</t>
  </si>
  <si>
    <t>ACETONE QUAL/2</t>
  </si>
  <si>
    <t>0041020116</t>
  </si>
  <si>
    <t>DRUG TEST PRSMV CHEM ANLYZR/9</t>
  </si>
  <si>
    <t>0041020405</t>
  </si>
  <si>
    <t>ALBUMIN SERUM</t>
  </si>
  <si>
    <t>0041020553</t>
  </si>
  <si>
    <t>DRUG TEST PRSMV CHEM ANLYZR/10</t>
  </si>
  <si>
    <t>0041021403</t>
  </si>
  <si>
    <t>AMMONIA</t>
  </si>
  <si>
    <t>0041021502</t>
  </si>
  <si>
    <t>AMYLASE</t>
  </si>
  <si>
    <t>0041022500</t>
  </si>
  <si>
    <t>BILIRUBIN TOTAL/2</t>
  </si>
  <si>
    <t>BILIRUBN TOTAL/</t>
  </si>
  <si>
    <t>0041022534</t>
  </si>
  <si>
    <t>BILIRUBIN DIRECT</t>
  </si>
  <si>
    <t>BILIRUBN DIRECT</t>
  </si>
  <si>
    <t>0041022724</t>
  </si>
  <si>
    <t>OCCULT BLD FECES ONE SPC</t>
  </si>
  <si>
    <t>OCC BLD QL</t>
  </si>
  <si>
    <t>0041023102</t>
  </si>
  <si>
    <t>CALCIUM</t>
  </si>
  <si>
    <t>0041024365</t>
  </si>
  <si>
    <t>CHLORIDE URINE/2</t>
  </si>
  <si>
    <t>CHLORIDE URINE/</t>
  </si>
  <si>
    <t>0041024654</t>
  </si>
  <si>
    <t>CHOLESTEROL TOTAL</t>
  </si>
  <si>
    <t>CHOLESTEROL TOT</t>
  </si>
  <si>
    <t>0041025339</t>
  </si>
  <si>
    <t>CORTISOL TOTAL</t>
  </si>
  <si>
    <t>CORTISL TOTAL</t>
  </si>
  <si>
    <t>0041025503</t>
  </si>
  <si>
    <t>CREATINE KINASE TOTAL</t>
  </si>
  <si>
    <t>CPK TOTAL</t>
  </si>
  <si>
    <t>0041025651</t>
  </si>
  <si>
    <t>CREATININE BLOOD/2</t>
  </si>
  <si>
    <t>CREATININE BLD/</t>
  </si>
  <si>
    <t>0041025735</t>
  </si>
  <si>
    <t>CREATININE OTHR SRCE/3</t>
  </si>
  <si>
    <t>CREATIN OTH SRC</t>
  </si>
  <si>
    <t>0041026113</t>
  </si>
  <si>
    <t>CYANOCOBLMN(VIT B12)</t>
  </si>
  <si>
    <t>VIT B12</t>
  </si>
  <si>
    <t>0041026436</t>
  </si>
  <si>
    <t>DIGOXIN TOTAL</t>
  </si>
  <si>
    <t>0041026550</t>
  </si>
  <si>
    <t>PHENYTOIN TOTAL</t>
  </si>
  <si>
    <t>0041027269</t>
  </si>
  <si>
    <t>FERRITIN</t>
  </si>
  <si>
    <t>0041027467</t>
  </si>
  <si>
    <t>FOLIC ACID</t>
  </si>
  <si>
    <t>0041029471</t>
  </si>
  <si>
    <t>GLUCOSE QUANTITATIVE</t>
  </si>
  <si>
    <t>GLUCOSE QUANT</t>
  </si>
  <si>
    <t>0041029489</t>
  </si>
  <si>
    <t>GLUCOSE BLD RGT ST VISU</t>
  </si>
  <si>
    <t>GLUCOSE BLD VIS</t>
  </si>
  <si>
    <t>0041029588</t>
  </si>
  <si>
    <t>GLUCOSE BODY FLUID/4</t>
  </si>
  <si>
    <t>GLUCOSE BDY FLD</t>
  </si>
  <si>
    <t>0041029620</t>
  </si>
  <si>
    <t>GLUCOSE BLD BY MONIT DEV</t>
  </si>
  <si>
    <t>GLUC BLD MNT DV</t>
  </si>
  <si>
    <t>0041029802</t>
  </si>
  <si>
    <t>GGT</t>
  </si>
  <si>
    <t>0041029943</t>
  </si>
  <si>
    <t>HEMOGLOBIN GLYCATED</t>
  </si>
  <si>
    <t>HEMOGLOBN GLYCT</t>
  </si>
  <si>
    <t>0041030131</t>
  </si>
  <si>
    <t>GONADTOPN CHRONC(HCG)QL</t>
  </si>
  <si>
    <t>GONA CHR(HCG)QL</t>
  </si>
  <si>
    <t>0041030149</t>
  </si>
  <si>
    <t>GONADTOPN CHORNC(HCG)QNT</t>
  </si>
  <si>
    <t>GONA CHR(HCG)QN</t>
  </si>
  <si>
    <t>0041035270</t>
  </si>
  <si>
    <t>B-TYP NATRIURETC PEPTIDE</t>
  </si>
  <si>
    <t>B-TYP NATR PEPT</t>
  </si>
  <si>
    <t>0041035312</t>
  </si>
  <si>
    <t>THYROXINE FREE</t>
  </si>
  <si>
    <t>0041035387</t>
  </si>
  <si>
    <t>TRIIODTHYRNINE TOTAL T3</t>
  </si>
  <si>
    <t>TRIIODTH TOT T3</t>
  </si>
  <si>
    <t>0041035403</t>
  </si>
  <si>
    <t>IRON ASSAY</t>
  </si>
  <si>
    <t>0041035502</t>
  </si>
  <si>
    <t>IRON BINDING CAPCTY</t>
  </si>
  <si>
    <t>IRON BINDNG CAP</t>
  </si>
  <si>
    <t>0041035544</t>
  </si>
  <si>
    <t>T3 FREE</t>
  </si>
  <si>
    <t>T-3 FREE</t>
  </si>
  <si>
    <t>0041036054</t>
  </si>
  <si>
    <t>LACTATE(LACTIC ACID)</t>
  </si>
  <si>
    <t>LACTATE</t>
  </si>
  <si>
    <t>0041036153</t>
  </si>
  <si>
    <t>LDH-LACTIC DEHYDROGENASE</t>
  </si>
  <si>
    <t>LDH</t>
  </si>
  <si>
    <t>0041036906</t>
  </si>
  <si>
    <t>LIPASE</t>
  </si>
  <si>
    <t>0041037359</t>
  </si>
  <si>
    <t>MAGNESIUM</t>
  </si>
  <si>
    <t>0041038738</t>
  </si>
  <si>
    <t>MYOGLOBIN</t>
  </si>
  <si>
    <t>0041040759</t>
  </si>
  <si>
    <t>PHOSPHATASE ALKALINE</t>
  </si>
  <si>
    <t>PHOSPHA ALKALIN</t>
  </si>
  <si>
    <t>0041041005</t>
  </si>
  <si>
    <t>PHOSPHORUS</t>
  </si>
  <si>
    <t>0041041328</t>
  </si>
  <si>
    <t>POTASSIUM</t>
  </si>
  <si>
    <t>0041041336</t>
  </si>
  <si>
    <t>POTASSIUM URINE</t>
  </si>
  <si>
    <t>0041041559</t>
  </si>
  <si>
    <t>PROTEIN TOTAL</t>
  </si>
  <si>
    <t>0041041567</t>
  </si>
  <si>
    <t>PROTEIN URINE</t>
  </si>
  <si>
    <t>0041041807</t>
  </si>
  <si>
    <t>PROTEIN URINE/3</t>
  </si>
  <si>
    <t>0041041955</t>
  </si>
  <si>
    <t>PROTEIN TOTAL OTHER SOURCE/2</t>
  </si>
  <si>
    <t>PROT TOT OTHR S</t>
  </si>
  <si>
    <t>0041042508</t>
  </si>
  <si>
    <t>TRIIODTHYRN (T3/T4) UPTAKE</t>
  </si>
  <si>
    <t>T3/T4 UPTAKE</t>
  </si>
  <si>
    <t>0041042953</t>
  </si>
  <si>
    <t>SODIUM</t>
  </si>
  <si>
    <t>0041042961</t>
  </si>
  <si>
    <t>SODIUM URINE</t>
  </si>
  <si>
    <t>0041044363</t>
  </si>
  <si>
    <t>THYROXINE TOTAL</t>
  </si>
  <si>
    <t>THYROXIN TOTAL</t>
  </si>
  <si>
    <t>0041044439</t>
  </si>
  <si>
    <t>TSH</t>
  </si>
  <si>
    <t>0041044504</t>
  </si>
  <si>
    <t>TRANSTERASE AST(SGOT)</t>
  </si>
  <si>
    <t>SGOT(AST)</t>
  </si>
  <si>
    <t>0041044603</t>
  </si>
  <si>
    <t>TRANSAMINASE-SGPT (ALT)</t>
  </si>
  <si>
    <t>SGPT (ALT)</t>
  </si>
  <si>
    <t>0041044751</t>
  </si>
  <si>
    <t>TRIGLYCERIDES</t>
  </si>
  <si>
    <t>TRIGLYCER</t>
  </si>
  <si>
    <t>0041045204</t>
  </si>
  <si>
    <t>BLD UREA NITROGEN QUAN</t>
  </si>
  <si>
    <t>BLD UREA NTRG Q</t>
  </si>
  <si>
    <t>0041045402</t>
  </si>
  <si>
    <t>UREA NITROGEN URINE</t>
  </si>
  <si>
    <t>UREA NTRGN URIN</t>
  </si>
  <si>
    <t>0041045501</t>
  </si>
  <si>
    <t>URIC ACID BLOOD</t>
  </si>
  <si>
    <t>0041050063</t>
  </si>
  <si>
    <t>CLOSTRIDIUM IA</t>
  </si>
  <si>
    <t>0041050147</t>
  </si>
  <si>
    <t>HEMATOCRIT</t>
  </si>
  <si>
    <t>0041050188</t>
  </si>
  <si>
    <t>BLOOD HEMOGLBN</t>
  </si>
  <si>
    <t>BLOOD HEMOGLOBN</t>
  </si>
  <si>
    <t>0041050287</t>
  </si>
  <si>
    <t>CBC WITH AUTO DIFF</t>
  </si>
  <si>
    <t>CBC W/AUTO DIFF</t>
  </si>
  <si>
    <t>0041053505</t>
  </si>
  <si>
    <t>FDP D-DIMER QNT</t>
  </si>
  <si>
    <t>FDP D-DMR QN</t>
  </si>
  <si>
    <t>0041053844</t>
  </si>
  <si>
    <t>FIBRINOGEN ACTIVITY</t>
  </si>
  <si>
    <t>FIBRINOGN ACTIV</t>
  </si>
  <si>
    <t>0041053869</t>
  </si>
  <si>
    <t>0041055955</t>
  </si>
  <si>
    <t>PLATELET AUTO</t>
  </si>
  <si>
    <t>0041056102</t>
  </si>
  <si>
    <t>PROTHROMBIN TIME</t>
  </si>
  <si>
    <t>PROTHROM TIME</t>
  </si>
  <si>
    <t>0041056532</t>
  </si>
  <si>
    <t>SED RATE AUTO</t>
  </si>
  <si>
    <t>0041057308</t>
  </si>
  <si>
    <t>PTT/2</t>
  </si>
  <si>
    <t>0041060039</t>
  </si>
  <si>
    <t>HETEROPHILE AB SCREEN</t>
  </si>
  <si>
    <t>HETRPHL AB SCRN</t>
  </si>
  <si>
    <t>0041060161</t>
  </si>
  <si>
    <t>RBC ANTIBODIES SCREEN</t>
  </si>
  <si>
    <t>RBC AB SCRN</t>
  </si>
  <si>
    <t>0041060245</t>
  </si>
  <si>
    <t>ANTIBDY IDENT RBC EA PNL</t>
  </si>
  <si>
    <t>AB RBC EA PNL</t>
  </si>
  <si>
    <t>0041060310</t>
  </si>
  <si>
    <t>COOMBS DIRECT EA</t>
  </si>
  <si>
    <t>COOMBS DIR EA</t>
  </si>
  <si>
    <t>0041060732</t>
  </si>
  <si>
    <t>BLD TYPE PAT SERUM SCRN</t>
  </si>
  <si>
    <t xml:space="preserve">BLD TYPE PT SR </t>
  </si>
  <si>
    <t>0041060807</t>
  </si>
  <si>
    <t>BLD TYPE ABO</t>
  </si>
  <si>
    <t>0041060955</t>
  </si>
  <si>
    <t>RBC AG EXCPT ABO/RHO EA</t>
  </si>
  <si>
    <t>RBC AG EX ABO/R</t>
  </si>
  <si>
    <t>0041061003</t>
  </si>
  <si>
    <t>BLD TYPE RH (D)</t>
  </si>
  <si>
    <t>0041061409</t>
  </si>
  <si>
    <t>CRP HI SENSITIVITY</t>
  </si>
  <si>
    <t>CRP HI SNSITVTY</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</si>
  <si>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</si>
  <si>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</si>
  <si>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</si>
  <si>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</si>
  <si>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</si>
  <si>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</si>
  <si>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</si>
  <si>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</si>
  <si>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</si>
  <si>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</si>
  <si>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</si>
  <si>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</si>
  <si>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</si>
  <si>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</si>
  <si>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0041064148</t>
  </si>
  <si>
    <t>RSV IA</t>
  </si>
  <si>
    <t>0041070228</t>
  </si>
  <si>
    <t>CULTURE BACT OTH SOURCE/2</t>
  </si>
  <si>
    <t>CULT OTH SOURCE</t>
  </si>
  <si>
    <t>0041070244</t>
  </si>
  <si>
    <t>CULTURE BACT OTH SOURCE/3</t>
  </si>
  <si>
    <t>0041070400</t>
  </si>
  <si>
    <t>CULTURE BLOOD</t>
  </si>
  <si>
    <t>CULT BLOOD</t>
  </si>
  <si>
    <t>0041070434</t>
  </si>
  <si>
    <t>CULTURE BACT OTH SOURCE/6</t>
  </si>
  <si>
    <t>0041070558</t>
  </si>
  <si>
    <t>CULTURE STOOL</t>
  </si>
  <si>
    <t>CULT STOOL</t>
  </si>
  <si>
    <t>0041070566</t>
  </si>
  <si>
    <t>CULTURE BACT OTH SOURCE/9</t>
  </si>
  <si>
    <t>0041070574</t>
  </si>
  <si>
    <t>CULT STOOL ADD PATH EA/4</t>
  </si>
  <si>
    <t>CULT STOOL ADD/</t>
  </si>
  <si>
    <t>0041070657</t>
  </si>
  <si>
    <t>CULTURE BACT OTH SOURCE/11</t>
  </si>
  <si>
    <t>0041070681</t>
  </si>
  <si>
    <t>CULTURE BACT OTH SOURCE/14</t>
  </si>
  <si>
    <t>0041070699</t>
  </si>
  <si>
    <t>CULTURE BACT OTH SOURCE/15</t>
  </si>
  <si>
    <t>0041070707</t>
  </si>
  <si>
    <t>CULTURE BACT OTH SOURCE/16</t>
  </si>
  <si>
    <t>0041070731</t>
  </si>
  <si>
    <t>CULTURE BACT OTH SOURCE/18</t>
  </si>
  <si>
    <t>0041070749</t>
  </si>
  <si>
    <t>CULTURE BACT OTH SOURCE/19</t>
  </si>
  <si>
    <t>0041070756</t>
  </si>
  <si>
    <t>CULT ANAEROBIC ANY EX BLD/2</t>
  </si>
  <si>
    <t xml:space="preserve">CULT AERBC ANY </t>
  </si>
  <si>
    <t>0041070780</t>
  </si>
  <si>
    <t>CULTURE BACT OTH SOURCE/20</t>
  </si>
  <si>
    <t>0041070863</t>
  </si>
  <si>
    <t>CULTURE URINE COLONY CT</t>
  </si>
  <si>
    <t>CULT URIN CNT</t>
  </si>
  <si>
    <t>0041070996</t>
  </si>
  <si>
    <t>CULTURE BACTERIAL SCREEN/6</t>
  </si>
  <si>
    <t>CULT BAC SCREEN</t>
  </si>
  <si>
    <t>0041071069</t>
  </si>
  <si>
    <t>CULT FUNGI ID YEAST EA</t>
  </si>
  <si>
    <t>C FUNG YEAST EA</t>
  </si>
  <si>
    <t>0041071333</t>
  </si>
  <si>
    <t>CULTURE BACT OTH SOURCE/25</t>
  </si>
  <si>
    <t>0041071606</t>
  </si>
  <si>
    <t>CULTURE BACTERIAL SCREEN/7</t>
  </si>
  <si>
    <t>0041071861</t>
  </si>
  <si>
    <t>SUSCEPTIBLTY STUDY MIC/3</t>
  </si>
  <si>
    <t>SUSCEP STDY MIC</t>
  </si>
  <si>
    <t>0041072034</t>
  </si>
  <si>
    <t>LEUKO ASSMT FECAL QL/SQN</t>
  </si>
  <si>
    <t>LEUKO ASSMT FEC</t>
  </si>
  <si>
    <t>0041072059</t>
  </si>
  <si>
    <t>GRAM STAIN SMEAR</t>
  </si>
  <si>
    <t>GRAM STAIN</t>
  </si>
  <si>
    <t>0041072109</t>
  </si>
  <si>
    <t>SMEAR SALINE/INK/KOH/4</t>
  </si>
  <si>
    <t>SMEAR SAL/IN/KO</t>
  </si>
  <si>
    <t>0041072158</t>
  </si>
  <si>
    <t>SMEAR SALINE/INK/KOH</t>
  </si>
  <si>
    <t>0041072208</t>
  </si>
  <si>
    <t>SMEAR SALINE/INK/KOH/2</t>
  </si>
  <si>
    <t>0041072356</t>
  </si>
  <si>
    <t>TROPONIN QUAN/2</t>
  </si>
  <si>
    <t>0041074493</t>
  </si>
  <si>
    <t>INFECTIOUS AGNT NOS IA</t>
  </si>
  <si>
    <t>INF AGNT IA</t>
  </si>
  <si>
    <t>0041075029</t>
  </si>
  <si>
    <t>INFLUENZA 1ST 2 TYPE/SUB</t>
  </si>
  <si>
    <t>FLU 1ST 2</t>
  </si>
  <si>
    <t>0041076316</t>
  </si>
  <si>
    <t>RESP VIRUS 3-5 AMP PROBE</t>
  </si>
  <si>
    <t>RESP VIR 3-5 AM</t>
  </si>
  <si>
    <t>0041078049</t>
  </si>
  <si>
    <t>INFLUENZA DIR OPT</t>
  </si>
  <si>
    <t>INF DIR OPT</t>
  </si>
  <si>
    <t>0041078056</t>
  </si>
  <si>
    <t>INFLUENZA DIR OPT/2</t>
  </si>
  <si>
    <t>INF DIR OPT/2</t>
  </si>
  <si>
    <t>0041087057</t>
  </si>
  <si>
    <t>GRAM STAIN SMEAR/4</t>
  </si>
  <si>
    <t>GRAM STAIN/4</t>
  </si>
  <si>
    <t>0041087073</t>
  </si>
  <si>
    <t>CULTURE AEROBIC DEF ID</t>
  </si>
  <si>
    <t>CULT AEROBIC ID</t>
  </si>
  <si>
    <t>0041087511</t>
  </si>
  <si>
    <t>C DIFF TOXIN AMP PROBE</t>
  </si>
  <si>
    <t>CDIFF AMP PRB</t>
  </si>
  <si>
    <t>0041087818</t>
  </si>
  <si>
    <t>CULTURE BACTERIAL SCREEN/10</t>
  </si>
  <si>
    <t>0041090507</t>
  </si>
  <si>
    <t>CELL COUNT MISC BODY FLD</t>
  </si>
  <si>
    <t>CELL COUNT</t>
  </si>
  <si>
    <t>0041090515</t>
  </si>
  <si>
    <t>CELL COUNT MISC W/DIFF</t>
  </si>
  <si>
    <t>CELL COUNT DIFF</t>
  </si>
  <si>
    <t>0041093634</t>
  </si>
  <si>
    <t>CRYST ID BODY FLD EX URN</t>
  </si>
  <si>
    <t>CRYST ID EX URN</t>
  </si>
  <si>
    <t>0041500042</t>
  </si>
  <si>
    <t>0041500091</t>
  </si>
  <si>
    <t>0041500315</t>
  </si>
  <si>
    <t>0041500562</t>
  </si>
  <si>
    <t>0041500620</t>
  </si>
  <si>
    <t>0041501099</t>
  </si>
  <si>
    <t>0041501115</t>
  </si>
  <si>
    <t>0041501669</t>
  </si>
  <si>
    <t>0041510017</t>
  </si>
  <si>
    <t>0041520404</t>
  </si>
  <si>
    <t>0041520552</t>
  </si>
  <si>
    <t>0041521402</t>
  </si>
  <si>
    <t>0041521501</t>
  </si>
  <si>
    <t>0041522509</t>
  </si>
  <si>
    <t>BILIRUBIN TOTAL</t>
  </si>
  <si>
    <t>BILIRUBN TOTAL</t>
  </si>
  <si>
    <t>0041522533</t>
  </si>
  <si>
    <t>0041522723</t>
  </si>
  <si>
    <t>0041523101</t>
  </si>
  <si>
    <t>0041524364</t>
  </si>
  <si>
    <t>0041525502</t>
  </si>
  <si>
    <t>0041525650</t>
  </si>
  <si>
    <t>CREATININE BLOOD</t>
  </si>
  <si>
    <t>CREATININE BLD</t>
  </si>
  <si>
    <t>0041525734</t>
  </si>
  <si>
    <t>0041525759</t>
  </si>
  <si>
    <t>CREATININE CLEARANCE</t>
  </si>
  <si>
    <t>CREATININ CLEAR</t>
  </si>
  <si>
    <t>0041526112</t>
  </si>
  <si>
    <t>0041526435</t>
  </si>
  <si>
    <t>0041526559</t>
  </si>
  <si>
    <t>0041527268</t>
  </si>
  <si>
    <t>0041527466</t>
  </si>
  <si>
    <t>0041529470</t>
  </si>
  <si>
    <t>0041529587</t>
  </si>
  <si>
    <t>0041529801</t>
  </si>
  <si>
    <t>0041529942</t>
  </si>
  <si>
    <t>0041530130</t>
  </si>
  <si>
    <t>0041535279</t>
  </si>
  <si>
    <t>0041535311</t>
  </si>
  <si>
    <t>0041535402</t>
  </si>
  <si>
    <t>0041536053</t>
  </si>
  <si>
    <t>0041536152</t>
  </si>
  <si>
    <t>0041536905</t>
  </si>
  <si>
    <t>0041537358</t>
  </si>
  <si>
    <t>0041538737</t>
  </si>
  <si>
    <t>0041541004</t>
  </si>
  <si>
    <t>0041541327</t>
  </si>
  <si>
    <t>0041541558</t>
  </si>
  <si>
    <t>0041541566</t>
  </si>
  <si>
    <t>0041541806</t>
  </si>
  <si>
    <t>0041541954</t>
  </si>
  <si>
    <t>0041542507</t>
  </si>
  <si>
    <t>0041542960</t>
  </si>
  <si>
    <t>0041544362</t>
  </si>
  <si>
    <t>0041544438</t>
  </si>
  <si>
    <t>0041544503</t>
  </si>
  <si>
    <t>0041544602</t>
  </si>
  <si>
    <t>0041545203</t>
  </si>
  <si>
    <t>0041545500</t>
  </si>
  <si>
    <t>0041550146</t>
  </si>
  <si>
    <t>0041550187</t>
  </si>
  <si>
    <t>0041550286</t>
  </si>
  <si>
    <t>0041553504</t>
  </si>
  <si>
    <t>0041553843</t>
  </si>
  <si>
    <t>0041556101</t>
  </si>
  <si>
    <t>0041556531</t>
  </si>
  <si>
    <t>0041557307</t>
  </si>
  <si>
    <t>0041560160</t>
  </si>
  <si>
    <t>0041560210</t>
  </si>
  <si>
    <t>C-REACTIVE PROTEIN</t>
  </si>
  <si>
    <t>C-REACT PRTN</t>
  </si>
  <si>
    <t>0041560319</t>
  </si>
  <si>
    <t>0041560806</t>
  </si>
  <si>
    <t>0041561002</t>
  </si>
  <si>
    <t>0041562109</t>
  </si>
  <si>
    <t>0041563180</t>
  </si>
  <si>
    <t>RUBELLA AB</t>
  </si>
  <si>
    <t>0041570227</t>
  </si>
  <si>
    <t>0041570409</t>
  </si>
  <si>
    <t>0041570557</t>
  </si>
  <si>
    <t>0041570656</t>
  </si>
  <si>
    <t>0041570680</t>
  </si>
  <si>
    <t>CULTURE BACT OTH SOURCE/12</t>
  </si>
  <si>
    <t>0041570748</t>
  </si>
  <si>
    <t>CULTURE BACT OTH SOURCE/17</t>
  </si>
  <si>
    <t>0041570755</t>
  </si>
  <si>
    <t>0041570789</t>
  </si>
  <si>
    <t>0041570862</t>
  </si>
  <si>
    <t>0041571332</t>
  </si>
  <si>
    <t>CULTURE BACT OTH SOURCE/24</t>
  </si>
  <si>
    <t>0041571860</t>
  </si>
  <si>
    <t>SUSCEPTIBLTY STUDY MIC/2</t>
  </si>
  <si>
    <t>0041572033</t>
  </si>
  <si>
    <t>0041572058</t>
  </si>
  <si>
    <t>0041572108</t>
  </si>
  <si>
    <t>SMEAR SALINE/INK/KOH/3</t>
  </si>
  <si>
    <t>0041572355</t>
  </si>
  <si>
    <t>TROPONIN QUAN</t>
  </si>
  <si>
    <t>0041587072</t>
  </si>
  <si>
    <t>0041590506</t>
  </si>
  <si>
    <t>0041590514</t>
  </si>
  <si>
    <t>0041829623</t>
  </si>
  <si>
    <t>0042064170</t>
  </si>
  <si>
    <t>CAP BLD COLL</t>
  </si>
  <si>
    <t>0042090100</t>
  </si>
  <si>
    <t>VENIPUNCTURE/3</t>
  </si>
  <si>
    <t xml:space="preserve">VENIPUNCTURE/3 </t>
  </si>
  <si>
    <t>0042090118</t>
  </si>
  <si>
    <t>VENIPUNCTURE/4</t>
  </si>
  <si>
    <t xml:space="preserve">VENIPUNCTURE/4 </t>
  </si>
  <si>
    <t>0042090506</t>
  </si>
  <si>
    <t>SPECIMEN HANDLING/6</t>
  </si>
  <si>
    <t>SPEC HANDLING/6</t>
  </si>
  <si>
    <t>0043000835</t>
  </si>
  <si>
    <t>TUMOR IMM PER SPEC MAN</t>
  </si>
  <si>
    <t>AB STN MANUAL</t>
  </si>
  <si>
    <t>0043050970</t>
  </si>
  <si>
    <t>BONE MARROW SMEAR INTRP</t>
  </si>
  <si>
    <t>BN M SMR INTRP</t>
  </si>
  <si>
    <t>0043051028</t>
  </si>
  <si>
    <t>BONE M BIOPSY NDL TROCAR</t>
  </si>
  <si>
    <t>BN BX NDL TROCR</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</si>
  <si>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</si>
  <si>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</si>
  <si>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</si>
  <si>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</si>
  <si>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</si>
  <si>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</si>
  <si>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</si>
  <si>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</si>
  <si>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</si>
  <si>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</si>
  <si>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</si>
  <si>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</si>
  <si>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0043081603</t>
  </si>
  <si>
    <t>CYTOPATH OTHER SOURCE</t>
  </si>
  <si>
    <t>CYTOPTH OTH SRC</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</si>
  <si>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</si>
  <si>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</si>
  <si>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</si>
  <si>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</si>
  <si>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</si>
  <si>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</si>
  <si>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</si>
  <si>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</si>
  <si>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</si>
  <si>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</si>
  <si>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</si>
  <si>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</si>
  <si>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0043081777</t>
  </si>
  <si>
    <t>CYTO FNA ADD EVAL</t>
  </si>
  <si>
    <t>CYTO FNA ADD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</si>
  <si>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</si>
  <si>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</si>
  <si>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</si>
  <si>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</si>
  <si>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</si>
  <si>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</si>
  <si>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</si>
  <si>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</si>
  <si>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</si>
  <si>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</si>
  <si>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</si>
  <si>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</si>
  <si>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</si>
  <si>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</si>
  <si>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</si>
  <si>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</si>
  <si>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</si>
  <si>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</si>
  <si>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</si>
  <si>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</si>
  <si>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</si>
  <si>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</si>
  <si>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</si>
  <si>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0043083294</t>
  </si>
  <si>
    <t>CONSULT/SURGERY</t>
  </si>
  <si>
    <t>SPATH CNSL/SRG</t>
  </si>
  <si>
    <t>0043083310</t>
  </si>
  <si>
    <t>CONSULT/FROZEN SEC</t>
  </si>
  <si>
    <t>CNSLT/FRZN</t>
  </si>
  <si>
    <t>0043083328</t>
  </si>
  <si>
    <t>CONSULT/FROZEN ADD</t>
  </si>
  <si>
    <t>FROZEN ADD</t>
  </si>
  <si>
    <t>0043083443</t>
  </si>
  <si>
    <t>IMMCYT MLTIPLEX AB STAIN</t>
  </si>
  <si>
    <t>EA MLTPLX STN</t>
  </si>
  <si>
    <t>0043083690</t>
  </si>
  <si>
    <t>IMMUNOCYTO EA ADD AB STN</t>
  </si>
  <si>
    <t>IMM EA ADD AB</t>
  </si>
  <si>
    <t>0043084037</t>
  </si>
  <si>
    <t>SURGICAL PATH LEVEL III</t>
  </si>
  <si>
    <t>LVL III SURG PT</t>
  </si>
  <si>
    <t>0043099001</t>
  </si>
  <si>
    <t>CALCULUS QUAN</t>
  </si>
  <si>
    <t>CALCULUS QN</t>
  </si>
  <si>
    <t>0045000031</t>
  </si>
  <si>
    <t>FFP QUICK FREEZE 8 24 HR</t>
  </si>
  <si>
    <t>FFP QCK 8 24HR</t>
  </si>
  <si>
    <t>0045000163</t>
  </si>
  <si>
    <t>BLOOD RC LEUKOCYTE POOR</t>
  </si>
  <si>
    <t>BLD RC LEUK PR</t>
  </si>
  <si>
    <t>0045000189</t>
  </si>
  <si>
    <t>BLD PLASMA FROZEN</t>
  </si>
  <si>
    <t>BLD PLSMA FROZN</t>
  </si>
  <si>
    <t>0045000247</t>
  </si>
  <si>
    <t>BLD PLT PHER LEUKO REDUC</t>
  </si>
  <si>
    <t>BLD PHER LEUKO</t>
  </si>
  <si>
    <t>0045000346</t>
  </si>
  <si>
    <t>BLOOD CRYOPRECIPITATE</t>
  </si>
  <si>
    <t>BLD CRYOPRCPTAT</t>
  </si>
  <si>
    <t>0045000759</t>
  </si>
  <si>
    <t>NC CONVALESCENT FFP</t>
  </si>
  <si>
    <t>NC CONVALESCENT</t>
  </si>
  <si>
    <t>0045055886</t>
  </si>
  <si>
    <t>PLT PHER LEUKORED IRRAD</t>
  </si>
  <si>
    <t>PLT PHER LEUKRD</t>
  </si>
  <si>
    <t>0045060233</t>
  </si>
  <si>
    <t>RBC LEUKORED IRRAD</t>
  </si>
  <si>
    <t>RBC LEUKRED IRR</t>
  </si>
  <si>
    <t>0046030003</t>
  </si>
  <si>
    <t>EKG TRACE ONLY</t>
  </si>
  <si>
    <t>EKG</t>
  </si>
  <si>
    <t>0046030177</t>
  </si>
  <si>
    <t>CARDIO STRESS TRACE ONLY</t>
  </si>
  <si>
    <t>CARD STRESS TRC</t>
  </si>
  <si>
    <t>0046032421</t>
  </si>
  <si>
    <t>EXT EKG&gt;48HR&lt;7D RECORDING</t>
  </si>
  <si>
    <t>EXT EKG&gt;48HR&lt;7D</t>
  </si>
  <si>
    <t>0046032462</t>
  </si>
  <si>
    <t>EXT EKG&gt;7D&lt;15D RECORDING</t>
  </si>
  <si>
    <t xml:space="preserve">EXT EKG&gt;7D&lt;15D </t>
  </si>
  <si>
    <t>0046032702</t>
  </si>
  <si>
    <t>EVENT MONITOR RECORDING</t>
  </si>
  <si>
    <t>EVT MNTR RECORD</t>
  </si>
  <si>
    <t>0046032710</t>
  </si>
  <si>
    <t>EVENT MONITOR ANALYSIS</t>
  </si>
  <si>
    <t>EVT MNTR ANALYS</t>
  </si>
  <si>
    <t>0046032751</t>
  </si>
  <si>
    <t>EKG MNTR UP TO 48 HRS</t>
  </si>
  <si>
    <t>EKG MNTR TO 48H</t>
  </si>
  <si>
    <t>0046032777</t>
  </si>
  <si>
    <t>EKG MNTR SCN W/RPT 48 HR</t>
  </si>
  <si>
    <t>EKG MNTR W/RPT</t>
  </si>
  <si>
    <t>0046032793</t>
  </si>
  <si>
    <t>EXT TELEM TECH SUPPORT</t>
  </si>
  <si>
    <t>EXT TECH SUPORT</t>
  </si>
  <si>
    <t>0046032868</t>
  </si>
  <si>
    <t>CONVERSION ARRHYTHMIA</t>
  </si>
  <si>
    <t>CONV ARRHYTHMIA</t>
  </si>
  <si>
    <t>0046033064</t>
  </si>
  <si>
    <t>ECHO2D SPECTR/COLOR FLO</t>
  </si>
  <si>
    <t>CARD ECHO 2D</t>
  </si>
  <si>
    <t>0046033080</t>
  </si>
  <si>
    <t>ECHO TRNSTHR 2D FU/LTD</t>
  </si>
  <si>
    <t>ECHO 2D LTD</t>
  </si>
  <si>
    <t>0046033254</t>
  </si>
  <si>
    <t>DOPPLER ECHO PULSE/CONT</t>
  </si>
  <si>
    <t>DOPPLER ECHO</t>
  </si>
  <si>
    <t>0046033502</t>
  </si>
  <si>
    <t>ECHOCARDIOGRAM EX STRESS</t>
  </si>
  <si>
    <t>ECHO EXER STRES</t>
  </si>
  <si>
    <t>0046034005</t>
  </si>
  <si>
    <t>ECHO TRANSESOPHAGEAL</t>
  </si>
  <si>
    <t>ESOPHAGEAL ECHO</t>
  </si>
  <si>
    <t>0046038808</t>
  </si>
  <si>
    <t>DUPLEX CAROTID BI/COMP</t>
  </si>
  <si>
    <t>CAROTID IMG COM</t>
  </si>
  <si>
    <t>0046038824</t>
  </si>
  <si>
    <t>DUPLEX CAROTID UNI/LTD</t>
  </si>
  <si>
    <t>CAROTID IMG LTD</t>
  </si>
  <si>
    <t>0046044210</t>
  </si>
  <si>
    <t>UE/LE ART STUD COMP 3+LVL</t>
  </si>
  <si>
    <t>EXT STD 3+LVL</t>
  </si>
  <si>
    <t>0046044301</t>
  </si>
  <si>
    <t>LE ART IMAGING COMP BILAT</t>
  </si>
  <si>
    <t>ART IMG L/E COM</t>
  </si>
  <si>
    <t>0046044400</t>
  </si>
  <si>
    <t>UE ART IMAGING COMP BILAT</t>
  </si>
  <si>
    <t>ART IMG U/E COM</t>
  </si>
  <si>
    <t>0046100145</t>
  </si>
  <si>
    <t>IFR CORO W/WO PHARM STRESS</t>
  </si>
  <si>
    <t>IFR CORO W/WO P</t>
  </si>
  <si>
    <t>0046100244</t>
  </si>
  <si>
    <t>REM TUNNLD PLEURL CATH</t>
  </si>
  <si>
    <t>REM PLEURL CATH</t>
  </si>
  <si>
    <t>0046100251</t>
  </si>
  <si>
    <t>INJ LUMB/THOR SYMP BLK</t>
  </si>
  <si>
    <t>INJ NERVE BLK</t>
  </si>
  <si>
    <t>0046100285</t>
  </si>
  <si>
    <t>DCLOT PLEURAL CATH THROMB AGNT</t>
  </si>
  <si>
    <t>DCLT PLR CATH T</t>
  </si>
  <si>
    <t>0046100343</t>
  </si>
  <si>
    <t>IMP NSTM ELEC ARRAY</t>
  </si>
  <si>
    <t>NSTM ELEC ARRAY</t>
  </si>
  <si>
    <t>0046100350</t>
  </si>
  <si>
    <t>INS REDO SPINE NRST GEN</t>
  </si>
  <si>
    <t>INS REDO SPNGEN</t>
  </si>
  <si>
    <t>0046101010</t>
  </si>
  <si>
    <t>INJ EPID BLD PATCH</t>
  </si>
  <si>
    <t>INJ BLD PATCH</t>
  </si>
  <si>
    <t>0046101127</t>
  </si>
  <si>
    <t>FNA BX FLUOR GUIDANCE 1ST LES</t>
  </si>
  <si>
    <t>FNA BX FLUOR 1S</t>
  </si>
  <si>
    <t>0046101358</t>
  </si>
  <si>
    <t>I&amp;D HEMA SEROMA FL</t>
  </si>
  <si>
    <t>I&amp;D HEMA SEROMA</t>
  </si>
  <si>
    <t>0046101465</t>
  </si>
  <si>
    <t>ATHERECT ILIAC OPEN PERC</t>
  </si>
  <si>
    <t>ATHER ILIAC O/P</t>
  </si>
  <si>
    <t>0046101614</t>
  </si>
  <si>
    <t>ASP ABS/HEMAT/CYST</t>
  </si>
  <si>
    <t>ASP ABS/CYST</t>
  </si>
  <si>
    <t>0046102018</t>
  </si>
  <si>
    <t>BX RENAL PERC NDL</t>
  </si>
  <si>
    <t>BX RENAL PERC</t>
  </si>
  <si>
    <t>0046102216</t>
  </si>
  <si>
    <t>REVASC ILIAC INITIAL</t>
  </si>
  <si>
    <t>ILIAC O/P INIT</t>
  </si>
  <si>
    <t>0046102232</t>
  </si>
  <si>
    <t>REVASC ILIAC ADD ON</t>
  </si>
  <si>
    <t>ILIAC ADD/ANGIO</t>
  </si>
  <si>
    <t>0046102257</t>
  </si>
  <si>
    <t>REVASC ILIAC W/STENT</t>
  </si>
  <si>
    <t>ILIAC O/P STENT</t>
  </si>
  <si>
    <t>0046102265</t>
  </si>
  <si>
    <t>BIOPSY BONE DEEP</t>
  </si>
  <si>
    <t>BX BONE DEEP</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</si>
  <si>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</si>
  <si>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</si>
  <si>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</si>
  <si>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</si>
  <si>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</si>
  <si>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</si>
  <si>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</si>
  <si>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</si>
  <si>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</si>
  <si>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</si>
  <si>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</si>
  <si>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</si>
  <si>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</si>
  <si>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</si>
  <si>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</si>
  <si>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</si>
  <si>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</si>
  <si>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</si>
  <si>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</si>
  <si>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</si>
  <si>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</si>
  <si>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</si>
  <si>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</si>
  <si>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</si>
  <si>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</si>
  <si>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</si>
  <si>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</si>
  <si>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</si>
  <si>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</si>
  <si>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</si>
  <si>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</si>
  <si>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</si>
  <si>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</si>
  <si>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</si>
  <si>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</si>
  <si>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</si>
  <si>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</si>
  <si>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</si>
  <si>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</si>
  <si>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</si>
  <si>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</si>
  <si>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</si>
  <si>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0046102786</t>
  </si>
  <si>
    <t>ILIAC ART BI W CARD CTH</t>
  </si>
  <si>
    <t>ILIAC ART BI</t>
  </si>
  <si>
    <t>0046103198</t>
  </si>
  <si>
    <t>INSRT/RPL SQ DEFIB W/ELE</t>
  </si>
  <si>
    <t>INS/RPL SQ DFIB</t>
  </si>
  <si>
    <t>0046103206</t>
  </si>
  <si>
    <t>INS SQ DEFIB ELEC</t>
  </si>
  <si>
    <t>INS SQ DEF ELEC</t>
  </si>
  <si>
    <t>0046103248</t>
  </si>
  <si>
    <t>RMV SQ DEFIB ELEC</t>
  </si>
  <si>
    <t>RMV SQ DEF ELEC</t>
  </si>
  <si>
    <t>0046103255</t>
  </si>
  <si>
    <t>REPOS SQ DEFIB ELEC/GEN</t>
  </si>
  <si>
    <t>REPOS SQ DEFIB</t>
  </si>
  <si>
    <t>0046103826</t>
  </si>
  <si>
    <t>CHANGE URETER STENT PERC</t>
  </si>
  <si>
    <t>CHANGE URETR ST</t>
  </si>
  <si>
    <t>0046103842</t>
  </si>
  <si>
    <t>REMOVE URETER STENT PERC</t>
  </si>
  <si>
    <t>REMOVE URETR ST</t>
  </si>
  <si>
    <t>0046103875</t>
  </si>
  <si>
    <t>TRANSCATH INS/RPL PERM LDLS PM</t>
  </si>
  <si>
    <t>TRNSCAT INS/RPL</t>
  </si>
  <si>
    <t>0046103891</t>
  </si>
  <si>
    <t>REMVE RENL TUBE W/FLUORO</t>
  </si>
  <si>
    <t>REMVE RENL TUBE</t>
  </si>
  <si>
    <t>0046103909</t>
  </si>
  <si>
    <t>ASP/INJ RENL CYST/PELVIS</t>
  </si>
  <si>
    <t>ASP RENAL CYST</t>
  </si>
  <si>
    <t>0046103925</t>
  </si>
  <si>
    <t>PLC NEPHROSTOMY CATH</t>
  </si>
  <si>
    <t>PLC NEPHO CATH</t>
  </si>
  <si>
    <t>0046103958</t>
  </si>
  <si>
    <t>BX LIVER PERC NDL</t>
  </si>
  <si>
    <t>BX LIVR PERC ND</t>
  </si>
  <si>
    <t>0046103966</t>
  </si>
  <si>
    <t>REPOS GI TUBE THRU DUODN</t>
  </si>
  <si>
    <t>REPOS GI TUBE</t>
  </si>
  <si>
    <t>0046104303</t>
  </si>
  <si>
    <t>INJ NEPHROSTOGRAM</t>
  </si>
  <si>
    <t>INJ NEPHROSTOGR</t>
  </si>
  <si>
    <t>0046104345</t>
  </si>
  <si>
    <t>CONVRT NEPHOST TO URETER</t>
  </si>
  <si>
    <t>CONVER TO URETR</t>
  </si>
  <si>
    <t>0046104360</t>
  </si>
  <si>
    <t>DILAT XIST TRC NDURLOGIC PROC</t>
  </si>
  <si>
    <t>DILAT TRC NDURL</t>
  </si>
  <si>
    <t>0046104378</t>
  </si>
  <si>
    <t>DILAT XIST TRC NEW ACCESS RCS</t>
  </si>
  <si>
    <t xml:space="preserve">DILAT XIST TRC </t>
  </si>
  <si>
    <t>0046105003</t>
  </si>
  <si>
    <t>PERC VALVULOPLSTY AORTIC</t>
  </si>
  <si>
    <t>VALVPLSTY AORTC</t>
  </si>
  <si>
    <t>0046105508</t>
  </si>
  <si>
    <t>INJ SNGL TENDON/LIGAMENT</t>
  </si>
  <si>
    <t>INJ SNGL TENDON</t>
  </si>
  <si>
    <t>0046106035</t>
  </si>
  <si>
    <t>ASPIR/INJ MAJOR JT W/US</t>
  </si>
  <si>
    <t>ASP/INJ MJR JT</t>
  </si>
  <si>
    <t>0046106076</t>
  </si>
  <si>
    <t>ASPIR/INJ INTMD JT W/US</t>
  </si>
  <si>
    <t>ASP/INJ INT JT</t>
  </si>
  <si>
    <t>0046106100</t>
  </si>
  <si>
    <t>COMP EP EVAL/LA FRM CS R</t>
  </si>
  <si>
    <t>EVAL/LAC CMP EP</t>
  </si>
  <si>
    <t>0046106118</t>
  </si>
  <si>
    <t>ASPIR/INJ MAJ JT WO/US</t>
  </si>
  <si>
    <t>0046106126</t>
  </si>
  <si>
    <t>COMP EP EVAL/LV RECORD</t>
  </si>
  <si>
    <t>EP EVAL LV RECD</t>
  </si>
  <si>
    <t>0046106159</t>
  </si>
  <si>
    <t>COMP EP W/O INDUC/ARRYTH</t>
  </si>
  <si>
    <t>COMP W/O INDUC</t>
  </si>
  <si>
    <t>0046106209</t>
  </si>
  <si>
    <t>EP COMP STUDY W/INDUCTN</t>
  </si>
  <si>
    <t>EP COMP STUDY</t>
  </si>
  <si>
    <t>0046106217</t>
  </si>
  <si>
    <t>EVASC VEN ARTLZ TIB/PRNL</t>
  </si>
  <si>
    <t xml:space="preserve">EVSC VEN ARTLZ </t>
  </si>
  <si>
    <t>0046106316</t>
  </si>
  <si>
    <t>EP POST DRUG INFUSION</t>
  </si>
  <si>
    <t>EP POST DRG INF</t>
  </si>
  <si>
    <t>0046106357</t>
  </si>
  <si>
    <t>EP TEST AICD LEAD &amp; GEN</t>
  </si>
  <si>
    <t>AICD TST LD&amp;GEN</t>
  </si>
  <si>
    <t>0046106407</t>
  </si>
  <si>
    <t>EP EVAL AICD LEADS INIT</t>
  </si>
  <si>
    <t>AICD EVAL INIT</t>
  </si>
  <si>
    <t>0046106423</t>
  </si>
  <si>
    <t>EP EVAL AICD SUBSEQ</t>
  </si>
  <si>
    <t>AICD EVAL SUBSQ</t>
  </si>
  <si>
    <t>0046106506</t>
  </si>
  <si>
    <t>ABLATION-AV NODE</t>
  </si>
  <si>
    <t>ABLATN-AV NODE</t>
  </si>
  <si>
    <t>0046106845</t>
  </si>
  <si>
    <t>INJ URETERAL CATHETER</t>
  </si>
  <si>
    <t>INJ URETER CATH</t>
  </si>
  <si>
    <t>0046106936</t>
  </si>
  <si>
    <t>PLC STNT W/DX NEPHRO</t>
  </si>
  <si>
    <t>PLC STNT/NEPHRO</t>
  </si>
  <si>
    <t>0046106944</t>
  </si>
  <si>
    <t>PLC STNT NEW DX WO/CATH</t>
  </si>
  <si>
    <t>PLC STNT NEW</t>
  </si>
  <si>
    <t>0046106951</t>
  </si>
  <si>
    <t>PLC STNT NEW DX W/CATH</t>
  </si>
  <si>
    <t>PLC STNT W/CTH</t>
  </si>
  <si>
    <t>0046107066</t>
  </si>
  <si>
    <t>BALOON DILATE URETER</t>
  </si>
  <si>
    <t>BAL DIL URETER</t>
  </si>
  <si>
    <t>0046109823</t>
  </si>
  <si>
    <t>PERC RF ABLATE BONE TUMR</t>
  </si>
  <si>
    <t>RF ABLATE BONE</t>
  </si>
  <si>
    <t>0046110318</t>
  </si>
  <si>
    <t>GUIDE CATH FLUID DRAINAG</t>
  </si>
  <si>
    <t>GUIDE CATH FLDR</t>
  </si>
  <si>
    <t>0046110458</t>
  </si>
  <si>
    <t>DEBRIDE MSCL/FSCA 20SQCM</t>
  </si>
  <si>
    <t>DEB MSCL/FSCA</t>
  </si>
  <si>
    <t>0046111100</t>
  </si>
  <si>
    <t>CARDIOVERSION ELEC</t>
  </si>
  <si>
    <t>CARDIOVRSN ELEC</t>
  </si>
  <si>
    <t>0046111324</t>
  </si>
  <si>
    <t>TILT TABLE EVAL</t>
  </si>
  <si>
    <t>EVAL TILT TABLE</t>
  </si>
  <si>
    <t>0046116000</t>
  </si>
  <si>
    <t>INJ F/CYSTO OR VCUG</t>
  </si>
  <si>
    <t>INJ BALDDR XRAY</t>
  </si>
  <si>
    <t>0046116307</t>
  </si>
  <si>
    <t>PTA INTRACRANIAL</t>
  </si>
  <si>
    <t>PTA INTRCRANIAL</t>
  </si>
  <si>
    <t>0046116455</t>
  </si>
  <si>
    <t>PERC MECH THROMBUS ART</t>
  </si>
  <si>
    <t>THROMBUS ART</t>
  </si>
  <si>
    <t>0046117057</t>
  </si>
  <si>
    <t>CHANGE CYSTO TB SMPL</t>
  </si>
  <si>
    <t>CYSTO TB SMPL</t>
  </si>
  <si>
    <t>0046117107</t>
  </si>
  <si>
    <t>CHANGE CYSTO TUBE COMPLT</t>
  </si>
  <si>
    <t>CHNGE CYSTO TBE</t>
  </si>
  <si>
    <t>0046117990</t>
  </si>
  <si>
    <t>INJ SUBCUTANEOUS DRAINAGE CATH</t>
  </si>
  <si>
    <t>INJ SUBQ DRAINA</t>
  </si>
  <si>
    <t>0046120051</t>
  </si>
  <si>
    <t>ARTERIAL CATH MONIT/SAMP</t>
  </si>
  <si>
    <t>ART CATH MONITR</t>
  </si>
  <si>
    <t>0046120192</t>
  </si>
  <si>
    <t>INSRT TUNLD PLEURAL CATH</t>
  </si>
  <si>
    <t>INSRT PLEURL CT</t>
  </si>
  <si>
    <t>0046120408</t>
  </si>
  <si>
    <t>THORACIC MYELO LUMB INJ</t>
  </si>
  <si>
    <t>MYELO THORACIC</t>
  </si>
  <si>
    <t>0046122826</t>
  </si>
  <si>
    <t>INJ NEURO EPID/LUMB/CAUD</t>
  </si>
  <si>
    <t>INJ NEURO EPD/L</t>
  </si>
  <si>
    <t>0046123220</t>
  </si>
  <si>
    <t>CERVICAL MYELO LUMB INJ</t>
  </si>
  <si>
    <t>MYELO CERVICAL</t>
  </si>
  <si>
    <t>0046123287</t>
  </si>
  <si>
    <t>SPINAL PUNCT LUMB DX WFLUOR/CT</t>
  </si>
  <si>
    <t xml:space="preserve">DX LUMB PCT DX </t>
  </si>
  <si>
    <t>0046125001</t>
  </si>
  <si>
    <t>REM PCMKR TRAN ELCT DUAL</t>
  </si>
  <si>
    <t>REM PM TR EL DL</t>
  </si>
  <si>
    <t>0046125035</t>
  </si>
  <si>
    <t>REM PCMKR PULS GEN ONLY</t>
  </si>
  <si>
    <t>REM PM PULS GEN</t>
  </si>
  <si>
    <t>0046125050</t>
  </si>
  <si>
    <t>INS/PMGEN W/EXISDUALLDS</t>
  </si>
  <si>
    <t>INS PM DUAL</t>
  </si>
  <si>
    <t>0046125076</t>
  </si>
  <si>
    <t>INSRT TRAN ELCTRD DUAL</t>
  </si>
  <si>
    <t>INS TR ELC DUAL</t>
  </si>
  <si>
    <t>0046125100</t>
  </si>
  <si>
    <t>INSRT TRAN ELCTRD SNGL</t>
  </si>
  <si>
    <t>INS TR ELC SNGL</t>
  </si>
  <si>
    <t>0046125159</t>
  </si>
  <si>
    <t>REM TRANSV PM ELCTD SNGL</t>
  </si>
  <si>
    <t>REM PM ELCTD</t>
  </si>
  <si>
    <t>0046125555</t>
  </si>
  <si>
    <t>THORACENTSIS W/IMAGING</t>
  </si>
  <si>
    <t>THORACENT W/IMG</t>
  </si>
  <si>
    <t>0046125563</t>
  </si>
  <si>
    <t>INSERT CATH PLEURA W/O I</t>
  </si>
  <si>
    <t>INS CATH PLEUR</t>
  </si>
  <si>
    <t>0046125571</t>
  </si>
  <si>
    <t>PLEURAL DRAINAGE PERC</t>
  </si>
  <si>
    <t>PLEU DRAIN PERC</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</si>
  <si>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</si>
  <si>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</si>
  <si>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</si>
  <si>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</si>
  <si>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</si>
  <si>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</si>
  <si>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</si>
  <si>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</si>
  <si>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</si>
  <si>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</si>
  <si>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</si>
  <si>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</si>
  <si>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0046129284</t>
  </si>
  <si>
    <t>COR STNT ANGIO INIT</t>
  </si>
  <si>
    <t>COR ST INIT</t>
  </si>
  <si>
    <t>0046129292</t>
  </si>
  <si>
    <t>COR STNT ANGIO ADD</t>
  </si>
  <si>
    <t>COR ST ADD</t>
  </si>
  <si>
    <t>0046129375</t>
  </si>
  <si>
    <t>REVAS PERC TRANS SGL VES</t>
  </si>
  <si>
    <t>REVAS BYPASS SG</t>
  </si>
  <si>
    <t>0046129417</t>
  </si>
  <si>
    <t>REVAS PERC TRANS OCCL MI</t>
  </si>
  <si>
    <t>REVAS BYPAS MI</t>
  </si>
  <si>
    <t>0046129433</t>
  </si>
  <si>
    <t>REVAS PERC TRANS TOT OCC</t>
  </si>
  <si>
    <t>REVAS BYPAS OCC</t>
  </si>
  <si>
    <t>0046129532</t>
  </si>
  <si>
    <t>TEMP TRANSCUTNEOUS PACNG</t>
  </si>
  <si>
    <t>TRANSCU PACING</t>
  </si>
  <si>
    <t>0046129615</t>
  </si>
  <si>
    <t>CARDIOVERSION INTERNAL</t>
  </si>
  <si>
    <t>CARDIOVRSN INT</t>
  </si>
  <si>
    <t>0046129730</t>
  </si>
  <si>
    <t>PERC CORON THROMBECT</t>
  </si>
  <si>
    <t>PRC CORON THRMB</t>
  </si>
  <si>
    <t>0046129961</t>
  </si>
  <si>
    <t>INJ LUNG/PLEURA NOD W/GU</t>
  </si>
  <si>
    <t>INJ LUNG/PLEURA</t>
  </si>
  <si>
    <t>0046130167</t>
  </si>
  <si>
    <t>PERICARDIOCENTESIS W/IMG GUIDE</t>
  </si>
  <si>
    <t>PERICARDIOCENTE</t>
  </si>
  <si>
    <t>0046130191</t>
  </si>
  <si>
    <t>PERC PERICRD DRNG INSRT CATH&gt;6</t>
  </si>
  <si>
    <t>PERC PERICRD DR</t>
  </si>
  <si>
    <t>0046130563</t>
  </si>
  <si>
    <t>DEBRID SUBQ 1ST 20 SQ CM OR &lt;</t>
  </si>
  <si>
    <t xml:space="preserve">DEBRID SUBQ 20 </t>
  </si>
  <si>
    <t>0046132023</t>
  </si>
  <si>
    <t>INSERT THORACOSTMY TUBE</t>
  </si>
  <si>
    <t>INSRT CHST TUBE</t>
  </si>
  <si>
    <t>0046132064</t>
  </si>
  <si>
    <t>INS/RPL PM W/TRNSV LD AT</t>
  </si>
  <si>
    <t>PM W/TRNSV LD A</t>
  </si>
  <si>
    <t>0046132072</t>
  </si>
  <si>
    <t>INS/RPL PM W/TRNSV LD VE</t>
  </si>
  <si>
    <t>PM W/TRNSV LD V</t>
  </si>
  <si>
    <t>0046132080</t>
  </si>
  <si>
    <t>INS/RPL PMW/TRNSV LD A-V</t>
  </si>
  <si>
    <t>0046132122</t>
  </si>
  <si>
    <t>INS/PM GEN W/EXIST LD</t>
  </si>
  <si>
    <t>INS PM GEN W/LD</t>
  </si>
  <si>
    <t>0046132148</t>
  </si>
  <si>
    <t>UPGRADE TO DUAL CHAMBER</t>
  </si>
  <si>
    <t>UPGR SNG/DLCHMB</t>
  </si>
  <si>
    <t>0046132155</t>
  </si>
  <si>
    <t>REPS TRNSV LD RT ATR/VNT</t>
  </si>
  <si>
    <t>REPOS TRANSV LD</t>
  </si>
  <si>
    <t>0046132171</t>
  </si>
  <si>
    <t>INSRT PULSE GEN MULT LDS</t>
  </si>
  <si>
    <t>GEN MULT LDS</t>
  </si>
  <si>
    <t>0046132189</t>
  </si>
  <si>
    <t>P/M AICD ELECTRD RPR</t>
  </si>
  <si>
    <t>REPAIR ELCT</t>
  </si>
  <si>
    <t>0046132213</t>
  </si>
  <si>
    <t>INSRT LD VEN LTVENT PREV</t>
  </si>
  <si>
    <t>INSRT LD LTVENT</t>
  </si>
  <si>
    <t>0046132221</t>
  </si>
  <si>
    <t>REVSN/RELOC PM SKN POCKT</t>
  </si>
  <si>
    <t>REL/REV SKP PM</t>
  </si>
  <si>
    <t>0046132239</t>
  </si>
  <si>
    <t>RELOCATE SKIN PKT AICD</t>
  </si>
  <si>
    <t>RELOC PKT AICD</t>
  </si>
  <si>
    <t>0046132254</t>
  </si>
  <si>
    <t>INS LV LD W/PM OR AICD</t>
  </si>
  <si>
    <t>0046132262</t>
  </si>
  <si>
    <t>REPS PREV LD VEN LTVENT</t>
  </si>
  <si>
    <t>REPOS LD LTVENT</t>
  </si>
  <si>
    <t>0046132270</t>
  </si>
  <si>
    <t>REM/REPL PM GEN SGL LD</t>
  </si>
  <si>
    <t>REM/REPL GEN</t>
  </si>
  <si>
    <t>0046132288</t>
  </si>
  <si>
    <t>REM/REPL PM GEN DUAL LD</t>
  </si>
  <si>
    <t>REM/REPL PM LD</t>
  </si>
  <si>
    <t>0046132296</t>
  </si>
  <si>
    <t>REM/REPL PM MULT LDS</t>
  </si>
  <si>
    <t>REM/REPL PM LDS</t>
  </si>
  <si>
    <t>0046132304</t>
  </si>
  <si>
    <t>INS AICD W/DUAL LDS</t>
  </si>
  <si>
    <t>INS AICD DUAL</t>
  </si>
  <si>
    <t>0046132312</t>
  </si>
  <si>
    <t>INS AICD W/MULTI LDS</t>
  </si>
  <si>
    <t>INS AICD MLTLDS</t>
  </si>
  <si>
    <t>0046132403</t>
  </si>
  <si>
    <t>INSRT AICD W/EXIS LD</t>
  </si>
  <si>
    <t>INS AICD EX LD</t>
  </si>
  <si>
    <t>0046132411</t>
  </si>
  <si>
    <t>REM AICD PULS GEN</t>
  </si>
  <si>
    <t>RMV AICD GEN</t>
  </si>
  <si>
    <t>0046132437</t>
  </si>
  <si>
    <t>REM AICD LDS TRANSVEN</t>
  </si>
  <si>
    <t>REM AICD LDS TV</t>
  </si>
  <si>
    <t>0046132494</t>
  </si>
  <si>
    <t>INSRT/RPLC AICD &amp; LDS</t>
  </si>
  <si>
    <t>INS/RPL AICD&amp;LD</t>
  </si>
  <si>
    <t>0046132627</t>
  </si>
  <si>
    <t>REM/REPL AICD SINGL LD</t>
  </si>
  <si>
    <t>REM/REPL AICD</t>
  </si>
  <si>
    <t>0046132718</t>
  </si>
  <si>
    <t>INSRT SUBQ CAR RHYTHM MNTR</t>
  </si>
  <si>
    <t xml:space="preserve">INSRT SUBQ CAR </t>
  </si>
  <si>
    <t>0046132734</t>
  </si>
  <si>
    <t>RMVL SUBQ CAR RHYTHM MNTR</t>
  </si>
  <si>
    <t>RMVL SUBQ CAR R</t>
  </si>
  <si>
    <t>0046132932</t>
  </si>
  <si>
    <t>ICD MULTILEAD EVAL W PRO</t>
  </si>
  <si>
    <t>ICD EVAL W PROG</t>
  </si>
  <si>
    <t>0046133187</t>
  </si>
  <si>
    <t>TEE CONT/ASSESS/FUNC</t>
  </si>
  <si>
    <t>TEE CONT ASSESS</t>
  </si>
  <si>
    <t>0046134516</t>
  </si>
  <si>
    <t>CATH RIGHT HEART</t>
  </si>
  <si>
    <t>CATH RT HEART</t>
  </si>
  <si>
    <t>0046134524</t>
  </si>
  <si>
    <t>CATH LT HRT W/LTVENT</t>
  </si>
  <si>
    <t>CATH LT HRT/LTV</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</si>
  <si>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</si>
  <si>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</si>
  <si>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</si>
  <si>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</si>
  <si>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</si>
  <si>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</si>
  <si>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</si>
  <si>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</si>
  <si>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</si>
  <si>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</si>
  <si>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</si>
  <si>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</si>
  <si>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0046134573</t>
  </si>
  <si>
    <t>CATH R HRT ART/GRFT ANGI</t>
  </si>
  <si>
    <t>RT HRT ART/GRAF</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</si>
  <si>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</si>
  <si>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</si>
  <si>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</si>
  <si>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</si>
  <si>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</si>
  <si>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</si>
  <si>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</si>
  <si>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</si>
  <si>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</si>
  <si>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</si>
  <si>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</si>
  <si>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</si>
  <si>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0046134631</t>
  </si>
  <si>
    <t>CATH LT HRT/TRSEPTPUNCT</t>
  </si>
  <si>
    <t>CATH LT HRT/TRN</t>
  </si>
  <si>
    <t>0046135356</t>
  </si>
  <si>
    <t>INSERT SWANGANZ CATHETER</t>
  </si>
  <si>
    <t>CATH SWGZ INSRT</t>
  </si>
  <si>
    <t>0046135406</t>
  </si>
  <si>
    <t>ANGIO SELECT EA ADD VESL</t>
  </si>
  <si>
    <t>ANGIO ADD VESSL</t>
  </si>
  <si>
    <t>0046135513</t>
  </si>
  <si>
    <t>CATH ATRIAL PACING</t>
  </si>
  <si>
    <t>CATH ATRIAL PAC</t>
  </si>
  <si>
    <t>0046135687</t>
  </si>
  <si>
    <t>CATH INJ R VENTRIC/ATRIA</t>
  </si>
  <si>
    <t>R VENT/ATR ANG</t>
  </si>
  <si>
    <t>0046135695</t>
  </si>
  <si>
    <t>CATH INJ SUPRVLV AORTOGR</t>
  </si>
  <si>
    <t>INJ SUPRVL AORT</t>
  </si>
  <si>
    <t>0046135711</t>
  </si>
  <si>
    <t>INJ PULM ART HRT CATH NONSLCT</t>
  </si>
  <si>
    <t>INJ PLM ART HRT</t>
  </si>
  <si>
    <t>0046135851</t>
  </si>
  <si>
    <t>COAGULATION TIME ACTIVTD</t>
  </si>
  <si>
    <t>COAGULAT ACTIV</t>
  </si>
  <si>
    <t>0046135950</t>
  </si>
  <si>
    <t>INSRT/REPL TEMP PM LEAD</t>
  </si>
  <si>
    <t>INSRT TEMP PM</t>
  </si>
  <si>
    <t>0046136131</t>
  </si>
  <si>
    <t>INTRCRD EP 3DMAP</t>
  </si>
  <si>
    <t>INTRCRD 3D MAP</t>
  </si>
  <si>
    <t>0046136255</t>
  </si>
  <si>
    <t>INTRA-ARTERIAL RECORDING</t>
  </si>
  <si>
    <t>INT-ATRLREC</t>
  </si>
  <si>
    <t>0046136537</t>
  </si>
  <si>
    <t>COMP EP IND/ABLA INTR EP3D SVT</t>
  </si>
  <si>
    <t xml:space="preserve">COM EP ABL INT </t>
  </si>
  <si>
    <t>0046136545</t>
  </si>
  <si>
    <t>COMP EP/ABLAT INTRA V-TACH 3D</t>
  </si>
  <si>
    <t>COMP EP ABL INT</t>
  </si>
  <si>
    <t>0046136578</t>
  </si>
  <si>
    <t>DOPP FLW/PR MSMNT INIT</t>
  </si>
  <si>
    <t>FLW/MSMNT INIT</t>
  </si>
  <si>
    <t>0046136586</t>
  </si>
  <si>
    <t>DOPP FLW/PR MSMNT ADDL</t>
  </si>
  <si>
    <t>FLW/MSMNT ADDL</t>
  </si>
  <si>
    <t>0046136594</t>
  </si>
  <si>
    <t>INTRACARD ABL ARRHY</t>
  </si>
  <si>
    <t>INT CRD ABL ARR</t>
  </si>
  <si>
    <t>0046136628</t>
  </si>
  <si>
    <t>INTRACARD ECHO</t>
  </si>
  <si>
    <t>0046136636</t>
  </si>
  <si>
    <t>CMP EP ABL INTRA AFIB PVI EP3D</t>
  </si>
  <si>
    <t xml:space="preserve">CMP EP ABL AFB </t>
  </si>
  <si>
    <t>0046136644</t>
  </si>
  <si>
    <t>COMP EP ABL AFIB ADTNL</t>
  </si>
  <si>
    <t>COMP EP ABL AD</t>
  </si>
  <si>
    <t>0046136701</t>
  </si>
  <si>
    <t>INSRT TEMP BLADDER CATH</t>
  </si>
  <si>
    <t>TEMP BLADR CATH</t>
  </si>
  <si>
    <t>0046136883</t>
  </si>
  <si>
    <t>REVISE/REMOVE NEURORECEIVER</t>
  </si>
  <si>
    <t>REV/RMV NS GEN</t>
  </si>
  <si>
    <t>0046137527</t>
  </si>
  <si>
    <t>PLC NG TUBE W FLUORO</t>
  </si>
  <si>
    <t>PLC NG TUBE</t>
  </si>
  <si>
    <t>0046138228</t>
  </si>
  <si>
    <t>DX BONE MARROW ASP/BX MULTI</t>
  </si>
  <si>
    <t xml:space="preserve">DX BONE MARROW </t>
  </si>
  <si>
    <t>0046139671</t>
  </si>
  <si>
    <t>PERC INSERT IABP DEV</t>
  </si>
  <si>
    <t>PERC INSRT IABP</t>
  </si>
  <si>
    <t>0046140018</t>
  </si>
  <si>
    <t>PERC PERICARDIAL DRAIN</t>
  </si>
  <si>
    <t>PERC PERICARDIA</t>
  </si>
  <si>
    <t>0046140331</t>
  </si>
  <si>
    <t>PLC NEPHROURETERAL CATH</t>
  </si>
  <si>
    <t>PLC NEP/URET</t>
  </si>
  <si>
    <t>0046141909</t>
  </si>
  <si>
    <t>PERITONEOGRAM</t>
  </si>
  <si>
    <t>0046142410</t>
  </si>
  <si>
    <t>REPOSITN CV CATH W/FLURO</t>
  </si>
  <si>
    <t>REPS CVCATH W/F</t>
  </si>
  <si>
    <t>0046143996</t>
  </si>
  <si>
    <t>GASTRIC BAND ADJUSTMENT</t>
  </si>
  <si>
    <t>GASTRIC BND ADJ</t>
  </si>
  <si>
    <t>0046144218</t>
  </si>
  <si>
    <t>INJ INTERCOSTL NERV SNGL</t>
  </si>
  <si>
    <t xml:space="preserve">INJ INTERCOSTL </t>
  </si>
  <si>
    <t>0046144259</t>
  </si>
  <si>
    <t>ANTEGRADE NEPHROSTOGRAM</t>
  </si>
  <si>
    <t>ANTE NEPHRSTGRM</t>
  </si>
  <si>
    <t>0046144309</t>
  </si>
  <si>
    <t>CYSTOGRAPHY 3VW MIN</t>
  </si>
  <si>
    <t>CYSTOGRAM COMP</t>
  </si>
  <si>
    <t>0046144523</t>
  </si>
  <si>
    <t>INJ AGNT NRV SI JNT W/FLUOR/CT</t>
  </si>
  <si>
    <t>INJ AGNT SI JNT</t>
  </si>
  <si>
    <t>0046144549</t>
  </si>
  <si>
    <t>INJ AGNT GNCLR NRV BRNCH W/IMG</t>
  </si>
  <si>
    <t>INJ GNCLR NRV B</t>
  </si>
  <si>
    <t>0046144762</t>
  </si>
  <si>
    <t>INJ CERV/THOR EA ADD LVL</t>
  </si>
  <si>
    <t>INJ ANES ADD LV</t>
  </si>
  <si>
    <t>0046144788</t>
  </si>
  <si>
    <t>PERC VERT 1BD CTHOR/IMG</t>
  </si>
  <si>
    <t>VRTPLSTY CTHOR</t>
  </si>
  <si>
    <t>0046144796</t>
  </si>
  <si>
    <t>PERC VERT 1 BD LSAC/IMG</t>
  </si>
  <si>
    <t>VRTPLSTY LSAC</t>
  </si>
  <si>
    <t>0046144804</t>
  </si>
  <si>
    <t>PERC VERT 1 BD ADD/IMG</t>
  </si>
  <si>
    <t>VRTPLSTY EA ADD</t>
  </si>
  <si>
    <t>0046144820</t>
  </si>
  <si>
    <t>C/T FACET INJ+IMAGE LVL1</t>
  </si>
  <si>
    <t xml:space="preserve">CRVL/THORC INJ </t>
  </si>
  <si>
    <t>0046144846</t>
  </si>
  <si>
    <t>C/T FACET INJ+IMAGE LVL2</t>
  </si>
  <si>
    <t>0046144853</t>
  </si>
  <si>
    <t>C/T FACET INJ+IMAGE LV3+</t>
  </si>
  <si>
    <t>0046144879</t>
  </si>
  <si>
    <t>L SP FACET INJ+IMAG LV3+</t>
  </si>
  <si>
    <t xml:space="preserve">L SP FACET INJ </t>
  </si>
  <si>
    <t>0046144937</t>
  </si>
  <si>
    <t>L SP FACET INJ+IMAG LVL1</t>
  </si>
  <si>
    <t>INJ LUMB/SACR</t>
  </si>
  <si>
    <t>0046144945</t>
  </si>
  <si>
    <t>L SP FACET INJ+IMAG LVL2</t>
  </si>
  <si>
    <t>INJ LUMB/SACR A</t>
  </si>
  <si>
    <t>0046145108</t>
  </si>
  <si>
    <t>INJ ANES STELLATE GANGLN</t>
  </si>
  <si>
    <t>INJ ANES STELLA</t>
  </si>
  <si>
    <t>0046145173</t>
  </si>
  <si>
    <t>INJ ANES SUP HYP PLEX</t>
  </si>
  <si>
    <t>INJ SUP HYP PLX</t>
  </si>
  <si>
    <t>0046146247</t>
  </si>
  <si>
    <t>DEST GNCLR NRV BRNCH W/NUROLYT</t>
  </si>
  <si>
    <t xml:space="preserve">DEST CNCLR NRV </t>
  </si>
  <si>
    <t>0046146288</t>
  </si>
  <si>
    <t>THERM DSTR IOS NRV LUM/SAC 1ST</t>
  </si>
  <si>
    <t>THRM DSTR IOS N</t>
  </si>
  <si>
    <t>0046146296</t>
  </si>
  <si>
    <t>TRML DSTRJ IOS BVN EA ADDL</t>
  </si>
  <si>
    <t xml:space="preserve">TRML DSTRJ IOS </t>
  </si>
  <si>
    <t>0046146353</t>
  </si>
  <si>
    <t>DES LUMB/SAC FACET JNT</t>
  </si>
  <si>
    <t>DES L/S FACJNT</t>
  </si>
  <si>
    <t>0046146361</t>
  </si>
  <si>
    <t>DES L/S FACET JNT ADDL</t>
  </si>
  <si>
    <t>DESL/SFACJNTADD</t>
  </si>
  <si>
    <t>0046147013</t>
  </si>
  <si>
    <t>ENDO RPR AA ENDOGRT NO RUP+S&amp;I</t>
  </si>
  <si>
    <t>ENDO RPR AA GRF</t>
  </si>
  <si>
    <t>0046147021</t>
  </si>
  <si>
    <t>ENDO RPR AA ENDOGRFT W/RUP+S&amp;I</t>
  </si>
  <si>
    <t>0046147039</t>
  </si>
  <si>
    <t>ENDO RPR AORT-UNI-ILIAC NO RUP</t>
  </si>
  <si>
    <t xml:space="preserve">ENDO RPR ILIAC </t>
  </si>
  <si>
    <t>0046147047</t>
  </si>
  <si>
    <t>ENDO RPR AORT-UNI-ILIAC W/RUP</t>
  </si>
  <si>
    <t>ENDO RPR UNI IL</t>
  </si>
  <si>
    <t>0046147054</t>
  </si>
  <si>
    <t>ENDO RPR AORT-BI-ILIAC NO/RUP</t>
  </si>
  <si>
    <t>ENDO RPR BI ILI</t>
  </si>
  <si>
    <t>0046147062</t>
  </si>
  <si>
    <t>ENDO RPR AOR-BI-ILI W/BAL OCUL</t>
  </si>
  <si>
    <t>ENDO RPR BILI B</t>
  </si>
  <si>
    <t>0046147070</t>
  </si>
  <si>
    <t>ENDO RPR ILIO-ILIA GFT NO/RUP</t>
  </si>
  <si>
    <t>ENDO RPR GFT NO</t>
  </si>
  <si>
    <t>0046147088</t>
  </si>
  <si>
    <t>ENDO RPR ILIO-ILIA GFT W/RUP</t>
  </si>
  <si>
    <t>ENDO RPR GFT W/</t>
  </si>
  <si>
    <t>0046147096</t>
  </si>
  <si>
    <t>PLC EXT PROS RPR FOR ANEUR+S&amp;I</t>
  </si>
  <si>
    <t>PLC EXT PROS AN</t>
  </si>
  <si>
    <t>0046147104</t>
  </si>
  <si>
    <t>DELAY PLC PROX ANEU INIT+S&amp;I</t>
  </si>
  <si>
    <t xml:space="preserve">DELAY PLC PROX </t>
  </si>
  <si>
    <t>0046147112</t>
  </si>
  <si>
    <t>DLAY PLC PROX ANEU EA ADDL+S&amp;I</t>
  </si>
  <si>
    <t>DLAY PLC PROX E</t>
  </si>
  <si>
    <t>0046147138</t>
  </si>
  <si>
    <t>PERC ACCES+DEL GFT+US/UNI</t>
  </si>
  <si>
    <t>PER ACES+DEL GF</t>
  </si>
  <si>
    <t>0046148128</t>
  </si>
  <si>
    <t>EXPOSE ENDOPROS UNILAT</t>
  </si>
  <si>
    <t>ENDPRO FEM/ART</t>
  </si>
  <si>
    <t>0046149415</t>
  </si>
  <si>
    <t>INS TUNN IP CATH W/PORT</t>
  </si>
  <si>
    <t>INS TUN INTRAP</t>
  </si>
  <si>
    <t>0046149993</t>
  </si>
  <si>
    <t>GANGLION IMPAR NERVE BLOCK</t>
  </si>
  <si>
    <t xml:space="preserve">GANGLION IMPAR </t>
  </si>
  <si>
    <t>0046156055</t>
  </si>
  <si>
    <t>THORACIC W/SERL COMPLT</t>
  </si>
  <si>
    <t>THORACIC W/SERL</t>
  </si>
  <si>
    <t>0046156279</t>
  </si>
  <si>
    <t>ABD AORTOGRPHY BY SERIAL</t>
  </si>
  <si>
    <t>ABD CATH W/SERL</t>
  </si>
  <si>
    <t>0046156311</t>
  </si>
  <si>
    <t>ABD AORTA W/BI LWR EXT</t>
  </si>
  <si>
    <t>ABD W/BI ILIFEM</t>
  </si>
  <si>
    <t>0046157061</t>
  </si>
  <si>
    <t>ANGIO SPINAL SELECTIVE</t>
  </si>
  <si>
    <t>SPINL SELECTV</t>
  </si>
  <si>
    <t>0046157129</t>
  </si>
  <si>
    <t>ANGIO EXTREMITY UNILAT</t>
  </si>
  <si>
    <t>ANGIO EXT UNI</t>
  </si>
  <si>
    <t>0046157186</t>
  </si>
  <si>
    <t>ANGIO EXTREMITY BILAT</t>
  </si>
  <si>
    <t>ANGIO EXT BI</t>
  </si>
  <si>
    <t>0046157277</t>
  </si>
  <si>
    <t>ANGIO VISCERAL SEL/SUPSEL</t>
  </si>
  <si>
    <t>VISCRL SEL/SUP</t>
  </si>
  <si>
    <t>0046157327</t>
  </si>
  <si>
    <t>ANGIO ADRENAL UNILAT SEL</t>
  </si>
  <si>
    <t>ADRENL SEL UNI</t>
  </si>
  <si>
    <t>0046157376</t>
  </si>
  <si>
    <t>ANGIO PELVIC SELECT/SUP</t>
  </si>
  <si>
    <t>PELVIC SEL/SUP</t>
  </si>
  <si>
    <t>0046157426</t>
  </si>
  <si>
    <t>ANGIO PULMONARY UNI SLCT</t>
  </si>
  <si>
    <t>PULM UNI SELECT</t>
  </si>
  <si>
    <t>0046157442</t>
  </si>
  <si>
    <t>ANGIO PULM SEL BI</t>
  </si>
  <si>
    <t>PULM BI SELECT</t>
  </si>
  <si>
    <t>0046157574</t>
  </si>
  <si>
    <t>ANGIO INTERNAL MAMMARY</t>
  </si>
  <si>
    <t>MAMMARY INTERNL</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</si>
  <si>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</si>
  <si>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</si>
  <si>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</si>
  <si>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</si>
  <si>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</si>
  <si>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</si>
  <si>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</si>
  <si>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</si>
  <si>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</si>
  <si>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</si>
  <si>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</si>
  <si>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</si>
  <si>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0046158325</t>
  </si>
  <si>
    <t>VENOGRAPHY RENAL UNILAT</t>
  </si>
  <si>
    <t>VENOGPHY RENL U</t>
  </si>
  <si>
    <t>0046158341</t>
  </si>
  <si>
    <t>VENOGRAPHY RENAL BILAT</t>
  </si>
  <si>
    <t>VENOGPHY RENL B</t>
  </si>
  <si>
    <t>0046158614</t>
  </si>
  <si>
    <t>VENOGRM VNUS SINUS/JUGUL</t>
  </si>
  <si>
    <t>VNOGRM SNUS/JUG</t>
  </si>
  <si>
    <t>0046158879</t>
  </si>
  <si>
    <t>PERC TRSHEP PORT WO/EVL</t>
  </si>
  <si>
    <t>PERC HEP PRT WO</t>
  </si>
  <si>
    <t>0046158929</t>
  </si>
  <si>
    <t>HEPATIC VENGPHY WO/EVAL</t>
  </si>
  <si>
    <t>HEP VENGPHY WO/</t>
  </si>
  <si>
    <t>0046158986</t>
  </si>
  <si>
    <t>ANGIO EXIST CATH F/U STU</t>
  </si>
  <si>
    <t>ANGIO F/U STUDY</t>
  </si>
  <si>
    <t>0046159018</t>
  </si>
  <si>
    <t>REM PERICTH OBST CV CATH</t>
  </si>
  <si>
    <t>REM OBST CV CTH</t>
  </si>
  <si>
    <t>0046159026</t>
  </si>
  <si>
    <t>REM INTRLMNL OBST CV CTH</t>
  </si>
  <si>
    <t>0046159448</t>
  </si>
  <si>
    <t>IVUS NON CORONARY INITL</t>
  </si>
  <si>
    <t>IVUS INITL VESL</t>
  </si>
  <si>
    <t>0046159711</t>
  </si>
  <si>
    <t>TRNSCTH BIOPSY S&amp;I</t>
  </si>
  <si>
    <t>TCATH BX</t>
  </si>
  <si>
    <t>0046159851</t>
  </si>
  <si>
    <t>CHANGE PERC DRAIN CATH</t>
  </si>
  <si>
    <t>CHNG PERC D CTH</t>
  </si>
  <si>
    <t>0046159901</t>
  </si>
  <si>
    <t>PERC DRAIN W CATH PLC</t>
  </si>
  <si>
    <t>PERC DRAIN W CA</t>
  </si>
  <si>
    <t>0046159976</t>
  </si>
  <si>
    <t>FLUOROGUID FOR VEIN DVCE</t>
  </si>
  <si>
    <t>FLUORO CVA DVCE</t>
  </si>
  <si>
    <t>0046159984</t>
  </si>
  <si>
    <t>FLUOROSCOPY &lt;1HOUR</t>
  </si>
  <si>
    <t>FLUOR (&lt;) 1HR</t>
  </si>
  <si>
    <t>0046160024</t>
  </si>
  <si>
    <t>INJ PERC EXT PSEUDANYSM</t>
  </si>
  <si>
    <t>INJ PSEUDOANYSM</t>
  </si>
  <si>
    <t>0046160032</t>
  </si>
  <si>
    <t>FLUORO BX/ASP/INJ/GUIDE</t>
  </si>
  <si>
    <t>FLUORO GUIDANCE</t>
  </si>
  <si>
    <t>0046160057</t>
  </si>
  <si>
    <t>TRNSCTH EMBOLIZATN</t>
  </si>
  <si>
    <t>TCATH TRPY EMBL</t>
  </si>
  <si>
    <t>0046160107</t>
  </si>
  <si>
    <t>FLUORO GUIDE SPINE INJ</t>
  </si>
  <si>
    <t>FLUOR SPINE INJ</t>
  </si>
  <si>
    <t>0046160115</t>
  </si>
  <si>
    <t>PLC CATH VEIN 1ST ORDR</t>
  </si>
  <si>
    <t>PLC CATH VEIN</t>
  </si>
  <si>
    <t>0046160123</t>
  </si>
  <si>
    <t>PLC CATH VEIN 2ND ORDR</t>
  </si>
  <si>
    <t>0046160131</t>
  </si>
  <si>
    <t>PLC CATH RT HRT/PULM ART</t>
  </si>
  <si>
    <t>PL CATH ARTR</t>
  </si>
  <si>
    <t>0046160826</t>
  </si>
  <si>
    <t>FISTULA-SINUS TRCT STDY</t>
  </si>
  <si>
    <t>FISTL/SINUS TRC</t>
  </si>
  <si>
    <t>0046162210</t>
  </si>
  <si>
    <t>ARTEROGRAM ARCH NON SEL</t>
  </si>
  <si>
    <t>ARTEROGRAM ARCH</t>
  </si>
  <si>
    <t>0046162228</t>
  </si>
  <si>
    <t>ARTERIOGR CAR NK SEL</t>
  </si>
  <si>
    <t>ARTER CC SEL</t>
  </si>
  <si>
    <t>0046162244</t>
  </si>
  <si>
    <t>ARTERIOGR CAR HD SEL</t>
  </si>
  <si>
    <t>ARTER CAR/HD</t>
  </si>
  <si>
    <t>0046162269</t>
  </si>
  <si>
    <t>ARTERIOG CAR NKHD SEL</t>
  </si>
  <si>
    <t>ARTERIO IC NKHD</t>
  </si>
  <si>
    <t>0046162285</t>
  </si>
  <si>
    <t>ARTERIOG SUBC/INOM</t>
  </si>
  <si>
    <t>ARTER SUBC/INOM</t>
  </si>
  <si>
    <t>0046162301</t>
  </si>
  <si>
    <t>ARTERIOG VERT SEL</t>
  </si>
  <si>
    <t>ARTER VERT SEL</t>
  </si>
  <si>
    <t>0046162327</t>
  </si>
  <si>
    <t>ARTERIOG EXT CAR SEL</t>
  </si>
  <si>
    <t>ARTER EXT CAR</t>
  </si>
  <si>
    <t>0046162343</t>
  </si>
  <si>
    <t>ANGIO IC VERT SEL</t>
  </si>
  <si>
    <t>ANGIO IC VERT</t>
  </si>
  <si>
    <t>0046162517</t>
  </si>
  <si>
    <t>INS CATH REN ART 1ST UNI</t>
  </si>
  <si>
    <t>INS CATH RENAL</t>
  </si>
  <si>
    <t>0046162525</t>
  </si>
  <si>
    <t>INS CATH REN ART 1ST BIL</t>
  </si>
  <si>
    <t>0046162533</t>
  </si>
  <si>
    <t>INS CATH REN ART 2ND UNI</t>
  </si>
  <si>
    <t>0046162632</t>
  </si>
  <si>
    <t>REM/REPL AICD DUAL LD</t>
  </si>
  <si>
    <t>REMV/REPL AICD</t>
  </si>
  <si>
    <t>0046162640</t>
  </si>
  <si>
    <t>REM/REPL AICD MULT LD</t>
  </si>
  <si>
    <t>0046163770</t>
  </si>
  <si>
    <t>3D IMAGING W POSTPROCESS</t>
  </si>
  <si>
    <t>3D IMAGING</t>
  </si>
  <si>
    <t>0046163861</t>
  </si>
  <si>
    <t>PRQ AV FSTL CRTJ UXTR SGL ACC</t>
  </si>
  <si>
    <t>PRQ AV FSTL CRT</t>
  </si>
  <si>
    <t>0046164109</t>
  </si>
  <si>
    <t>MIDLINE INSERTION 3+YRS</t>
  </si>
  <si>
    <t>MIDLINE INSERTI</t>
  </si>
  <si>
    <t>0046164729</t>
  </si>
  <si>
    <t>INJ ANESTH CERV/THOR SGL</t>
  </si>
  <si>
    <t>ANES PERIPH NRV</t>
  </si>
  <si>
    <t>0046164752</t>
  </si>
  <si>
    <t>ENDO RF/ABLAT PERC INIT VN</t>
  </si>
  <si>
    <t>ENDO RF/ABLAT I</t>
  </si>
  <si>
    <t>0046164760</t>
  </si>
  <si>
    <t>ENDO RF/ABLAT EXT SUBS VN</t>
  </si>
  <si>
    <t>ENDO RF/ABLAT E</t>
  </si>
  <si>
    <t>0046164802</t>
  </si>
  <si>
    <t>DESTR CELIAC PLEX W/AGNT</t>
  </si>
  <si>
    <t>DEST CELIAC PLE</t>
  </si>
  <si>
    <t>0046164919</t>
  </si>
  <si>
    <t>VENOGRAPHY ADTL VESS UNI</t>
  </si>
  <si>
    <t>VENO ADTL VES U</t>
  </si>
  <si>
    <t>0046165239</t>
  </si>
  <si>
    <t>IRRIGATE VASC ACCESS DEV</t>
  </si>
  <si>
    <t>IRRIGATE VAD</t>
  </si>
  <si>
    <t>0046165361</t>
  </si>
  <si>
    <t>0046165379</t>
  </si>
  <si>
    <t>0046165569</t>
  </si>
  <si>
    <t>INSRT NONTUNNL CV CTH 5&gt;</t>
  </si>
  <si>
    <t>INSRT CV CATH</t>
  </si>
  <si>
    <t>0046165585</t>
  </si>
  <si>
    <t>INSRT TNL CV CTH5&gt;WO PMP</t>
  </si>
  <si>
    <t>0046165619</t>
  </si>
  <si>
    <t>INSRT TUNNL VAD 5&gt;W PORT</t>
  </si>
  <si>
    <t>INSRT CVA DVICE</t>
  </si>
  <si>
    <t>0046165635</t>
  </si>
  <si>
    <t>INSRT TUNNEL VAD W PUMP</t>
  </si>
  <si>
    <t>0046165692</t>
  </si>
  <si>
    <t>INSRT PICC NO PRT/PMP&gt;5 NO IMG</t>
  </si>
  <si>
    <t>INSRT PICC &gt;5</t>
  </si>
  <si>
    <t>0046165718</t>
  </si>
  <si>
    <t>INSRT CVAD W PRT 5YRS &gt;</t>
  </si>
  <si>
    <t>0046165734</t>
  </si>
  <si>
    <t>INSRT PICC W/IMG 5+YR</t>
  </si>
  <si>
    <t>INSRT PICC W/IM</t>
  </si>
  <si>
    <t>0046165767</t>
  </si>
  <si>
    <t>REPAIR CVAD W SQ PUMP</t>
  </si>
  <si>
    <t>REPR CVA DVICE</t>
  </si>
  <si>
    <t>0046165783</t>
  </si>
  <si>
    <t>REPLCE CATH ONLY CVAD</t>
  </si>
  <si>
    <t>REPLC CVAD CATH</t>
  </si>
  <si>
    <t>0046165809</t>
  </si>
  <si>
    <t>REPLCE NON-TUNNL CV CATH</t>
  </si>
  <si>
    <t>REPLC CV CATH</t>
  </si>
  <si>
    <t>0046165817</t>
  </si>
  <si>
    <t>REPLACE TUNNELED CV CATH</t>
  </si>
  <si>
    <t>0046165825</t>
  </si>
  <si>
    <t>RPLC TUNNL CVAD W PORT</t>
  </si>
  <si>
    <t>REPLC CVA DVICE</t>
  </si>
  <si>
    <t>0046165833</t>
  </si>
  <si>
    <t>RPLCE TUNL CVAD W SQ PMP</t>
  </si>
  <si>
    <t>0046165841</t>
  </si>
  <si>
    <t>RPLC PICC NO PRT/PMP W/IMG</t>
  </si>
  <si>
    <t>RPLC PICC NO PR</t>
  </si>
  <si>
    <t>0046165890</t>
  </si>
  <si>
    <t>REMV TUNL CVC WO PMP/PRT</t>
  </si>
  <si>
    <t>REMV CV CATH</t>
  </si>
  <si>
    <t>0046165908</t>
  </si>
  <si>
    <t>RMV TUNLD CVAD W SQ PORT</t>
  </si>
  <si>
    <t>REMV CVA DVICE</t>
  </si>
  <si>
    <t>0046165932</t>
  </si>
  <si>
    <t>DCLOT CVAD THROMBL AGNT</t>
  </si>
  <si>
    <t>DECLOT CVAD</t>
  </si>
  <si>
    <t>0046165981</t>
  </si>
  <si>
    <t>CONTRST EVAL EXISTNG CVD</t>
  </si>
  <si>
    <t>CVD CNTRST EVAL</t>
  </si>
  <si>
    <t>0046169017</t>
  </si>
  <si>
    <t>INTRO NDL DIAL-CIRC+S&amp;I</t>
  </si>
  <si>
    <t>INTRO NDL S&amp;I</t>
  </si>
  <si>
    <t>0046169025</t>
  </si>
  <si>
    <t>DIAL-CIRC BAL-PLASTY+S&amp;I</t>
  </si>
  <si>
    <t>BAL-PLASTY+S&amp;I</t>
  </si>
  <si>
    <t>0046169033</t>
  </si>
  <si>
    <t>DIAL-CIRC STNT+PLSTY+S&amp;I</t>
  </si>
  <si>
    <t>STNT+PLASTY+S&amp;I</t>
  </si>
  <si>
    <t>0046169041</t>
  </si>
  <si>
    <t>DIA-CIR THRO+IMG+S&amp;I</t>
  </si>
  <si>
    <t>THRO+IMG+S&amp;I</t>
  </si>
  <si>
    <t>0046169058</t>
  </si>
  <si>
    <t>DIA-CIR THRO+PLST+IMG+S&amp;I</t>
  </si>
  <si>
    <t>THRO+PLST+IMG</t>
  </si>
  <si>
    <t>0046169066</t>
  </si>
  <si>
    <t>DIA-CIR THRO+STN+IMG+S&amp;I</t>
  </si>
  <si>
    <t>THRO+STN+IMG</t>
  </si>
  <si>
    <t>0046169074</t>
  </si>
  <si>
    <t>DIA-CIR APLAS+IMG+S&amp;I</t>
  </si>
  <si>
    <t>APLAS+IMG+S&amp;I</t>
  </si>
  <si>
    <t>0046169082</t>
  </si>
  <si>
    <t>DIA-CIR STENT+IMG+S&amp;I</t>
  </si>
  <si>
    <t>STENT+IMG+S&amp;I</t>
  </si>
  <si>
    <t>0046169090</t>
  </si>
  <si>
    <t>DIA-CIR EMBOL+IMG+S&amp;I</t>
  </si>
  <si>
    <t>EMBOL+IMG+S&amp;I</t>
  </si>
  <si>
    <t>0046169371</t>
  </si>
  <si>
    <t>US GUIDE VASCULAR ACCESS</t>
  </si>
  <si>
    <t>US GUIDANCE VA</t>
  </si>
  <si>
    <t>0046169421</t>
  </si>
  <si>
    <t>US GUIDE NEEDLE PLACEMNT</t>
  </si>
  <si>
    <t>US GUIDANCE</t>
  </si>
  <si>
    <t>0046170965</t>
  </si>
  <si>
    <t>INJECT PROC SACRO JNT</t>
  </si>
  <si>
    <t>INJ SACRO JNT</t>
  </si>
  <si>
    <t>0046171823</t>
  </si>
  <si>
    <t>TRNSVN INTRHEP PORT SHNT</t>
  </si>
  <si>
    <t>PORTOSYST SHUNT</t>
  </si>
  <si>
    <t>0046171831</t>
  </si>
  <si>
    <t>REVSN INTRHEP PORTO SHNT</t>
  </si>
  <si>
    <t>REVS PORTO SHNT</t>
  </si>
  <si>
    <t>0046171849</t>
  </si>
  <si>
    <t>THROMB NONCOR INITL VSL</t>
  </si>
  <si>
    <t>THROMBECTMY ART</t>
  </si>
  <si>
    <t>0046171856</t>
  </si>
  <si>
    <t>THROMB NONCOR ADD VESSLS</t>
  </si>
  <si>
    <t>THROMB ADD ART</t>
  </si>
  <si>
    <t>0046171864</t>
  </si>
  <si>
    <t>THROMB NONCOR SECONDARY</t>
  </si>
  <si>
    <t>THROM ART 2ND</t>
  </si>
  <si>
    <t>0046171872</t>
  </si>
  <si>
    <t>PERC MECH THROMBECTMY VN</t>
  </si>
  <si>
    <t>THROMBECTMY VN</t>
  </si>
  <si>
    <t>0046171880</t>
  </si>
  <si>
    <t>MECH THRMBCTMY VN RPEAT</t>
  </si>
  <si>
    <t>THRMBCTMY VEIN</t>
  </si>
  <si>
    <t>0046171898</t>
  </si>
  <si>
    <t>MECH REMVL OBSTRTN GTUBE</t>
  </si>
  <si>
    <t>REM OBSTR GTUB</t>
  </si>
  <si>
    <t>0046171914</t>
  </si>
  <si>
    <t>INS ENDOVA VENACAVA FILT</t>
  </si>
  <si>
    <t>INS ENDO FILTER</t>
  </si>
  <si>
    <t>0046171930</t>
  </si>
  <si>
    <t>REM ENDO VENA CAVA FILTR</t>
  </si>
  <si>
    <t>REM VENCAVA FIL</t>
  </si>
  <si>
    <t>0046171955</t>
  </si>
  <si>
    <t>THROMBOLYSIS CEREB IV</t>
  </si>
  <si>
    <t>THROMB CEREB IV</t>
  </si>
  <si>
    <t>0046171971</t>
  </si>
  <si>
    <t>TCATH RETRV INTRAVASC FB+IMG</t>
  </si>
  <si>
    <t>TCATH RETR IVAS</t>
  </si>
  <si>
    <t>0046172003</t>
  </si>
  <si>
    <t>TRNSCTH BIOPSY</t>
  </si>
  <si>
    <t>0046172110</t>
  </si>
  <si>
    <t>TCATH TX INIT NONCOR ART</t>
  </si>
  <si>
    <t>TCATH NONCOR</t>
  </si>
  <si>
    <t>0046172128</t>
  </si>
  <si>
    <t>TCATH TX INIT NONCOR VEN</t>
  </si>
  <si>
    <t>0046172136</t>
  </si>
  <si>
    <t>TCATH TX A/V NONCOR SUBS</t>
  </si>
  <si>
    <t>0046172144</t>
  </si>
  <si>
    <t>TCATH TX CESSATION</t>
  </si>
  <si>
    <t>TCATH CESSATION</t>
  </si>
  <si>
    <t>0046172151</t>
  </si>
  <si>
    <t>PLC CERV CAROTD W/PRD</t>
  </si>
  <si>
    <t>PL STNT CAROTID</t>
  </si>
  <si>
    <t>0046172169</t>
  </si>
  <si>
    <t>PL ST CERV CAROTD WO/PRD</t>
  </si>
  <si>
    <t>0046172185</t>
  </si>
  <si>
    <t>PERC ANTEGR STENT CAR</t>
  </si>
  <si>
    <t>PERC ANTE STNT</t>
  </si>
  <si>
    <t>0046172367</t>
  </si>
  <si>
    <t>OPEN/PERC PL ST 1ST AR</t>
  </si>
  <si>
    <t>OP PERC ST 1ST</t>
  </si>
  <si>
    <t>0046172383</t>
  </si>
  <si>
    <t>OPEN/PERC PL ST 1ST VN</t>
  </si>
  <si>
    <t>OP PER ST SAME</t>
  </si>
  <si>
    <t>0046172391</t>
  </si>
  <si>
    <t>OPEN/PERC PL ST E/ADD VN</t>
  </si>
  <si>
    <t>OP PER ST ADD</t>
  </si>
  <si>
    <t>0046172417</t>
  </si>
  <si>
    <t>VASC EMB/OCC VENOUS</t>
  </si>
  <si>
    <t>VSC EMB/OCC VEN</t>
  </si>
  <si>
    <t>0046172425</t>
  </si>
  <si>
    <t>VASC EMB/OCC ARTERY</t>
  </si>
  <si>
    <t>VSC EMB/OCC ART</t>
  </si>
  <si>
    <t>0046172433</t>
  </si>
  <si>
    <t>VASC EMB/OCC ORGAN</t>
  </si>
  <si>
    <t>VSC EMB/OCC ORG</t>
  </si>
  <si>
    <t>0046172441</t>
  </si>
  <si>
    <t>VASC EMB/OCC BLEED</t>
  </si>
  <si>
    <t>VSC EMB/OCC BLD</t>
  </si>
  <si>
    <t>0046172466</t>
  </si>
  <si>
    <t>ANGIPLASTY ART INIT+S&amp;I</t>
  </si>
  <si>
    <t>ANGIPLASTY ART</t>
  </si>
  <si>
    <t>0046172474</t>
  </si>
  <si>
    <t>ANGIPLASTY ART EA ADDL</t>
  </si>
  <si>
    <t>ANGPLASTY ART</t>
  </si>
  <si>
    <t>0046172482</t>
  </si>
  <si>
    <t>ANGIPLASTY VEN INIT+S&amp;I</t>
  </si>
  <si>
    <t>ANGIPLASTY VEN</t>
  </si>
  <si>
    <t>0046172490</t>
  </si>
  <si>
    <t>ANGIPLASTY VEN EA ADDL</t>
  </si>
  <si>
    <t>0046172516</t>
  </si>
  <si>
    <t>IVUS NON CORON ADDL VESL</t>
  </si>
  <si>
    <t>IVUS ADDL VESSL</t>
  </si>
  <si>
    <t>0046174603</t>
  </si>
  <si>
    <t>ASPIR BLADDR W/INS CATH</t>
  </si>
  <si>
    <t>ASP BLDR W/INS</t>
  </si>
  <si>
    <t>0046175022</t>
  </si>
  <si>
    <t>BIOPSY BONE SUPERFICIAL</t>
  </si>
  <si>
    <t>BX BONE SUPRFCL</t>
  </si>
  <si>
    <t>0046175154</t>
  </si>
  <si>
    <t>CHANGE BILIARY DRAIN CTH</t>
  </si>
  <si>
    <t>CHNG BILI CATH</t>
  </si>
  <si>
    <t>0046175204</t>
  </si>
  <si>
    <t>CHANGE NEPHROSTOMY TUBE</t>
  </si>
  <si>
    <t>CHNG NEPHR TUBE</t>
  </si>
  <si>
    <t>0046175311</t>
  </si>
  <si>
    <t>CHOLANGIO+INJ EXIST CTH</t>
  </si>
  <si>
    <t>CHOL+INJ CATH</t>
  </si>
  <si>
    <t>0046175329</t>
  </si>
  <si>
    <t>CHOLANGIO+INJ NEW</t>
  </si>
  <si>
    <t>INJ PERC CHOLE</t>
  </si>
  <si>
    <t>0046175345</t>
  </si>
  <si>
    <t>INSRT BILI DRAIN INT/EXT</t>
  </si>
  <si>
    <t>BIL DRN INT/EXT</t>
  </si>
  <si>
    <t>0046175378</t>
  </si>
  <si>
    <t>REMOVE BILI DRAIN CATH</t>
  </si>
  <si>
    <t>REM BILI CATH</t>
  </si>
  <si>
    <t>0046175386</t>
  </si>
  <si>
    <t>PL STNT BIL EXIS ACCESS</t>
  </si>
  <si>
    <t>STNT EXIS ACCES</t>
  </si>
  <si>
    <t>0046175402</t>
  </si>
  <si>
    <t>PL STNT INT/EXT BILE DRN</t>
  </si>
  <si>
    <t>PLC STNT W/DRN</t>
  </si>
  <si>
    <t>0046175428</t>
  </si>
  <si>
    <t>DILAT BILE DUCT EA</t>
  </si>
  <si>
    <t>DILAT DUCT EA</t>
  </si>
  <si>
    <t>0046176004</t>
  </si>
  <si>
    <t>PERC CHOLECYSTOSTOMY</t>
  </si>
  <si>
    <t>PERC CHOLECYSTM</t>
  </si>
  <si>
    <t>0046176616</t>
  </si>
  <si>
    <t>INJ ANESTH LUMB/CAUD SGL</t>
  </si>
  <si>
    <t>INJ ANES SGL LV</t>
  </si>
  <si>
    <t>0046176632</t>
  </si>
  <si>
    <t>INJ LUMB/CAUD EA ADD LVL</t>
  </si>
  <si>
    <t>0046176657</t>
  </si>
  <si>
    <t>INJ NEPHROGRM EXIS ACC</t>
  </si>
  <si>
    <t>0046176806</t>
  </si>
  <si>
    <t>INJ EPID CERV/THORC</t>
  </si>
  <si>
    <t>INJ CRV/THR</t>
  </si>
  <si>
    <t>0046176822</t>
  </si>
  <si>
    <t>INJ EPID LUMB/CAUD</t>
  </si>
  <si>
    <t>INJ EPID LUMB</t>
  </si>
  <si>
    <t>0046176905</t>
  </si>
  <si>
    <t>INJ VENOGRPHY EXTRMTY</t>
  </si>
  <si>
    <t>INJ VENO EXTRM</t>
  </si>
  <si>
    <t>0046177051</t>
  </si>
  <si>
    <t>INJ SINUS TRACT DIAGNSTC</t>
  </si>
  <si>
    <t>INJ SINUS TRACT</t>
  </si>
  <si>
    <t>0046177606</t>
  </si>
  <si>
    <t>INSRT BILI DRAIN EXT</t>
  </si>
  <si>
    <t>INSRT BILI EXT</t>
  </si>
  <si>
    <t>0046177903</t>
  </si>
  <si>
    <t>OCCLSN/EMBL CATH NON-CNS</t>
  </si>
  <si>
    <t>OCCLSN/EMBL CTH</t>
  </si>
  <si>
    <t>0046177952</t>
  </si>
  <si>
    <t>OCCLSN/EMBL CATH CNS</t>
  </si>
  <si>
    <t>0046177978</t>
  </si>
  <si>
    <t>INT CAROTID ANGIOPLASTY</t>
  </si>
  <si>
    <t>INT CAR ANGPLST</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</si>
  <si>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</si>
  <si>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</si>
  <si>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</si>
  <si>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</si>
  <si>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</si>
  <si>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</si>
  <si>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</si>
  <si>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</si>
  <si>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</si>
  <si>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</si>
  <si>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</si>
  <si>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</si>
  <si>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0046178307</t>
  </si>
  <si>
    <t>PLC CATH ART ADD ORDR</t>
  </si>
  <si>
    <t>0046178356</t>
  </si>
  <si>
    <t>PLC CATH ART 1ST ORDR</t>
  </si>
  <si>
    <t>0046178406</t>
  </si>
  <si>
    <t>PLC CATH ART 2ND ORDR</t>
  </si>
  <si>
    <t>0046178455</t>
  </si>
  <si>
    <t>PLC CATH ART 3RD ORDR</t>
  </si>
  <si>
    <t>0046178604</t>
  </si>
  <si>
    <t>PLC CATH EXTRM ARTERY</t>
  </si>
  <si>
    <t>0046178653</t>
  </si>
  <si>
    <t>PLC CATH LT/RT ARTERY</t>
  </si>
  <si>
    <t>PLC CATH PULM</t>
  </si>
  <si>
    <t>0046178703</t>
  </si>
  <si>
    <t>PLC CATH VENACAVA</t>
  </si>
  <si>
    <t>PL CTH VENACAVA</t>
  </si>
  <si>
    <t>0046179867</t>
  </si>
  <si>
    <t>CONVERT EXT BILI DRAIN</t>
  </si>
  <si>
    <t>CONVERT EXT DRA</t>
  </si>
  <si>
    <t>0046179982</t>
  </si>
  <si>
    <t>BILIARY DUCT EMBOLIZATION</t>
  </si>
  <si>
    <t>BILIARY DUCT EM</t>
  </si>
  <si>
    <t>0046182002</t>
  </si>
  <si>
    <t>BILIARY DUCT STONE EXTR</t>
  </si>
  <si>
    <t>BIL STONE EXTRC</t>
  </si>
  <si>
    <t>0046182200</t>
  </si>
  <si>
    <t>DX BONE MARROW ASPIRATION(S)</t>
  </si>
  <si>
    <t>0046182218</t>
  </si>
  <si>
    <t>DX BONE MARROW BIOPSIES</t>
  </si>
  <si>
    <t>0046185054</t>
  </si>
  <si>
    <t>PERC BIOPSY LYMPH NODE</t>
  </si>
  <si>
    <t>PERC BIOPSY LYM</t>
  </si>
  <si>
    <t>0046189015</t>
  </si>
  <si>
    <t>SPINAL PUNCTR LUMB DIAG</t>
  </si>
  <si>
    <t>LUMBAR PUNCTURE</t>
  </si>
  <si>
    <t>0046190823</t>
  </si>
  <si>
    <t>ABD PARACENTESIS W/OIMAG</t>
  </si>
  <si>
    <t>ABDPARAW/OIMAG</t>
  </si>
  <si>
    <t>0046190831</t>
  </si>
  <si>
    <t>ABD PARACENTESIS W/IMAGE</t>
  </si>
  <si>
    <t>ABD PARA W/IMAG</t>
  </si>
  <si>
    <t>0046191300</t>
  </si>
  <si>
    <t>CPR</t>
  </si>
  <si>
    <t>0046191524</t>
  </si>
  <si>
    <t>MOD SED SAME&gt;5YRS INIT15</t>
  </si>
  <si>
    <t>MOD SED INIT15</t>
  </si>
  <si>
    <t>0046191532</t>
  </si>
  <si>
    <t>MOD SED SAME EA ADD15</t>
  </si>
  <si>
    <t>MOD SED ADD15</t>
  </si>
  <si>
    <t>0046191565</t>
  </si>
  <si>
    <t>MOD SED OTH&gt;5YRS INIT15</t>
  </si>
  <si>
    <t>0046191573</t>
  </si>
  <si>
    <t>MOD SED OTH EA ADD15</t>
  </si>
  <si>
    <t>0046191854</t>
  </si>
  <si>
    <t>SCLEROTHERAPY FLUID COLL</t>
  </si>
  <si>
    <t>SCLEROTHERAPY F</t>
  </si>
  <si>
    <t>0046194015</t>
  </si>
  <si>
    <t>INJ AIR/CM PERITNL CAV</t>
  </si>
  <si>
    <t>INJ PERITONEAL</t>
  </si>
  <si>
    <t>0046194056</t>
  </si>
  <si>
    <t>IMG CATH FLUID COL VISC</t>
  </si>
  <si>
    <t>CATH FL COLL VI</t>
  </si>
  <si>
    <t>0046194064</t>
  </si>
  <si>
    <t>IMG CATH FLUID PERI/RETR</t>
  </si>
  <si>
    <t>CATH FL COLL</t>
  </si>
  <si>
    <t>0046194114</t>
  </si>
  <si>
    <t>PLC FIDUCL MRKR LIVER</t>
  </si>
  <si>
    <t>PLC FIDUCL MRKR</t>
  </si>
  <si>
    <t>0046194189</t>
  </si>
  <si>
    <t>INS TUNN INTRAPER CATH</t>
  </si>
  <si>
    <t>0046194197</t>
  </si>
  <si>
    <t>REM TUNNLD INTRAPER CATH</t>
  </si>
  <si>
    <t>REM INTRAPER CA</t>
  </si>
  <si>
    <t>0046194213</t>
  </si>
  <si>
    <t>INSRT PERM INTRAPTNL CTH</t>
  </si>
  <si>
    <t>INSRT DRAIN CTH</t>
  </si>
  <si>
    <t>0046194239</t>
  </si>
  <si>
    <t>EXCH ABSC/CYST DRN CATH</t>
  </si>
  <si>
    <t>EXCH ABS DRN CA</t>
  </si>
  <si>
    <t>0046194247</t>
  </si>
  <si>
    <t>INJ ABSC/CYST PREV CATH</t>
  </si>
  <si>
    <t>INJ PREV CATH</t>
  </si>
  <si>
    <t>0046194403</t>
  </si>
  <si>
    <t>PL GASTRO TUBE W/FLUORO</t>
  </si>
  <si>
    <t>PLC GASTR TUBE</t>
  </si>
  <si>
    <t>0046194411</t>
  </si>
  <si>
    <t>PL DUODNOSTMY TBE WFLUOR</t>
  </si>
  <si>
    <t>PLC DUODEN TUBE</t>
  </si>
  <si>
    <t>0046194460</t>
  </si>
  <si>
    <t>CH GTUBE TO GJTUBE W/FLU</t>
  </si>
  <si>
    <t>GTUBE TO GJTUBE</t>
  </si>
  <si>
    <t>0046194502</t>
  </si>
  <si>
    <t>REPL GASTRO TUBE W/FLUOR</t>
  </si>
  <si>
    <t>REPLACE G TUBE</t>
  </si>
  <si>
    <t>0046194510</t>
  </si>
  <si>
    <t>REPL DUODEN TUBE W/FLUOR</t>
  </si>
  <si>
    <t>REPLACE D TUBE</t>
  </si>
  <si>
    <t>0046194528</t>
  </si>
  <si>
    <t>REPL J-TUBE W/FLUOR</t>
  </si>
  <si>
    <t>REPLACE J TUBE</t>
  </si>
  <si>
    <t>0046194536</t>
  </si>
  <si>
    <t>REPL GJ TUBE W/FLUOR</t>
  </si>
  <si>
    <t>REPLACE GJ TUBE</t>
  </si>
  <si>
    <t>0046194650</t>
  </si>
  <si>
    <t>INJ CM EVAL GTUBE</t>
  </si>
  <si>
    <t>CM EVAL G TUBE</t>
  </si>
  <si>
    <t>0046194684</t>
  </si>
  <si>
    <t>INJ CM EVAL GJTUBE</t>
  </si>
  <si>
    <t>CM EVAL GJ TUBE</t>
  </si>
  <si>
    <t>0046196002</t>
  </si>
  <si>
    <t>PERC COR DRUG-ELUT STNT</t>
  </si>
  <si>
    <t>PERC DRG-EL ST</t>
  </si>
  <si>
    <t>0046196010</t>
  </si>
  <si>
    <t>PERC DRUG-ELUT STNT ADDL</t>
  </si>
  <si>
    <t>PERC STNT ADDL</t>
  </si>
  <si>
    <t>0046196044</t>
  </si>
  <si>
    <t>PERC COR REVASC D-E CABG</t>
  </si>
  <si>
    <t>PER REVAS CABG</t>
  </si>
  <si>
    <t>0046196051</t>
  </si>
  <si>
    <t>PER COR REVAS CABG ADDL</t>
  </si>
  <si>
    <t>PER REVAS ADDL</t>
  </si>
  <si>
    <t>0046196069</t>
  </si>
  <si>
    <t>PER COR REVAS D-E W/AMI</t>
  </si>
  <si>
    <t>PER REVAS W/AMI</t>
  </si>
  <si>
    <t>0046196077</t>
  </si>
  <si>
    <t>PER COR REVAS CHRONC SNG</t>
  </si>
  <si>
    <t>PER REVAS CHRON</t>
  </si>
  <si>
    <t>0046197182</t>
  </si>
  <si>
    <t>PERC AUG 1 BD THOR/IMG</t>
  </si>
  <si>
    <t>PERC AUGM THOR</t>
  </si>
  <si>
    <t>0046197190</t>
  </si>
  <si>
    <t>PERC AUG ADD T/L IMG</t>
  </si>
  <si>
    <t>PERC AUGM EA AD</t>
  </si>
  <si>
    <t>0046197208</t>
  </si>
  <si>
    <t>PERC AUG 1 BD LUMB/IMG</t>
  </si>
  <si>
    <t>PERC AUGM LUMB</t>
  </si>
  <si>
    <t>0046197661</t>
  </si>
  <si>
    <t>REVASC INTRAVASC LITHO+ATHER</t>
  </si>
  <si>
    <t>INTRAVASC LITHO</t>
  </si>
  <si>
    <t>0047058557</t>
  </si>
  <si>
    <t>EMG LARYNX</t>
  </si>
  <si>
    <t>0047058615</t>
  </si>
  <si>
    <t>EMG TWO EXTREMITIES</t>
  </si>
  <si>
    <t>EMG 2 EXTRMTIES</t>
  </si>
  <si>
    <t>0047058649</t>
  </si>
  <si>
    <t>EMG FOUR EXTREMITIES</t>
  </si>
  <si>
    <t>EMG 4 EXTRMTIES</t>
  </si>
  <si>
    <t>0047058722</t>
  </si>
  <si>
    <t>EMG CRAN MUSC(S) UNI</t>
  </si>
  <si>
    <t>EMG CRAN MUS(S)</t>
  </si>
  <si>
    <t>0047058730</t>
  </si>
  <si>
    <t>EMG CRANIAL BILATERAL</t>
  </si>
  <si>
    <t>EMG CRANIAL BI</t>
  </si>
  <si>
    <t>0047058805</t>
  </si>
  <si>
    <t>EMG NON-PARASPINAL</t>
  </si>
  <si>
    <t>NON/PARASPNL</t>
  </si>
  <si>
    <t>0047059258</t>
  </si>
  <si>
    <t>SOMATOSENS STDY UPR LIMB</t>
  </si>
  <si>
    <t>SOMATO UPR LIMB</t>
  </si>
  <si>
    <t>0047059274</t>
  </si>
  <si>
    <t>SOMATOSENS STDY LWR LIMB</t>
  </si>
  <si>
    <t>SOMATO LWR LIMB</t>
  </si>
  <si>
    <t>0047059290</t>
  </si>
  <si>
    <t>SOMATOSENS STDY HD/TRUNK</t>
  </si>
  <si>
    <t>SOMATO HD/TRUNK</t>
  </si>
  <si>
    <t>0047059373</t>
  </si>
  <si>
    <t>NEUROMUSCULAR JNCTN TEST</t>
  </si>
  <si>
    <t>NEUROMUSCLR JNC</t>
  </si>
  <si>
    <t>0047059431</t>
  </si>
  <si>
    <t>IONM IN OR 15 MIN</t>
  </si>
  <si>
    <t>IONM OR 15 MIN</t>
  </si>
  <si>
    <t>0047059480</t>
  </si>
  <si>
    <t>SOMATOSEN STDY UPPR/LWER</t>
  </si>
  <si>
    <t>SOMATO UPP/LWR</t>
  </si>
  <si>
    <t>0047059498</t>
  </si>
  <si>
    <t>CNT MTR EP UPPER/LOWER</t>
  </si>
  <si>
    <t>EP UPP/LOWER</t>
  </si>
  <si>
    <t>0047095914</t>
  </si>
  <si>
    <t>CNT MTR EP T/CRAN U/L</t>
  </si>
  <si>
    <t>CNT M EP T/C UL</t>
  </si>
  <si>
    <t>0047095922</t>
  </si>
  <si>
    <t>CNT MTR EP T/CRAN L/L</t>
  </si>
  <si>
    <t>CNT M EP T/C LL</t>
  </si>
  <si>
    <t>0048058176</t>
  </si>
  <si>
    <t>EEG AWAKE/DROWSY</t>
  </si>
  <si>
    <t>EEG AWAKE/DRWSY</t>
  </si>
  <si>
    <t>0048058184</t>
  </si>
  <si>
    <t>EEG AWAKE/SLEEP</t>
  </si>
  <si>
    <t>0048058226</t>
  </si>
  <si>
    <t>EEG MONITOR SLEEP</t>
  </si>
  <si>
    <t>EEG SLEEP ONLY</t>
  </si>
  <si>
    <t>0048059497</t>
  </si>
  <si>
    <t>EEG SURG NON-INTRACRANL</t>
  </si>
  <si>
    <t>EEG SURG</t>
  </si>
  <si>
    <t>0049001100</t>
  </si>
  <si>
    <t>MANDIBLE 4VW MIN</t>
  </si>
  <si>
    <t>MANDIBLE CMPL</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</si>
  <si>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</si>
  <si>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</si>
  <si>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</si>
  <si>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</si>
  <si>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</si>
  <si>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</si>
  <si>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</si>
  <si>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</si>
  <si>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</si>
  <si>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</si>
  <si>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</si>
  <si>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</si>
  <si>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</si>
  <si>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</si>
  <si>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</si>
  <si>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</si>
  <si>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</si>
  <si>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</si>
  <si>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</si>
  <si>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</si>
  <si>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0049003601</t>
  </si>
  <si>
    <t>NECK FOR SOFT TISSUES</t>
  </si>
  <si>
    <t>NECK SOFT TISS</t>
  </si>
  <si>
    <t>0049006109</t>
  </si>
  <si>
    <t>ASP/INJ MJR JNT</t>
  </si>
  <si>
    <t>0049010457</t>
  </si>
  <si>
    <t>CHEST 1 VIEW</t>
  </si>
  <si>
    <t>0049010465</t>
  </si>
  <si>
    <t>CHEST 2 VIEWS</t>
  </si>
  <si>
    <t>0049011000</t>
  </si>
  <si>
    <t>RIBS UNILAT 2VW</t>
  </si>
  <si>
    <t>RIBS UNILATERAL</t>
  </si>
  <si>
    <t>0049011018</t>
  </si>
  <si>
    <t>RIBS UNI 3V MIN W/PA CXR</t>
  </si>
  <si>
    <t>UNIRIBS W/PA CH</t>
  </si>
  <si>
    <t>0049011109</t>
  </si>
  <si>
    <t>RIBS BILAT 3VW MIN</t>
  </si>
  <si>
    <t>RIBS BILATERAL</t>
  </si>
  <si>
    <t>0049011117</t>
  </si>
  <si>
    <t>RIBS BI 4V MIN W/PA CXR</t>
  </si>
  <si>
    <t>BI RIB W/PA CH</t>
  </si>
  <si>
    <t>0049011208</t>
  </si>
  <si>
    <t>STERNUM 2VW MIN</t>
  </si>
  <si>
    <t>STERNUM</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</si>
  <si>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</si>
  <si>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</si>
  <si>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</si>
  <si>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</si>
  <si>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</si>
  <si>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</si>
  <si>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</si>
  <si>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</si>
  <si>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</si>
  <si>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</si>
  <si>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</si>
  <si>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</si>
  <si>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</si>
  <si>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</si>
  <si>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</si>
  <si>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</si>
  <si>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</si>
  <si>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</si>
  <si>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</si>
  <si>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</si>
  <si>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</si>
  <si>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0049020803</t>
  </si>
  <si>
    <t>SPINE THORACO-LUMBAR JCT</t>
  </si>
  <si>
    <t>SPINE THOR/LUMB</t>
  </si>
  <si>
    <t>0049020811</t>
  </si>
  <si>
    <t>SPINE THORACOLMBR 1 VW</t>
  </si>
  <si>
    <t>SPINE THOR 1VW</t>
  </si>
  <si>
    <t>0049020829</t>
  </si>
  <si>
    <t>SPINE THORACOLMBR 2-3VW</t>
  </si>
  <si>
    <t>SPIN THOR 2-3VW</t>
  </si>
  <si>
    <t>0049021009</t>
  </si>
  <si>
    <t>SPINE LUMBAR 2 VIEWS</t>
  </si>
  <si>
    <t>SPINE LUMB 2VWS</t>
  </si>
  <si>
    <t>0049021017</t>
  </si>
  <si>
    <t>SPINE LUMBAR 3 VIEWS</t>
  </si>
  <si>
    <t>SPINE LUMB 3VWS</t>
  </si>
  <si>
    <t>0049021108</t>
  </si>
  <si>
    <t>SPINE LUMBAR MIN 4VWS</t>
  </si>
  <si>
    <t>SPINE L/S MIN4V</t>
  </si>
  <si>
    <t>0049021702</t>
  </si>
  <si>
    <t>PELVIS 1 VIEW</t>
  </si>
  <si>
    <t>0049021751</t>
  </si>
  <si>
    <t>PELVIS 2 VIEWS</t>
  </si>
  <si>
    <t>0049021900</t>
  </si>
  <si>
    <t>PELVIS MIN 3 VWS</t>
  </si>
  <si>
    <t>PELVIS MIN 3VWS</t>
  </si>
  <si>
    <t>0049022205</t>
  </si>
  <si>
    <t>SACRUM COCCYX 2 VWS</t>
  </si>
  <si>
    <t>SACRUM &amp; COCCYX</t>
  </si>
  <si>
    <t>0049022502</t>
  </si>
  <si>
    <t>MYELOGRAM LUMBAR S&amp;I</t>
  </si>
  <si>
    <t>MYELOGRAM LUMB</t>
  </si>
  <si>
    <t>0049023047</t>
  </si>
  <si>
    <t>L/S MYELO W/INJ</t>
  </si>
  <si>
    <t>0049023211</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</si>
  <si>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</si>
  <si>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</si>
  <si>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</si>
  <si>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</si>
  <si>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</si>
  <si>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</si>
  <si>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</si>
  <si>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</si>
  <si>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</si>
  <si>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</si>
  <si>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</si>
  <si>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</si>
  <si>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</si>
  <si>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</si>
  <si>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</si>
  <si>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0049030604</t>
  </si>
  <si>
    <t>HUMERUS 2 VIEW MINIMUM</t>
  </si>
  <si>
    <t>HUMERUS</t>
  </si>
  <si>
    <t>0049030703</t>
  </si>
  <si>
    <t>ELBOW 2 VIEWS</t>
  </si>
  <si>
    <t>0049030802</t>
  </si>
  <si>
    <t>ELBOW 3 VIEW MINIMUM</t>
  </si>
  <si>
    <t>ELBOW COMPLETE</t>
  </si>
  <si>
    <t>0049030851</t>
  </si>
  <si>
    <t>ELBOW ARTHROGRAPHY</t>
  </si>
  <si>
    <t>ELBOW ARTHRG</t>
  </si>
  <si>
    <t>0049030919</t>
  </si>
  <si>
    <t>FOREARM 2 VIEWS</t>
  </si>
  <si>
    <t>FOREARM 2 VWS</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</si>
  <si>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</si>
  <si>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</si>
  <si>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</si>
  <si>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</si>
  <si>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</si>
  <si>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</si>
  <si>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</si>
  <si>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</si>
  <si>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</si>
  <si>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</si>
  <si>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</si>
  <si>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</si>
  <si>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</si>
  <si>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</si>
  <si>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</si>
  <si>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</si>
  <si>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</si>
  <si>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</si>
  <si>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</si>
  <si>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</si>
  <si>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</si>
  <si>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</si>
  <si>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</si>
  <si>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</si>
  <si>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</si>
  <si>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</si>
  <si>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</si>
  <si>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</si>
  <si>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</si>
  <si>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</si>
  <si>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</si>
  <si>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</si>
  <si>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</si>
  <si>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0049035256</t>
  </si>
  <si>
    <t>HIP ARTHROGRAPHY</t>
  </si>
  <si>
    <t>HIP ARTHRG</t>
  </si>
  <si>
    <t>0049035512</t>
  </si>
  <si>
    <t>FEMUR 2 VIEWS MIN</t>
  </si>
  <si>
    <t>FEMUR 2 VWS</t>
  </si>
  <si>
    <t>0049035603</t>
  </si>
  <si>
    <t>KNEE 1-2 VIEWS</t>
  </si>
  <si>
    <t>KNEE 1-2VWS</t>
  </si>
  <si>
    <t>0049035629</t>
  </si>
  <si>
    <t>KNEE 3 VIEWS</t>
  </si>
  <si>
    <t>KNEE 3 VW</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</si>
  <si>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</si>
  <si>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</si>
  <si>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</si>
  <si>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</si>
  <si>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</si>
  <si>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</si>
  <si>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</si>
  <si>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</si>
  <si>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</si>
  <si>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</si>
  <si>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</si>
  <si>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</si>
  <si>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</si>
  <si>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</si>
  <si>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</si>
  <si>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</si>
  <si>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</si>
  <si>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</si>
  <si>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</si>
  <si>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</si>
  <si>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</si>
  <si>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</si>
  <si>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</si>
  <si>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</si>
  <si>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</si>
  <si>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</si>
  <si>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</si>
  <si>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</si>
  <si>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</si>
  <si>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</si>
  <si>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</si>
  <si>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</si>
  <si>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</si>
  <si>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</si>
  <si>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0049040223</t>
  </si>
  <si>
    <t>ABDOMEN 2+VWS SNGL VW CHEST</t>
  </si>
  <si>
    <t>ABDOMEN 2+VWS S</t>
  </si>
  <si>
    <t>0049040306</t>
  </si>
  <si>
    <t>ABDOMEN/CHEST DET FORBDY</t>
  </si>
  <si>
    <t>ABD/CHST FORBDY</t>
  </si>
  <si>
    <t>0049042005</t>
  </si>
  <si>
    <t>ERCP BILIARY&amp;PANCREATIC</t>
  </si>
  <si>
    <t>ERCP</t>
  </si>
  <si>
    <t>0049042203</t>
  </si>
  <si>
    <t>X-RAY ESOPHAGUS SNGL CM STDY</t>
  </si>
  <si>
    <t xml:space="preserve">ESOPHAGUS SNGL </t>
  </si>
  <si>
    <t>0049042211</t>
  </si>
  <si>
    <t>ESOPHAGUS W/DBL CONTRAST</t>
  </si>
  <si>
    <t>ESOPHAGUS W/CON</t>
  </si>
  <si>
    <t>0049042302</t>
  </si>
  <si>
    <t>SWAL FUNC W/CINE/VIDEO+CM STDY</t>
  </si>
  <si>
    <t>SWAL FUNC W CIN</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</si>
  <si>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</si>
  <si>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</si>
  <si>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</si>
  <si>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</si>
  <si>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</si>
  <si>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</si>
  <si>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</si>
  <si>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</si>
  <si>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</si>
  <si>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</si>
  <si>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</si>
  <si>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</si>
  <si>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0049042708</t>
  </si>
  <si>
    <t>COLON SNGL CM STUDY</t>
  </si>
  <si>
    <t>COLON BARIUM EN</t>
  </si>
  <si>
    <t>0049042807</t>
  </si>
  <si>
    <t>COLON DBL CM STUDY INCLD GLUC</t>
  </si>
  <si>
    <t>COLON DBL CM IN</t>
  </si>
  <si>
    <t>0049043409</t>
  </si>
  <si>
    <t>GI TUBE INTRO W/FLUORO</t>
  </si>
  <si>
    <t>GI TUBE LOCALZT</t>
  </si>
  <si>
    <t>0049044001</t>
  </si>
  <si>
    <t>UROGRAPHY EXCRETORY(IVP)</t>
  </si>
  <si>
    <t>UROGRAM IVP</t>
  </si>
  <si>
    <t>0049044209</t>
  </si>
  <si>
    <t>UROG/PYELOGRAPHY RETRO</t>
  </si>
  <si>
    <t>PYELOGRAM RETRO</t>
  </si>
  <si>
    <t>0049044340</t>
  </si>
  <si>
    <t>0049044555</t>
  </si>
  <si>
    <t>URETHROCYSTOGRAPHY VOID</t>
  </si>
  <si>
    <t>URETHROGRM VOID</t>
  </si>
  <si>
    <t>0049047400</t>
  </si>
  <si>
    <t>HYSTEROSALPINGOGRAPHY</t>
  </si>
  <si>
    <t>HYSTEROSALPNGDG</t>
  </si>
  <si>
    <t>0049059975</t>
  </si>
  <si>
    <t>0049060106</t>
  </si>
  <si>
    <t>0049060114</t>
  </si>
  <si>
    <t>0049060635</t>
  </si>
  <si>
    <t>BONE SURVEY COMPLETE</t>
  </si>
  <si>
    <t>BONE STUDY COMP</t>
  </si>
  <si>
    <t>0049060825</t>
  </si>
  <si>
    <t>0049065568</t>
  </si>
  <si>
    <t>0049065618</t>
  </si>
  <si>
    <t>0049065691</t>
  </si>
  <si>
    <t>0049065907</t>
  </si>
  <si>
    <t>0049075112</t>
  </si>
  <si>
    <t>BX MUSCLE PERC NDL</t>
  </si>
  <si>
    <t>BX MUSCLE PERC</t>
  </si>
  <si>
    <t>0049075310</t>
  </si>
  <si>
    <t>0049076052</t>
  </si>
  <si>
    <t>INJ ANKLE ARTHROGRAM</t>
  </si>
  <si>
    <t>INJ ANKLE ARTHG</t>
  </si>
  <si>
    <t>0049076151</t>
  </si>
  <si>
    <t>INJ BLADDR XRAY</t>
  </si>
  <si>
    <t>0049076458</t>
  </si>
  <si>
    <t>INJ ELBOW ARTHROGRAM</t>
  </si>
  <si>
    <t>INJ ELBOW ARTHG</t>
  </si>
  <si>
    <t>0049076508</t>
  </si>
  <si>
    <t>INJ HIP ARTHRO W/O ANES</t>
  </si>
  <si>
    <t>INJ HIP ARTHG</t>
  </si>
  <si>
    <t>0049076557</t>
  </si>
  <si>
    <t>INJ HIP ARTHROGRM W/ANES</t>
  </si>
  <si>
    <t>INJ HIP W/ANES</t>
  </si>
  <si>
    <t>0049076706</t>
  </si>
  <si>
    <t>INJ PROC KNEE ARTHROGRM</t>
  </si>
  <si>
    <t>INJ PROC KNEE A</t>
  </si>
  <si>
    <t>0049076854</t>
  </si>
  <si>
    <t>INJ MYELOGRAM LUMBAR</t>
  </si>
  <si>
    <t>INJ MYELOGRAM</t>
  </si>
  <si>
    <t>0049077001</t>
  </si>
  <si>
    <t>INJ SHOULDER ARTHROGRAM</t>
  </si>
  <si>
    <t>INJ SHLDER ARTH</t>
  </si>
  <si>
    <t>0049077407</t>
  </si>
  <si>
    <t>INJ&amp;CATH HYSTER/SONOHYST</t>
  </si>
  <si>
    <t>INJ HYSTERO/SIS</t>
  </si>
  <si>
    <t>0049077456</t>
  </si>
  <si>
    <t>INJ WRIST ARTHROGRAM</t>
  </si>
  <si>
    <t>INJ WRIST ARTHG</t>
  </si>
  <si>
    <t>0049094659</t>
  </si>
  <si>
    <t>CM EVAL GTUBE</t>
  </si>
  <si>
    <t>0049099005</t>
  </si>
  <si>
    <t>BX SALIVARY GLAND NDL</t>
  </si>
  <si>
    <t>BX SALIVRY GLND</t>
  </si>
  <si>
    <t>0049099013</t>
  </si>
  <si>
    <t>PLC SOFT TISS DEV PERC EA ADDL</t>
  </si>
  <si>
    <t>PLC SOFT TIS DE</t>
  </si>
  <si>
    <t>0049099021</t>
  </si>
  <si>
    <t>0049100159</t>
  </si>
  <si>
    <t>INSTL AGNT VIA CHEST TBE INIT</t>
  </si>
  <si>
    <t>INJ AGNT VIA CH</t>
  </si>
  <si>
    <t>0049104300</t>
  </si>
  <si>
    <t>0049120199</t>
  </si>
  <si>
    <t>0049125552</t>
  </si>
  <si>
    <t>0049158215</t>
  </si>
  <si>
    <t>0049158264</t>
  </si>
  <si>
    <t>0049159858</t>
  </si>
  <si>
    <t>0049171911</t>
  </si>
  <si>
    <t>0049176001</t>
  </si>
  <si>
    <t>0049177702</t>
  </si>
  <si>
    <t>0050101005</t>
  </si>
  <si>
    <t>MANDIBLE &lt; 4 VIEWS</t>
  </si>
  <si>
    <t>MANDIBLE UNI</t>
  </si>
  <si>
    <t>0050101013</t>
  </si>
  <si>
    <t>MRI BRAIN W/O CONTRAST</t>
  </si>
  <si>
    <t>MRI BRAIN WO CM</t>
  </si>
  <si>
    <t>0050101104</t>
  </si>
  <si>
    <t>MANDIBLE COMP</t>
  </si>
  <si>
    <t>0050101401</t>
  </si>
  <si>
    <t>0050101500</t>
  </si>
  <si>
    <t>0050101526</t>
  </si>
  <si>
    <t>0050101609</t>
  </si>
  <si>
    <t>0050101815</t>
  </si>
  <si>
    <t>MRI CHEST W/O CONTRAST</t>
  </si>
  <si>
    <t>MRI CHEST WO CM</t>
  </si>
  <si>
    <t>0050102003</t>
  </si>
  <si>
    <t>MRI LE NONJNT WO/W CM</t>
  </si>
  <si>
    <t>MRI LE NJ WO/W</t>
  </si>
  <si>
    <t>0050102011</t>
  </si>
  <si>
    <t>CT SINUS WITH CONTRAST</t>
  </si>
  <si>
    <t>CT SINUS W/CM</t>
  </si>
  <si>
    <t>0050102029</t>
  </si>
  <si>
    <t>CT SINUS W/O CONTRAST</t>
  </si>
  <si>
    <t>CT SINUS W/O CM</t>
  </si>
  <si>
    <t>0050102045</t>
  </si>
  <si>
    <t>CT SINUS WO/W CONTRAST</t>
  </si>
  <si>
    <t>CT SINUS WO/W</t>
  </si>
  <si>
    <t>0050102060</t>
  </si>
  <si>
    <t>DX MAMMO+CAD UNILAT</t>
  </si>
  <si>
    <t>DX MAMMO+CAD</t>
  </si>
  <si>
    <t>0050102086</t>
  </si>
  <si>
    <t>SCRN MAMMO+CAD BILAT</t>
  </si>
  <si>
    <t>SCRN MAMMO+CAD</t>
  </si>
  <si>
    <t>0050102102</t>
  </si>
  <si>
    <t>0050102110</t>
  </si>
  <si>
    <t>MRI UP EXT NONJNT WO/WCM</t>
  </si>
  <si>
    <t>MRI UE/NONJNT</t>
  </si>
  <si>
    <t>0050102128</t>
  </si>
  <si>
    <t>DX MAMMO+CAD BILAT</t>
  </si>
  <si>
    <t>0050102151</t>
  </si>
  <si>
    <t>MRI SPINE CERVICL W/O CM</t>
  </si>
  <si>
    <t>SP CERV W/O CM</t>
  </si>
  <si>
    <t>0050102177</t>
  </si>
  <si>
    <t>MRI SPINE THORAC W/O CM</t>
  </si>
  <si>
    <t>SP THOR W/O CM</t>
  </si>
  <si>
    <t>0050102201</t>
  </si>
  <si>
    <t>0050102219</t>
  </si>
  <si>
    <t>MRI SPINE LUMBAR W/O CM</t>
  </si>
  <si>
    <t>SP LUMB W/O CM</t>
  </si>
  <si>
    <t>0050102300</t>
  </si>
  <si>
    <t>MRI SPINE CERV WO/W CM</t>
  </si>
  <si>
    <t>SP CERV WO/W CM</t>
  </si>
  <si>
    <t>0050102342</t>
  </si>
  <si>
    <t>MRI SPINE THOR WO/W CM</t>
  </si>
  <si>
    <t>SP THOR WO/W CM</t>
  </si>
  <si>
    <t>0050102383</t>
  </si>
  <si>
    <t>MRI SPINE LUMBAR WO/W CM</t>
  </si>
  <si>
    <t>SP LUMB WO/W CM</t>
  </si>
  <si>
    <t>0050102508</t>
  </si>
  <si>
    <t>0050102607</t>
  </si>
  <si>
    <t>SKULL 4VW MIN</t>
  </si>
  <si>
    <t>SKULL COMPLETE</t>
  </si>
  <si>
    <t>0050103308</t>
  </si>
  <si>
    <t>TM JOINTS BILATERAL</t>
  </si>
  <si>
    <t>TM JOINTS BI</t>
  </si>
  <si>
    <t>0050103605</t>
  </si>
  <si>
    <t>0050103894</t>
  </si>
  <si>
    <t>US EXAM AAA SCREEN</t>
  </si>
  <si>
    <t>US AAA SCREEN</t>
  </si>
  <si>
    <t>0050104207</t>
  </si>
  <si>
    <t>MRI LOWR EXT JNT W/O CM</t>
  </si>
  <si>
    <t>MRI LE JNT W/O</t>
  </si>
  <si>
    <t>0050104504</t>
  </si>
  <si>
    <t>MRI UP EXT JNT W/O CM</t>
  </si>
  <si>
    <t>MRI UE/JNT W/O</t>
  </si>
  <si>
    <t>0050104876</t>
  </si>
  <si>
    <t>CT MAXILLOFACIAL W/CM</t>
  </si>
  <si>
    <t>CT FACIAL W/CM</t>
  </si>
  <si>
    <t>0050104884</t>
  </si>
  <si>
    <t>CT MAXILLOFACIAL WO/W CM</t>
  </si>
  <si>
    <t>CT FACIAL WO/W</t>
  </si>
  <si>
    <t>0050104900</t>
  </si>
  <si>
    <t>CT SOFT TISS NECK WO CM</t>
  </si>
  <si>
    <t>CT NECK W/O CM</t>
  </si>
  <si>
    <t>0050104918</t>
  </si>
  <si>
    <t>CT SOFT TISS NECK W CM</t>
  </si>
  <si>
    <t>CT NECK W/CM</t>
  </si>
  <si>
    <t>0050104926</t>
  </si>
  <si>
    <t>CT SFT TISS NECK WO/W CM</t>
  </si>
  <si>
    <t>CT NECK WO/W CM</t>
  </si>
  <si>
    <t>0050106012</t>
  </si>
  <si>
    <t>MRA HEAD W/O CONTRAST</t>
  </si>
  <si>
    <t>MRA HD W/O</t>
  </si>
  <si>
    <t>0050106061</t>
  </si>
  <si>
    <t>MRA NECK W/O CONTRAST</t>
  </si>
  <si>
    <t>MRA NECK WO CM</t>
  </si>
  <si>
    <t>0050107804</t>
  </si>
  <si>
    <t>CT ORB/EAR/FOSSA W/O CM</t>
  </si>
  <si>
    <t>CT ORB/EAR/PFOS</t>
  </si>
  <si>
    <t>0050107820</t>
  </si>
  <si>
    <t>CT ORB/EAR/FOSSA WO/W CM</t>
  </si>
  <si>
    <t>0050108109</t>
  </si>
  <si>
    <t>MRI BRAIN WITH CONTRAST</t>
  </si>
  <si>
    <t>MRI BRAIN W/CM</t>
  </si>
  <si>
    <t>0050108166</t>
  </si>
  <si>
    <t>MRI BRAIN WO/W CONTRAST</t>
  </si>
  <si>
    <t>MRI BRAIN WO/W</t>
  </si>
  <si>
    <t>0050108224</t>
  </si>
  <si>
    <t>MRI ORB/FACE/NECK WO/W C</t>
  </si>
  <si>
    <t>MRI ORB/FCE/NK</t>
  </si>
  <si>
    <t>0050108406</t>
  </si>
  <si>
    <t>MRI UP EXT NONJNT W/O CM</t>
  </si>
  <si>
    <t>MRI UE W/O CM</t>
  </si>
  <si>
    <t>0050108448</t>
  </si>
  <si>
    <t>MRI UP EXT JNT W/ CM</t>
  </si>
  <si>
    <t>MRI UE/JNT W/CM</t>
  </si>
  <si>
    <t>0050108463</t>
  </si>
  <si>
    <t>MRI UP EXT JNT WO/W CM</t>
  </si>
  <si>
    <t>MRI UE/JNT WO/W</t>
  </si>
  <si>
    <t>0050108505</t>
  </si>
  <si>
    <t>MRI PELVIS W/O CONTRAST</t>
  </si>
  <si>
    <t>MRI PELVIS W/O</t>
  </si>
  <si>
    <t>0050108521</t>
  </si>
  <si>
    <t>MRI PELVIS WO/W CONTRAST</t>
  </si>
  <si>
    <t>MRI PELVIS WO/W</t>
  </si>
  <si>
    <t>0050109727</t>
  </si>
  <si>
    <t>MRI CHEST WO/W CONTRAST</t>
  </si>
  <si>
    <t>MRI CHEST WO/W</t>
  </si>
  <si>
    <t>0050110006</t>
  </si>
  <si>
    <t>MRI ABDOMEN WO/W CM</t>
  </si>
  <si>
    <t>MRI ABD WO/W CM</t>
  </si>
  <si>
    <t>0050110048</t>
  </si>
  <si>
    <t>MRI LE NONJNT W/O CM</t>
  </si>
  <si>
    <t>MRI LE NJ WO CM</t>
  </si>
  <si>
    <t>0050110063</t>
  </si>
  <si>
    <t>MRI LOWR EXT JNT W/ CM</t>
  </si>
  <si>
    <t>MRI LE JNT W/CM</t>
  </si>
  <si>
    <t>0050110071</t>
  </si>
  <si>
    <t>MRI LE JNT WO/W CM</t>
  </si>
  <si>
    <t>MRI LE JNT WO/W</t>
  </si>
  <si>
    <t>0050110238</t>
  </si>
  <si>
    <t>MRI ORB/FACE/NECK WO CM</t>
  </si>
  <si>
    <t>0050110303</t>
  </si>
  <si>
    <t>CHEST 4+ VIEWS</t>
  </si>
  <si>
    <t>0050110352</t>
  </si>
  <si>
    <t>MRI TMJ</t>
  </si>
  <si>
    <t>0050110451</t>
  </si>
  <si>
    <t>0050110469</t>
  </si>
  <si>
    <t>0050110758</t>
  </si>
  <si>
    <t>MRI ABDOMEN W/O CM</t>
  </si>
  <si>
    <t>MRI ABD W/O CM</t>
  </si>
  <si>
    <t>0050111004</t>
  </si>
  <si>
    <t>0050111012</t>
  </si>
  <si>
    <t>0050111103</t>
  </si>
  <si>
    <t>0050111202</t>
  </si>
  <si>
    <t>0050111301</t>
  </si>
  <si>
    <t>STERNCLAVR JNTS 3VW MIN</t>
  </si>
  <si>
    <t>STERNOCLAVC JNT</t>
  </si>
  <si>
    <t>0050112747</t>
  </si>
  <si>
    <t>CTA CHEST W CONTRST ONLY</t>
  </si>
  <si>
    <t>CTA CHEST WCONT</t>
  </si>
  <si>
    <t>0050119007</t>
  </si>
  <si>
    <t>ASPIR BREAST CYST</t>
  </si>
  <si>
    <t>ASP BREAST CYS</t>
  </si>
  <si>
    <t>0050120187</t>
  </si>
  <si>
    <t>ABD ART/VEN FLOW LTD</t>
  </si>
  <si>
    <t>ART/VEN FLW LTD</t>
  </si>
  <si>
    <t>0050120203</t>
  </si>
  <si>
    <t>0050120401</t>
  </si>
  <si>
    <t>SPINE CRV 2VWS</t>
  </si>
  <si>
    <t>0050120427</t>
  </si>
  <si>
    <t>0050120500</t>
  </si>
  <si>
    <t>0050120526</t>
  </si>
  <si>
    <t>0050120708</t>
  </si>
  <si>
    <t>0050120716</t>
  </si>
  <si>
    <t>0050120724</t>
  </si>
  <si>
    <t>SPINE THORACIC 4VW MIN</t>
  </si>
  <si>
    <t>SPINE THORC 4VW</t>
  </si>
  <si>
    <t>0050120807</t>
  </si>
  <si>
    <t>0050121003</t>
  </si>
  <si>
    <t>0050121011</t>
  </si>
  <si>
    <t>0050121102</t>
  </si>
  <si>
    <t>0050121144</t>
  </si>
  <si>
    <t>SP LUMBAR MIN 6 VWS</t>
  </si>
  <si>
    <t>SPINE L/S 6VWS</t>
  </si>
  <si>
    <t>0050121276</t>
  </si>
  <si>
    <t>CT SPINE CERVICL WO/W CM</t>
  </si>
  <si>
    <t>CT SP CERV WO/W</t>
  </si>
  <si>
    <t>0050121284</t>
  </si>
  <si>
    <t>CT SPINE THORACIC W/O CM</t>
  </si>
  <si>
    <t>CT SP THOR W/O</t>
  </si>
  <si>
    <t>0050121292</t>
  </si>
  <si>
    <t>CT SPINE THORACIC W/CM</t>
  </si>
  <si>
    <t>CT SP THOR W/CM</t>
  </si>
  <si>
    <t>0050121300</t>
  </si>
  <si>
    <t>CT SPINE THORACIC WO/W</t>
  </si>
  <si>
    <t>CT SP THOR WO/W</t>
  </si>
  <si>
    <t>0050121326</t>
  </si>
  <si>
    <t>CT SPINE LUMBAR W/CM</t>
  </si>
  <si>
    <t>CT SP LUMB W/CM</t>
  </si>
  <si>
    <t>0050121334</t>
  </si>
  <si>
    <t>CT SPINE LUMBAR WO/W CM</t>
  </si>
  <si>
    <t>CT SP LUMB WO/W</t>
  </si>
  <si>
    <t>0050121425</t>
  </si>
  <si>
    <t>MRI SPINE CERVICAL W/CM</t>
  </si>
  <si>
    <t>SP CERV W/CM</t>
  </si>
  <si>
    <t>0050121474</t>
  </si>
  <si>
    <t>MRI SPINE THORACIC W/CM</t>
  </si>
  <si>
    <t>SP THOR W/CM</t>
  </si>
  <si>
    <t>0050121490</t>
  </si>
  <si>
    <t>MRI SPINE LUMBAR W/CM</t>
  </si>
  <si>
    <t>SP LUMB W/CM</t>
  </si>
  <si>
    <t>0050121540</t>
  </si>
  <si>
    <t>CT THORAX WO/W CONTRAST</t>
  </si>
  <si>
    <t>CT THORAX WO/W</t>
  </si>
  <si>
    <t>0050121706</t>
  </si>
  <si>
    <t>0050121755</t>
  </si>
  <si>
    <t>0050121904</t>
  </si>
  <si>
    <t>0050121946</t>
  </si>
  <si>
    <t>CT PELVIS WO/W CM</t>
  </si>
  <si>
    <t>CT PELVIS WO/W</t>
  </si>
  <si>
    <t>0050122027</t>
  </si>
  <si>
    <t>SACROILIAC JOINTS 3 VWS</t>
  </si>
  <si>
    <t>SACROILIAC JNTS</t>
  </si>
  <si>
    <t>0050122209</t>
  </si>
  <si>
    <t>0050130004</t>
  </si>
  <si>
    <t>0050130103</t>
  </si>
  <si>
    <t>0050130202</t>
  </si>
  <si>
    <t>0050130301</t>
  </si>
  <si>
    <t>SHOULDER COMP</t>
  </si>
  <si>
    <t>0050130608</t>
  </si>
  <si>
    <t>0050130707</t>
  </si>
  <si>
    <t>ELBOW LIMITED</t>
  </si>
  <si>
    <t>0050130806</t>
  </si>
  <si>
    <t>0050130905</t>
  </si>
  <si>
    <t>0050131002</t>
  </si>
  <si>
    <t>0050131101</t>
  </si>
  <si>
    <t>WRIST COMPLETE</t>
  </si>
  <si>
    <t>0050131200</t>
  </si>
  <si>
    <t>0050131309</t>
  </si>
  <si>
    <t>0050131408</t>
  </si>
  <si>
    <t>0050132018</t>
  </si>
  <si>
    <t>CT UPPER EXTRMTY W/ CM</t>
  </si>
  <si>
    <t>CT UE W/ CM</t>
  </si>
  <si>
    <t>0050132026</t>
  </si>
  <si>
    <t>CT UPPER EXTRMTY WO/W CM</t>
  </si>
  <si>
    <t>CT UE WO/W CM</t>
  </si>
  <si>
    <t>0050135102</t>
  </si>
  <si>
    <t>HIP UNILATERAL 2-3VWS</t>
  </si>
  <si>
    <t>0050135201</t>
  </si>
  <si>
    <t>0050135508</t>
  </si>
  <si>
    <t>0050135623</t>
  </si>
  <si>
    <t>KNEE 3 VWS</t>
  </si>
  <si>
    <t>0050135706</t>
  </si>
  <si>
    <t>0050135821</t>
  </si>
  <si>
    <t>KNEE 1-2 VWS</t>
  </si>
  <si>
    <t>0050135904</t>
  </si>
  <si>
    <t>0050136001</t>
  </si>
  <si>
    <t>0050136100</t>
  </si>
  <si>
    <t>0050136209</t>
  </si>
  <si>
    <t>FOOT 2 VWS</t>
  </si>
  <si>
    <t>0050136308</t>
  </si>
  <si>
    <t>FOOT COMP</t>
  </si>
  <si>
    <t>0050136506</t>
  </si>
  <si>
    <t>OS CALCIS</t>
  </si>
  <si>
    <t>0050136605</t>
  </si>
  <si>
    <t>0050137017</t>
  </si>
  <si>
    <t>CT LOWER EXTRMTY W/ CM</t>
  </si>
  <si>
    <t>CT LE W/ CM</t>
  </si>
  <si>
    <t>0050137025</t>
  </si>
  <si>
    <t>CT LOWER EXTRMTY WO/W CM</t>
  </si>
  <si>
    <t>CT LE WO/W CM</t>
  </si>
  <si>
    <t>0050140185</t>
  </si>
  <si>
    <t>0050140227</t>
  </si>
  <si>
    <t>0050141704</t>
  </si>
  <si>
    <t>CT ABDOMEN WO/W CM</t>
  </si>
  <si>
    <t>CT ABD WO/W CM</t>
  </si>
  <si>
    <t>0050141746</t>
  </si>
  <si>
    <t>CTA ABD/PEL WO/W CM</t>
  </si>
  <si>
    <t>CTA ABDPEL WO/W</t>
  </si>
  <si>
    <t>0050141761</t>
  </si>
  <si>
    <t>CT ABD &amp; PELVIS W/O CM</t>
  </si>
  <si>
    <t>CT AB/PEL WO CM</t>
  </si>
  <si>
    <t>0050141779</t>
  </si>
  <si>
    <t>CT ABD &amp; PELVIS W/CM</t>
  </si>
  <si>
    <t>CT AB/PEL W/CM</t>
  </si>
  <si>
    <t>0050141787</t>
  </si>
  <si>
    <t>CT ABD &amp; PELVIS WO/W CM</t>
  </si>
  <si>
    <t>CT ABD/PEL WO/W</t>
  </si>
  <si>
    <t>0050160209</t>
  </si>
  <si>
    <t>BONE AGE STUDIES</t>
  </si>
  <si>
    <t>BN AGE STUDIES</t>
  </si>
  <si>
    <t>0050160639</t>
  </si>
  <si>
    <t>0050160803</t>
  </si>
  <si>
    <t>DEXA AXIAL SKELETON</t>
  </si>
  <si>
    <t>DEXA AXIAL</t>
  </si>
  <si>
    <t>0050160951</t>
  </si>
  <si>
    <t>SURGICAL SPECIMEN</t>
  </si>
  <si>
    <t>SURGICL SPECIMN</t>
  </si>
  <si>
    <t>0050165059</t>
  </si>
  <si>
    <t>EXTRCRNARTBI</t>
  </si>
  <si>
    <t>0050165208</t>
  </si>
  <si>
    <t>UE/LE IMG VEINS COMP BILAT</t>
  </si>
  <si>
    <t>DUPLX EXT VEINS</t>
  </si>
  <si>
    <t>0050165257</t>
  </si>
  <si>
    <t>UE/LE IMG VEINS UNI/LTD</t>
  </si>
  <si>
    <t>DUPLX VEINS UNI</t>
  </si>
  <si>
    <t>0050165315</t>
  </si>
  <si>
    <t>US RETROPERITONEAL COMP</t>
  </si>
  <si>
    <t>US RETROPL COMP</t>
  </si>
  <si>
    <t>0050165364</t>
  </si>
  <si>
    <t>US SOFT TISSUE HEAD/NECK</t>
  </si>
  <si>
    <t>US SOFT HEAD/NK</t>
  </si>
  <si>
    <t>0050166040</t>
  </si>
  <si>
    <t>US CHEST INCLD MEDIASTNM</t>
  </si>
  <si>
    <t>US CHEST B-SCAN</t>
  </si>
  <si>
    <t>0050166420</t>
  </si>
  <si>
    <t>US BREAST UNI LTD</t>
  </si>
  <si>
    <t>US BREAST LTD</t>
  </si>
  <si>
    <t>0050166438</t>
  </si>
  <si>
    <t>US BREAST UNI COMPLETE</t>
  </si>
  <si>
    <t>US BREAST COM</t>
  </si>
  <si>
    <t>0050166909</t>
  </si>
  <si>
    <t>US ABDOMEN COMPLETE</t>
  </si>
  <si>
    <t>US ABD COMP</t>
  </si>
  <si>
    <t>0050167055</t>
  </si>
  <si>
    <t>US ABDOMEN LTD/QUAD/FU</t>
  </si>
  <si>
    <t>US ABD LTD/FU</t>
  </si>
  <si>
    <t>0050167824</t>
  </si>
  <si>
    <t>US SCROTUM CONTENTS</t>
  </si>
  <si>
    <t>US SCROTUM</t>
  </si>
  <si>
    <t>0050168012</t>
  </si>
  <si>
    <t>US OB COMP&lt;14WKS 1STGEST</t>
  </si>
  <si>
    <t>US OB&lt;14WKS</t>
  </si>
  <si>
    <t>0050168103</t>
  </si>
  <si>
    <t>US OB LTD 1OR&gt; FETUS</t>
  </si>
  <si>
    <t>US OB LTD 1OR&gt;</t>
  </si>
  <si>
    <t>0050168111</t>
  </si>
  <si>
    <t>US OB COMP W FETL ANATMY</t>
  </si>
  <si>
    <t>US OB FETL ANAT</t>
  </si>
  <si>
    <t>0050168178</t>
  </si>
  <si>
    <t>US OB TRANSVAGINAL</t>
  </si>
  <si>
    <t>US OB TRANSVAG</t>
  </si>
  <si>
    <t>0050168558</t>
  </si>
  <si>
    <t>US TRANSVAGINAL NOT OB</t>
  </si>
  <si>
    <t>US TRANSVAGINAL</t>
  </si>
  <si>
    <t>0050168566</t>
  </si>
  <si>
    <t>US PELVIC COMPLETE</t>
  </si>
  <si>
    <t>US PELVIC COMP</t>
  </si>
  <si>
    <t>0050168582</t>
  </si>
  <si>
    <t>US PELVIC LTD/FU</t>
  </si>
  <si>
    <t>US PELVC LTD/FU</t>
  </si>
  <si>
    <t>0050168608</t>
  </si>
  <si>
    <t>US XTR JOINT COMPLETE</t>
  </si>
  <si>
    <t>US JOINT COMPLE</t>
  </si>
  <si>
    <t>0050168616</t>
  </si>
  <si>
    <t>US XTR SOFT TISSUE LMTD</t>
  </si>
  <si>
    <t>US XTR SFT TISS</t>
  </si>
  <si>
    <t>0050168632</t>
  </si>
  <si>
    <t>US XTR JOINT LMTD</t>
  </si>
  <si>
    <t>US XTR JOINT LM</t>
  </si>
  <si>
    <t>0050170109</t>
  </si>
  <si>
    <t>CT HEAD/BRAIN WO CONTRST</t>
  </si>
  <si>
    <t>CT HD/BRN WO CM</t>
  </si>
  <si>
    <t>0050170208</t>
  </si>
  <si>
    <t>CT HEAD/BRAIN WO/W CONTR</t>
  </si>
  <si>
    <t>CT HD/BRN WO/W</t>
  </si>
  <si>
    <t>0050170406</t>
  </si>
  <si>
    <t>CT MAXILLOFACIAL W/O CM</t>
  </si>
  <si>
    <t>CT FACIAL WO CM</t>
  </si>
  <si>
    <t>0050170497</t>
  </si>
  <si>
    <t>MRI BRST WO&amp;W CM+CAD BI</t>
  </si>
  <si>
    <t>MRI BRST WO&amp;W C</t>
  </si>
  <si>
    <t>0050170612</t>
  </si>
  <si>
    <t>DIG BREAST TOMO UNI</t>
  </si>
  <si>
    <t>BRST TOMO UNI</t>
  </si>
  <si>
    <t>0050170620</t>
  </si>
  <si>
    <t>DIG BREAST TOMO BILAT</t>
  </si>
  <si>
    <t>BRST TOMO BL</t>
  </si>
  <si>
    <t>0050170638</t>
  </si>
  <si>
    <t>SCREEN TOMO BILAT</t>
  </si>
  <si>
    <t>SCRN TOMO BI</t>
  </si>
  <si>
    <t>0050171057</t>
  </si>
  <si>
    <t>CT ORB/EAR/FOSSA W/CM</t>
  </si>
  <si>
    <t>0050171156</t>
  </si>
  <si>
    <t>CT THORAX W/O CONTRAST</t>
  </si>
  <si>
    <t>CT THORAX WO CM</t>
  </si>
  <si>
    <t>0050171206</t>
  </si>
  <si>
    <t>CT THORAX WITH CONTRAST</t>
  </si>
  <si>
    <t>CT THORAX W/CM</t>
  </si>
  <si>
    <t>0050171305</t>
  </si>
  <si>
    <t>CT SPINE CERVICAL W/O CM</t>
  </si>
  <si>
    <t>CT SP CERV W/O</t>
  </si>
  <si>
    <t>0050171602</t>
  </si>
  <si>
    <t>CT SPINE LUMBAR W/O CM</t>
  </si>
  <si>
    <t>CT SP LUMB W/O</t>
  </si>
  <si>
    <t>0050171750</t>
  </si>
  <si>
    <t>CT PELVIS W/O CONTRAST</t>
  </si>
  <si>
    <t>CT PELVIS WO CM</t>
  </si>
  <si>
    <t>0050171800</t>
  </si>
  <si>
    <t>CT PELVIS WITH CONTRAST</t>
  </si>
  <si>
    <t>CT PELVIS W/CM</t>
  </si>
  <si>
    <t>0050171909</t>
  </si>
  <si>
    <t>CT UPPER EXTRMTY W/O CM</t>
  </si>
  <si>
    <t>CT UE W/O CM</t>
  </si>
  <si>
    <t>0050172055</t>
  </si>
  <si>
    <t>CT LOWER EXTRMTY W/O CM</t>
  </si>
  <si>
    <t>CT LE W/O CM</t>
  </si>
  <si>
    <t>0050172204</t>
  </si>
  <si>
    <t>CT ABDOMEN W/O CM</t>
  </si>
  <si>
    <t>CT ABD W/O CM</t>
  </si>
  <si>
    <t>0050172253</t>
  </si>
  <si>
    <t>CT ABDOMEN W/ CM</t>
  </si>
  <si>
    <t>CT ABD W/ CM</t>
  </si>
  <si>
    <t>0050176304</t>
  </si>
  <si>
    <t>INJ GALACTO/DUCTO PROC</t>
  </si>
  <si>
    <t>INJ DUCTO/GALA</t>
  </si>
  <si>
    <t>0050182302</t>
  </si>
  <si>
    <t>US OB COMP&gt;14WK SGL GEST</t>
  </si>
  <si>
    <t>US OB&gt;14 WK SGL</t>
  </si>
  <si>
    <t>0050189018</t>
  </si>
  <si>
    <t>MRA ABDOMEN W/O CM</t>
  </si>
  <si>
    <t>MRA ABD W/O CM</t>
  </si>
  <si>
    <t>0050189075</t>
  </si>
  <si>
    <t>MRI BRST W/O CM BILATERAL</t>
  </si>
  <si>
    <t>MRI BRST W/O CM</t>
  </si>
  <si>
    <t>0050190818</t>
  </si>
  <si>
    <t>BX BRST 1ST LESION STRTC</t>
  </si>
  <si>
    <t>BX BRST 1ST</t>
  </si>
  <si>
    <t>0050191824</t>
  </si>
  <si>
    <t>BX BRST ADD LESION STRTC</t>
  </si>
  <si>
    <t>BX BRST ADD</t>
  </si>
  <si>
    <t>0050191832</t>
  </si>
  <si>
    <t>BX BRST 1ST LESION US</t>
  </si>
  <si>
    <t>BX BRST US 1ST</t>
  </si>
  <si>
    <t>0050191840</t>
  </si>
  <si>
    <t>BX BRST ADD LESION US</t>
  </si>
  <si>
    <t>0050191857</t>
  </si>
  <si>
    <t>BX BRST 1ST LESION MR</t>
  </si>
  <si>
    <t>BX BRST MR 1ST</t>
  </si>
  <si>
    <t>0050191865</t>
  </si>
  <si>
    <t>BX BRST ADD LESION MR</t>
  </si>
  <si>
    <t>0050192814</t>
  </si>
  <si>
    <t>PERC DEVC BRST 1ST MAMMO</t>
  </si>
  <si>
    <t>PERC DEVC 1ST</t>
  </si>
  <si>
    <t>0050192822</t>
  </si>
  <si>
    <t>PERC DEVC BRST ADD MAM</t>
  </si>
  <si>
    <t>PERC DEVC ADD</t>
  </si>
  <si>
    <t>0050192830</t>
  </si>
  <si>
    <t>PERC DEVC BRST 1ST STRTC</t>
  </si>
  <si>
    <t>PERC BRST 1ST</t>
  </si>
  <si>
    <t>0050192848</t>
  </si>
  <si>
    <t>PERC DEVC BRST ADD STRTC</t>
  </si>
  <si>
    <t>PERC BRST ADD</t>
  </si>
  <si>
    <t>0050192855</t>
  </si>
  <si>
    <t>PERC DEVC BRST 1ST US</t>
  </si>
  <si>
    <t>0050192889</t>
  </si>
  <si>
    <t>PERC DEVC BRST ADD MR</t>
  </si>
  <si>
    <t>0050368612</t>
  </si>
  <si>
    <t>0050500602</t>
  </si>
  <si>
    <t>I&amp;D ABSCESS SIMP/SNGL</t>
  </si>
  <si>
    <t>I&amp;D ABSC SMPL/S</t>
  </si>
  <si>
    <t>0050501147</t>
  </si>
  <si>
    <t>FNA BX CT GUIDANCE 1ST LES</t>
  </si>
  <si>
    <t>FNA BX CT GUIDE</t>
  </si>
  <si>
    <t>0050501600</t>
  </si>
  <si>
    <t>0050502004</t>
  </si>
  <si>
    <t>0050502020</t>
  </si>
  <si>
    <t>0050503929</t>
  </si>
  <si>
    <t>0050504505</t>
  </si>
  <si>
    <t>0050504604</t>
  </si>
  <si>
    <t>CT HEAD/BRAIN W CONTRAST</t>
  </si>
  <si>
    <t>CT HD/BRN W/CM</t>
  </si>
  <si>
    <t>0050504612</t>
  </si>
  <si>
    <t>CTA CHEST (NONCOR) WO/W</t>
  </si>
  <si>
    <t>CTA CHST WO/W</t>
  </si>
  <si>
    <t>0050504703</t>
  </si>
  <si>
    <t>0050504869</t>
  </si>
  <si>
    <t>0050504877</t>
  </si>
  <si>
    <t>0050504901</t>
  </si>
  <si>
    <t>0050504919</t>
  </si>
  <si>
    <t>0050504927</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</si>
  <si>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</si>
  <si>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</si>
  <si>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</si>
  <si>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</si>
  <si>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</si>
  <si>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</si>
  <si>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</si>
  <si>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</si>
  <si>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</si>
  <si>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</si>
  <si>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</si>
  <si>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</si>
  <si>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</si>
  <si>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</si>
  <si>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</si>
  <si>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0050505205</t>
  </si>
  <si>
    <t>0050505247</t>
  </si>
  <si>
    <t>0050505288</t>
  </si>
  <si>
    <t>0050506104</t>
  </si>
  <si>
    <t>0050510304</t>
  </si>
  <si>
    <t>0050512508</t>
  </si>
  <si>
    <t>0050512607</t>
  </si>
  <si>
    <t>0050512706</t>
  </si>
  <si>
    <t>0050512748</t>
  </si>
  <si>
    <t>CTA CHEST (NONCOR) W CM</t>
  </si>
  <si>
    <t>0050521251</t>
  </si>
  <si>
    <t>0050521269</t>
  </si>
  <si>
    <t>CT SPINE CERVICAL W/CM</t>
  </si>
  <si>
    <t>CT SP CERV W/CM</t>
  </si>
  <si>
    <t>0050521285</t>
  </si>
  <si>
    <t>0050521293</t>
  </si>
  <si>
    <t>0050521319</t>
  </si>
  <si>
    <t>0050521327</t>
  </si>
  <si>
    <t>0050521921</t>
  </si>
  <si>
    <t>0050521939</t>
  </si>
  <si>
    <t>0050521947</t>
  </si>
  <si>
    <t>0050521962</t>
  </si>
  <si>
    <t>CTA PELVS W CONTRST ONLY</t>
  </si>
  <si>
    <t>CTA PELV W CONT</t>
  </si>
  <si>
    <t>0050525559</t>
  </si>
  <si>
    <t>0050525575</t>
  </si>
  <si>
    <t>0050532001</t>
  </si>
  <si>
    <t>0050532019</t>
  </si>
  <si>
    <t>0050532068</t>
  </si>
  <si>
    <t>CTA UP EXT W CONTRST ONL</t>
  </si>
  <si>
    <t>CTA UE W CONT</t>
  </si>
  <si>
    <t>0050537000</t>
  </si>
  <si>
    <t>0050537018</t>
  </si>
  <si>
    <t>0050537067</t>
  </si>
  <si>
    <t>CTA LOW EXT W CNTRST ONL</t>
  </si>
  <si>
    <t>CTA LE W CONT</t>
  </si>
  <si>
    <t>0050541507</t>
  </si>
  <si>
    <t>0050541606</t>
  </si>
  <si>
    <t>0050541705</t>
  </si>
  <si>
    <t>0050541747</t>
  </si>
  <si>
    <t>0050541770</t>
  </si>
  <si>
    <t>0050541788</t>
  </si>
  <si>
    <t>0050541796</t>
  </si>
  <si>
    <t>0050541804</t>
  </si>
  <si>
    <t>CTA ABD/PEL W CONTRAST</t>
  </si>
  <si>
    <t>CTA ABDPEL W</t>
  </si>
  <si>
    <t>0050556356</t>
  </si>
  <si>
    <t>CTA ABD LE RO W CONT ONL</t>
  </si>
  <si>
    <t>CTA ABD LE RO W</t>
  </si>
  <si>
    <t>0050563618</t>
  </si>
  <si>
    <t>CT GUIDANCE NDL PLACEMNT</t>
  </si>
  <si>
    <t>CT GUIDE NDL PL</t>
  </si>
  <si>
    <t>0050565050</t>
  </si>
  <si>
    <t>CT LTD OR LOC F/U STUDY</t>
  </si>
  <si>
    <t>CT LTD/LOC F/U</t>
  </si>
  <si>
    <t>0050570407</t>
  </si>
  <si>
    <t>BX SOFT PELVIS/HIP SPFC</t>
  </si>
  <si>
    <t>BX SFT PLVS/HIP</t>
  </si>
  <si>
    <t>0050575034</t>
  </si>
  <si>
    <t>0050575042</t>
  </si>
  <si>
    <t>0050575109</t>
  </si>
  <si>
    <t>BX LUNG/MEDIAST PERC NDL</t>
  </si>
  <si>
    <t>BX LUNG/MEDIAST</t>
  </si>
  <si>
    <t>0050575117</t>
  </si>
  <si>
    <t>0050575125</t>
  </si>
  <si>
    <t>BX PANCREAS PERC NDL</t>
  </si>
  <si>
    <t>BX PANCRS PERC</t>
  </si>
  <si>
    <t>0050575141</t>
  </si>
  <si>
    <t>0050575166</t>
  </si>
  <si>
    <t>BX LYMPH NODE</t>
  </si>
  <si>
    <t>0050582154</t>
  </si>
  <si>
    <t>0050594068</t>
  </si>
  <si>
    <t>0050600352</t>
  </si>
  <si>
    <t>PLC SFT TISS DEV PERC 1ST+IMG</t>
  </si>
  <si>
    <t>PLC SFT TISS DE</t>
  </si>
  <si>
    <t>0050600360</t>
  </si>
  <si>
    <t>0050601103</t>
  </si>
  <si>
    <t>FNA BX US GUIDANCE 1ST LESION</t>
  </si>
  <si>
    <t>FNA BX US GUIDE</t>
  </si>
  <si>
    <t>0050601111</t>
  </si>
  <si>
    <t>FNA BX US GUIDANCE EA ADD LES</t>
  </si>
  <si>
    <t>0050610302</t>
  </si>
  <si>
    <t>0050611607</t>
  </si>
  <si>
    <t>0050620038</t>
  </si>
  <si>
    <t>0050620137</t>
  </si>
  <si>
    <t>DUPLX UE/LE VEI</t>
  </si>
  <si>
    <t>0050620152</t>
  </si>
  <si>
    <t>ABD ART/VEN FLOW ABD COMP</t>
  </si>
  <si>
    <t>ART/VEN FLW COM</t>
  </si>
  <si>
    <t>0050620178</t>
  </si>
  <si>
    <t>0050625557</t>
  </si>
  <si>
    <t>0050665363</t>
  </si>
  <si>
    <t>0050665413</t>
  </si>
  <si>
    <t>DUPLX CARTD BI</t>
  </si>
  <si>
    <t>0050666049</t>
  </si>
  <si>
    <t>0050666452</t>
  </si>
  <si>
    <t>0050666528</t>
  </si>
  <si>
    <t>ASPIR BREAST CYST ADD</t>
  </si>
  <si>
    <t>ASP BREAST ADD</t>
  </si>
  <si>
    <t>0050667005</t>
  </si>
  <si>
    <t>US ABD COMPLETE</t>
  </si>
  <si>
    <t>0050667054</t>
  </si>
  <si>
    <t>US ABD LTD SNGLE/QUAD/FU</t>
  </si>
  <si>
    <t>0050667708</t>
  </si>
  <si>
    <t>0050667781</t>
  </si>
  <si>
    <t>US TRANSPLANT KIDNEY</t>
  </si>
  <si>
    <t>US TRNSP KIDNEY</t>
  </si>
  <si>
    <t>0050667823</t>
  </si>
  <si>
    <t>0050668011</t>
  </si>
  <si>
    <t>0050668102</t>
  </si>
  <si>
    <t>0050668110</t>
  </si>
  <si>
    <t>0050668169</t>
  </si>
  <si>
    <t>0050668250</t>
  </si>
  <si>
    <t>US OB&gt;14WK SGL</t>
  </si>
  <si>
    <t>0050668268</t>
  </si>
  <si>
    <t>US OB F/U PER FETUS</t>
  </si>
  <si>
    <t>US OB F/U PER</t>
  </si>
  <si>
    <t>0050668300</t>
  </si>
  <si>
    <t>0050668565</t>
  </si>
  <si>
    <t>0050668581</t>
  </si>
  <si>
    <t>0050668649</t>
  </si>
  <si>
    <t>0050669605</t>
  </si>
  <si>
    <t>0050669860</t>
  </si>
  <si>
    <t>US GUIDANCE INTRAOPERATV</t>
  </si>
  <si>
    <t>US GD INTRAOPTV</t>
  </si>
  <si>
    <t>0050671387</t>
  </si>
  <si>
    <t>0050671965</t>
  </si>
  <si>
    <t>UE/LE ART STUD LTD 1-2LV</t>
  </si>
  <si>
    <t>EXT STDY 1-2LVL</t>
  </si>
  <si>
    <t>0050671981</t>
  </si>
  <si>
    <t>0050672013</t>
  </si>
  <si>
    <t>LE ART IMAGING UNI/LTD</t>
  </si>
  <si>
    <t>LE ART IMG LTD</t>
  </si>
  <si>
    <t>0050675206</t>
  </si>
  <si>
    <t>0050675305</t>
  </si>
  <si>
    <t>BX ABD/RETROPER PERC NDL</t>
  </si>
  <si>
    <t>BX ABD MASS</t>
  </si>
  <si>
    <t>0050675354</t>
  </si>
  <si>
    <t>0050676303</t>
  </si>
  <si>
    <t>0050685056</t>
  </si>
  <si>
    <t>0050685759</t>
  </si>
  <si>
    <t>BX SOFT TISSUE NECK/THOR</t>
  </si>
  <si>
    <t>BX SFT TIS NK/T</t>
  </si>
  <si>
    <t>0050690833</t>
  </si>
  <si>
    <t>0050692854</t>
  </si>
  <si>
    <t>0050692862</t>
  </si>
  <si>
    <t>PERC DEVC BRST ADD US</t>
  </si>
  <si>
    <t>0050702620</t>
  </si>
  <si>
    <t>SM INT IMAGE CAP PROC</t>
  </si>
  <si>
    <t>SM INT CAP PROC</t>
  </si>
  <si>
    <t>0050711118</t>
  </si>
  <si>
    <t>ESOPHAGUS IMAGE CAP PROC</t>
  </si>
  <si>
    <t>ESOPH CAP PROC</t>
  </si>
  <si>
    <t>0050712546</t>
  </si>
  <si>
    <t>ESOPH PH TST W ELECT</t>
  </si>
  <si>
    <t>ESO REFLX TST</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</si>
  <si>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</si>
  <si>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</si>
  <si>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</si>
  <si>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</si>
  <si>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</si>
  <si>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</si>
  <si>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</si>
  <si>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</si>
  <si>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</si>
  <si>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</si>
  <si>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</si>
  <si>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</si>
  <si>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</si>
  <si>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</si>
  <si>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</si>
  <si>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</si>
  <si>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</si>
  <si>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</si>
  <si>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0050735703</t>
  </si>
  <si>
    <t>GI RECOVERY INIT 30 MIN</t>
  </si>
  <si>
    <t>0050735711</t>
  </si>
  <si>
    <t>GI RECOVERY EA ADD 15MIN</t>
  </si>
  <si>
    <t>RECOVERY EA 15</t>
  </si>
  <si>
    <t>0050791524</t>
  </si>
  <si>
    <t>0050791532</t>
  </si>
  <si>
    <t>0050791581</t>
  </si>
  <si>
    <t>MOD SED GI &gt;5YRS INIT15</t>
  </si>
  <si>
    <t>MODSED GI INT15</t>
  </si>
  <si>
    <t>0051917243</t>
  </si>
  <si>
    <t>IN111 DTPA .5MCI</t>
  </si>
  <si>
    <t>IN111 DTPA.5MCI</t>
  </si>
  <si>
    <t>0051917292</t>
  </si>
  <si>
    <t>IN111 OXINE .5MCI</t>
  </si>
  <si>
    <t>IN111OXINE.5MCI</t>
  </si>
  <si>
    <t>0051940104</t>
  </si>
  <si>
    <t>TC99 MEDRONAT UPTO 30MCI</t>
  </si>
  <si>
    <t>TC99MEDRMT30MCI</t>
  </si>
  <si>
    <t>0051941706</t>
  </si>
  <si>
    <t>TC99 SESTAMIBI DOSE</t>
  </si>
  <si>
    <t>TC99 SESTAM DOS</t>
  </si>
  <si>
    <t>0051951002</t>
  </si>
  <si>
    <t>XENON 133 10 MCI</t>
  </si>
  <si>
    <t>XENON 133 10MCI</t>
  </si>
  <si>
    <t>0051995124</t>
  </si>
  <si>
    <t>TC99 PERTECHN PER MCI</t>
  </si>
  <si>
    <t>TC99 PERTECHNET</t>
  </si>
  <si>
    <t>0051995165</t>
  </si>
  <si>
    <t>I 123 SOD CAP PER 100UCI</t>
  </si>
  <si>
    <t>I 123 SOD CAP</t>
  </si>
  <si>
    <t>0051995173</t>
  </si>
  <si>
    <t>TX I131 SOD CAP PER MCI</t>
  </si>
  <si>
    <t>I 131 SOD CAP</t>
  </si>
  <si>
    <t>0051995371</t>
  </si>
  <si>
    <t>TC99 MEBROFENIN DOSE</t>
  </si>
  <si>
    <t>TC99 MEBROFENIN</t>
  </si>
  <si>
    <t>0051995389</t>
  </si>
  <si>
    <t>TC99 PYROPHOSPHATE DOSE</t>
  </si>
  <si>
    <t>TC99PYROPHSPHTE</t>
  </si>
  <si>
    <t>0051995405</t>
  </si>
  <si>
    <t>TC99 ALBUMIN MAA DOSE</t>
  </si>
  <si>
    <t>TC99ALBUMIN MAA</t>
  </si>
  <si>
    <t>0051995413</t>
  </si>
  <si>
    <t>TC99 SULFUR COLLOID DOSE</t>
  </si>
  <si>
    <t>TC99 SULFRCOLLD</t>
  </si>
  <si>
    <t>0051995629</t>
  </si>
  <si>
    <t>TC99 MERTIATIDE DOSE</t>
  </si>
  <si>
    <t>TC99 MERTIATIDE</t>
  </si>
  <si>
    <t>0052020021</t>
  </si>
  <si>
    <t>TUMOR LOCAL PLANAR SNGL AREA</t>
  </si>
  <si>
    <t>TUMOR LOCAL SNG</t>
  </si>
  <si>
    <t>0052020120</t>
  </si>
  <si>
    <t>TUMOR LOCAL 2+ AREA 1+DAYS</t>
  </si>
  <si>
    <t xml:space="preserve">TUMOR LOCAL 2+ </t>
  </si>
  <si>
    <t>0052020229</t>
  </si>
  <si>
    <t>TUMOR LOCAL PLANAR WHOLEBDY</t>
  </si>
  <si>
    <t>TUMOR LOCAL WHO</t>
  </si>
  <si>
    <t>0052043015</t>
  </si>
  <si>
    <t>MC PERF SPECT WM EF MULT</t>
  </si>
  <si>
    <t>MC PERF MULTI</t>
  </si>
  <si>
    <t>0052080124</t>
  </si>
  <si>
    <t>THYROID UPTK SNG/MULT</t>
  </si>
  <si>
    <t>THYRD UP SNGMLT</t>
  </si>
  <si>
    <t>0052080181</t>
  </si>
  <si>
    <t>THYROID C/M IMG WHOL BDY</t>
  </si>
  <si>
    <t>THY C/M WHL BDY</t>
  </si>
  <si>
    <t>0052080314</t>
  </si>
  <si>
    <t>PARATHYROID IMAGING</t>
  </si>
  <si>
    <t>PARATHYROID IMG</t>
  </si>
  <si>
    <t>0052081957</t>
  </si>
  <si>
    <t>LYMPHATICS &amp; LYMPH NODES</t>
  </si>
  <si>
    <t>LYMPH NODES IMG</t>
  </si>
  <si>
    <t>0052082021</t>
  </si>
  <si>
    <t>LIVER IMAG VASCULAR FLOW</t>
  </si>
  <si>
    <t>LIVER IMAG FLOW</t>
  </si>
  <si>
    <t>0052082153</t>
  </si>
  <si>
    <t>LIVER/SPLEEN IMAG STATIC</t>
  </si>
  <si>
    <t>LIV/SPLEEN IMAG</t>
  </si>
  <si>
    <t>0052082260</t>
  </si>
  <si>
    <t>HEPATOBILIARY SYSTEM IMG</t>
  </si>
  <si>
    <t>HEPATOB IMG</t>
  </si>
  <si>
    <t>0052082278</t>
  </si>
  <si>
    <t>HEPATOBIL IMAGE W/DRUG</t>
  </si>
  <si>
    <t>HEPAT IMG W/DRG</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</si>
  <si>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</si>
  <si>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</si>
  <si>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</si>
  <si>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</si>
  <si>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</si>
  <si>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</si>
  <si>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</si>
  <si>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</si>
  <si>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</si>
  <si>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</si>
  <si>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</si>
  <si>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</si>
  <si>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0052083052</t>
  </si>
  <si>
    <t>BONE IMAGING MULTIPLE</t>
  </si>
  <si>
    <t>BONE IMG MULT</t>
  </si>
  <si>
    <t>0052083078</t>
  </si>
  <si>
    <t>BONE IMAGING WHOLE BODY</t>
  </si>
  <si>
    <t>BONE IMG WH/BDY</t>
  </si>
  <si>
    <t>0052083151</t>
  </si>
  <si>
    <t>BONE IMAG 3 PHASE STUDY</t>
  </si>
  <si>
    <t>BONE IMG 3PHASE</t>
  </si>
  <si>
    <t>0052084084</t>
  </si>
  <si>
    <t>GATED HEART PLANAR MULT</t>
  </si>
  <si>
    <t>GATED HRT PLANR</t>
  </si>
  <si>
    <t>0052084456</t>
  </si>
  <si>
    <t>VASCULAR FLOW STUDY IMAG</t>
  </si>
  <si>
    <t>VASC FLOSTD IMG</t>
  </si>
  <si>
    <t>0052085792</t>
  </si>
  <si>
    <t>LUNG VENTILATION IMAGING</t>
  </si>
  <si>
    <t>LUNG VENT IMG</t>
  </si>
  <si>
    <t>0052085800</t>
  </si>
  <si>
    <t>LUNG PERF PARTICULATE</t>
  </si>
  <si>
    <t>PULM PERFS IMAG</t>
  </si>
  <si>
    <t>0052085834</t>
  </si>
  <si>
    <t>LUNG VENT&amp;PERF IMAGING</t>
  </si>
  <si>
    <t>PERF/VENT IMG</t>
  </si>
  <si>
    <t>0052087012</t>
  </si>
  <si>
    <t>KIDNEY IMAG VASC FLOW</t>
  </si>
  <si>
    <t>KIDNEY IMG FLOW</t>
  </si>
  <si>
    <t>0052087061</t>
  </si>
  <si>
    <t>KID IMG FL/FUN SNG W RX</t>
  </si>
  <si>
    <t>KID IMG W RX</t>
  </si>
  <si>
    <t>0052087079</t>
  </si>
  <si>
    <t>KID IMG FL/FUN SNG WO RX</t>
  </si>
  <si>
    <t>KID IMG WO RX</t>
  </si>
  <si>
    <t>0052087095</t>
  </si>
  <si>
    <t>KIDNEY IMG FLW/FNCT W/WO</t>
  </si>
  <si>
    <t>KID IMG FLW WWO</t>
  </si>
  <si>
    <t>0052088044</t>
  </si>
  <si>
    <t>TUMOR LOC 2D WHOLE BDY 2+DAYS</t>
  </si>
  <si>
    <t xml:space="preserve">TUMOR LOC WHLE </t>
  </si>
  <si>
    <t>0052090057</t>
  </si>
  <si>
    <t>RADPHARM TX ORAL</t>
  </si>
  <si>
    <t>RADPHAR TX ORAL</t>
  </si>
  <si>
    <t>0052500949</t>
  </si>
  <si>
    <t>MRI SFTY IMPLT&amp;FB 1ST 15MIN</t>
  </si>
  <si>
    <t>MRI SFTY IMPLT&amp;</t>
  </si>
  <si>
    <t>0052500956</t>
  </si>
  <si>
    <t>MRI SFTY MPLT&amp;FB ADD 30MIN</t>
  </si>
  <si>
    <t>MRI MPLT&amp;FB ADD</t>
  </si>
  <si>
    <t>0052500964</t>
  </si>
  <si>
    <t>MRI SAFETY DETER PHYS/QHP</t>
  </si>
  <si>
    <t xml:space="preserve">MRI SAFETY DET </t>
  </si>
  <si>
    <t>0052500972</t>
  </si>
  <si>
    <t>MRI SFTY MED PHYSICS XM CSTMZ</t>
  </si>
  <si>
    <t>MRI SFTY PHYSIC</t>
  </si>
  <si>
    <t>0052500980</t>
  </si>
  <si>
    <t>MRI SAFETY IMPLANT ELEC PREPJ</t>
  </si>
  <si>
    <t xml:space="preserve">MRI SAFTY IMPT </t>
  </si>
  <si>
    <t>0052500998</t>
  </si>
  <si>
    <t>MRI SAFETY IMPLT POS&amp;/IMMOBLJ</t>
  </si>
  <si>
    <t>0053000055</t>
  </si>
  <si>
    <t>ACARBOSE 50MG TB</t>
  </si>
  <si>
    <t xml:space="preserve">ACARBOSE 50 TB </t>
  </si>
  <si>
    <t>0053000071</t>
  </si>
  <si>
    <t>ABACAVIR/LAMIVUDINE TB</t>
  </si>
  <si>
    <t>ABACAVIR/LAM TB</t>
  </si>
  <si>
    <t>0053000113</t>
  </si>
  <si>
    <t>APA/ASA/CAF ES TB</t>
  </si>
  <si>
    <t>APAP/AS/C ES TB</t>
  </si>
  <si>
    <t>0053000147</t>
  </si>
  <si>
    <t>APAP 500MG ES TB</t>
  </si>
  <si>
    <t xml:space="preserve">APAP 500 ES TB </t>
  </si>
  <si>
    <t>0053000170</t>
  </si>
  <si>
    <t>APAP 325MG TB</t>
  </si>
  <si>
    <t xml:space="preserve">APAP 325MG TB  </t>
  </si>
  <si>
    <t>0053000980</t>
  </si>
  <si>
    <t>ACETAZOLAMIDE 250MG TB</t>
  </si>
  <si>
    <t xml:space="preserve">ACETZOLAM250TB </t>
  </si>
  <si>
    <t>0053001608</t>
  </si>
  <si>
    <t>ACYCLOVIR 200MG CP</t>
  </si>
  <si>
    <t>ACYCLOVIR 200CP</t>
  </si>
  <si>
    <t>0053001616</t>
  </si>
  <si>
    <t>ACYCLOVIR 800MG TB</t>
  </si>
  <si>
    <t>ACYCLOVIR 800TB</t>
  </si>
  <si>
    <t>0053002010</t>
  </si>
  <si>
    <t>ALBENDAZOLE 200MG TB</t>
  </si>
  <si>
    <t>ALBENDAZOL200TB</t>
  </si>
  <si>
    <t>0053002218</t>
  </si>
  <si>
    <t>ALBUTEROL 2MG TB</t>
  </si>
  <si>
    <t>ALBUTEROL 2MGTB</t>
  </si>
  <si>
    <t>0053002333</t>
  </si>
  <si>
    <t>ALENDRONATE 70MG TB</t>
  </si>
  <si>
    <t>ALENDRONATE70TB</t>
  </si>
  <si>
    <t>0053002440</t>
  </si>
  <si>
    <t>ALLOPURINOL100MG TB</t>
  </si>
  <si>
    <t>ALLOPURINL100TB</t>
  </si>
  <si>
    <t>0053002481</t>
  </si>
  <si>
    <t>ALLOPURINOL300MG TB</t>
  </si>
  <si>
    <t>ALLOPURINL300TB</t>
  </si>
  <si>
    <t>0053002945</t>
  </si>
  <si>
    <t>ALPRAZOLAM .25MG TB</t>
  </si>
  <si>
    <t>ALPRAZOL .25 TB</t>
  </si>
  <si>
    <t>0053002986</t>
  </si>
  <si>
    <t>ALPRAZOLAM .5MG TB</t>
  </si>
  <si>
    <t xml:space="preserve">ALPRAZOL .5 TB </t>
  </si>
  <si>
    <t>0053004768</t>
  </si>
  <si>
    <t>AMANTADINE 100MG CP</t>
  </si>
  <si>
    <t>AMANTADINE100CP</t>
  </si>
  <si>
    <t>0053005229</t>
  </si>
  <si>
    <t>AMILORIDE 5MG TB</t>
  </si>
  <si>
    <t xml:space="preserve">AMILORIDE5MGTB </t>
  </si>
  <si>
    <t>0053005492</t>
  </si>
  <si>
    <t>AMINOCAPROIC ACID500MGTB</t>
  </si>
  <si>
    <t xml:space="preserve">AMINOCAPR500TB </t>
  </si>
  <si>
    <t>0053006250</t>
  </si>
  <si>
    <t>AMIODARONE 200MG TB</t>
  </si>
  <si>
    <t>AMIODARONE200TB</t>
  </si>
  <si>
    <t>0053006342</t>
  </si>
  <si>
    <t>AMITRIPTYLINE 10MG TB</t>
  </si>
  <si>
    <t xml:space="preserve">AMTRIPTYL 10TB </t>
  </si>
  <si>
    <t>0053006383</t>
  </si>
  <si>
    <t>AMITRIPTYLINE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</si>
  <si>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</si>
  <si>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</si>
  <si>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</si>
  <si>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</si>
  <si>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</si>
  <si>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</si>
  <si>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</si>
  <si>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</si>
  <si>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</si>
  <si>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RISPERIDON .5TB</t>
  </si>
  <si>
    <t>0053006607</t>
  </si>
  <si>
    <t>AMLODIPINE 2.5MG TB</t>
  </si>
  <si>
    <t>AMLODIPNE2.5 TB</t>
  </si>
  <si>
    <t>0053006615</t>
  </si>
  <si>
    <t>AMLODIPINE 5MG TB</t>
  </si>
  <si>
    <t>AMLODIPINE 5 TB</t>
  </si>
  <si>
    <t>0053007126</t>
  </si>
  <si>
    <t>AMOXICILLIN/CLAV 250MGTB</t>
  </si>
  <si>
    <t xml:space="preserve">AMOX/CLA250TB  </t>
  </si>
  <si>
    <t>0053007134</t>
  </si>
  <si>
    <t>AMOXICILLIN/CLAV 875MGTB</t>
  </si>
  <si>
    <t xml:space="preserve">AMOX/CLAV875TB </t>
  </si>
  <si>
    <t>0053007159</t>
  </si>
  <si>
    <t>AMOXICILLIN/CLAV 500MGTB</t>
  </si>
  <si>
    <t xml:space="preserve">AMOX/CLAV500TB </t>
  </si>
  <si>
    <t>0053007233</t>
  </si>
  <si>
    <t>AMOXICILLIN 250MG CP</t>
  </si>
  <si>
    <t>AMOXICILN250 CP</t>
  </si>
  <si>
    <t>0053007282</t>
  </si>
  <si>
    <t>AMOXICILLIN 500MG TB</t>
  </si>
  <si>
    <t>AMOXICILN500 TB</t>
  </si>
  <si>
    <t>0053007621</t>
  </si>
  <si>
    <t>ANASTROZOLE 1MG TB</t>
  </si>
  <si>
    <t>ANASTRZOLE1MGTB</t>
  </si>
  <si>
    <t>0053007712</t>
  </si>
  <si>
    <t>APIXABAN 5MG TB</t>
  </si>
  <si>
    <t>0053007720</t>
  </si>
  <si>
    <t>APIXABAN 2.5MG TB</t>
  </si>
  <si>
    <t>APIXABAN2.5MGTB</t>
  </si>
  <si>
    <t>0053007779</t>
  </si>
  <si>
    <t>ARIPIPRAZOLE 2MG TB</t>
  </si>
  <si>
    <t>ARIPIPRAZL2MGTB</t>
  </si>
  <si>
    <t>0053007803</t>
  </si>
  <si>
    <t>ARIPIPRAZOLE 15MG TB</t>
  </si>
  <si>
    <t xml:space="preserve">ARIPIPRAZL15TB </t>
  </si>
  <si>
    <t>0053007837</t>
  </si>
  <si>
    <t>ARIPIPRAZOLE 5MG TB</t>
  </si>
  <si>
    <t xml:space="preserve">ARIPIPRAZ5MGTB </t>
  </si>
  <si>
    <t>0053007845</t>
  </si>
  <si>
    <t>ARIPIPRAZOLE 10MG TB</t>
  </si>
  <si>
    <t>ARIPIPRAZ10MGTB</t>
  </si>
  <si>
    <t>0053010617</t>
  </si>
  <si>
    <t>ASCORBIC ACID 500MG TB</t>
  </si>
  <si>
    <t xml:space="preserve">ASCORB AC500TB </t>
  </si>
  <si>
    <t>0053011086</t>
  </si>
  <si>
    <t>ASA 325MG EC TB</t>
  </si>
  <si>
    <t>0053011094</t>
  </si>
  <si>
    <t>ASA 81MG EC TB</t>
  </si>
  <si>
    <t xml:space="preserve">ASA 81MG EC TB </t>
  </si>
  <si>
    <t>0053011102</t>
  </si>
  <si>
    <t>ASA 81MG CTB</t>
  </si>
  <si>
    <t xml:space="preserve">ASA 81MG CTB   </t>
  </si>
  <si>
    <t>0053011136</t>
  </si>
  <si>
    <t>ASA 325MG TB</t>
  </si>
  <si>
    <t xml:space="preserve">ASA 325MG TB   </t>
  </si>
  <si>
    <t>0053011342</t>
  </si>
  <si>
    <t>ATENOLOL 100MG TB</t>
  </si>
  <si>
    <t xml:space="preserve">ATENOLOL100 TB </t>
  </si>
  <si>
    <t>0053011375</t>
  </si>
  <si>
    <t>ATENOLOL 25MG TB</t>
  </si>
  <si>
    <t>ATENOLOL25MG TB</t>
  </si>
  <si>
    <t>0053011383</t>
  </si>
  <si>
    <t>ATENOLOL 50MG TB</t>
  </si>
  <si>
    <t>ATENOLOL50MG TB</t>
  </si>
  <si>
    <t>0053011458</t>
  </si>
  <si>
    <t>ATORVASTATIN 10MG TB</t>
  </si>
  <si>
    <t xml:space="preserve">ATORVASTAT10TB </t>
  </si>
  <si>
    <t>0053011466</t>
  </si>
  <si>
    <t>ATORVASTATIN 20MG TB</t>
  </si>
  <si>
    <t xml:space="preserve">ATORVASTAT20TB </t>
  </si>
  <si>
    <t>0053011474</t>
  </si>
  <si>
    <t>ATORVASTATIN 40MG TB</t>
  </si>
  <si>
    <t xml:space="preserve">ATORVASTAT40TB </t>
  </si>
  <si>
    <t>0053012159</t>
  </si>
  <si>
    <t>AZATHIOPRINE 50MG TB</t>
  </si>
  <si>
    <t>AZATHIOPRIN50TB</t>
  </si>
  <si>
    <t>0053012209</t>
  </si>
  <si>
    <t>AZITHROMYCIN 250MG TB</t>
  </si>
  <si>
    <t>AZITHROMYC250TB</t>
  </si>
  <si>
    <t>0053013579</t>
  </si>
  <si>
    <t>BACLOFEN 10MG TB</t>
  </si>
  <si>
    <t>BACLOFEN10MG TB</t>
  </si>
  <si>
    <t>0053013652</t>
  </si>
  <si>
    <t>BARICITINIB 1MG TB</t>
  </si>
  <si>
    <t>BARICITINIB 1MG</t>
  </si>
  <si>
    <t>0053013660</t>
  </si>
  <si>
    <t>BARICITINIB 2MG TB</t>
  </si>
  <si>
    <t>BARICITINIB 2MG</t>
  </si>
  <si>
    <t>0053013702</t>
  </si>
  <si>
    <t>BALSALAZIDE 750MG CP</t>
  </si>
  <si>
    <t>BALSALAZID750CP</t>
  </si>
  <si>
    <t>0053014304</t>
  </si>
  <si>
    <t>BENAZEPRIL 5MG TB</t>
  </si>
  <si>
    <t>BENAZEPRIL 5 TB</t>
  </si>
  <si>
    <t>0053014312</t>
  </si>
  <si>
    <t>BENAZEPRIL 10MG TB</t>
  </si>
  <si>
    <t>BENAZEPRIL10 TB</t>
  </si>
  <si>
    <t>0053014320</t>
  </si>
  <si>
    <t>BENAZEPRIL 20MG TB</t>
  </si>
  <si>
    <t>BENAZEPRIL20 TB</t>
  </si>
  <si>
    <t>0053014809</t>
  </si>
  <si>
    <t>BENZOCAINE-MENTH EACH LZ</t>
  </si>
  <si>
    <t>BENZ-MENT EA LZ</t>
  </si>
  <si>
    <t>0053014833</t>
  </si>
  <si>
    <t>BENZOCAINE-DEXTROMETHORPHAN LZ</t>
  </si>
  <si>
    <t>BENZOCAINE-DEXT</t>
  </si>
  <si>
    <t>0053014999</t>
  </si>
  <si>
    <t>BENZONATATE 100MG CP</t>
  </si>
  <si>
    <t>BENZONTATE100CP</t>
  </si>
  <si>
    <t>0053015228</t>
  </si>
  <si>
    <t>BENZTROPINE 1MG TB</t>
  </si>
  <si>
    <t>BENZTROPINE 1TB</t>
  </si>
  <si>
    <t>0053015764</t>
  </si>
  <si>
    <t>BETHANECHOL 10MG TB</t>
  </si>
  <si>
    <t>BETHANECHOL10TB</t>
  </si>
  <si>
    <t>0053015806</t>
  </si>
  <si>
    <t>BETHANECHOL 25MG TB</t>
  </si>
  <si>
    <t>BETHANECHOL25TB</t>
  </si>
  <si>
    <t>0053015814</t>
  </si>
  <si>
    <t>BICTEG/EMTRIC/TENOF50/200/25TB</t>
  </si>
  <si>
    <t>BICTEG/EMTRIC/T</t>
  </si>
  <si>
    <t>0053015905</t>
  </si>
  <si>
    <t>BICALUTAMIDE 50MG TB</t>
  </si>
  <si>
    <t>BICALUTAMID50TB</t>
  </si>
  <si>
    <t>0053016028</t>
  </si>
  <si>
    <t>BISACODYL 5MG EC TB</t>
  </si>
  <si>
    <t>BISCODYL 5 ECTB</t>
  </si>
  <si>
    <t>0053016051</t>
  </si>
  <si>
    <t>BISOPROLOL 5MG TB</t>
  </si>
  <si>
    <t xml:space="preserve">BISPROLOL5MGTB </t>
  </si>
  <si>
    <t>0053016804</t>
  </si>
  <si>
    <t>BROMOCRIPTINE 2.5MG TB</t>
  </si>
  <si>
    <t>BROMOCRIPT2.5TB</t>
  </si>
  <si>
    <t>0053017257</t>
  </si>
  <si>
    <t>BUDESONIDE 3MG XR CP</t>
  </si>
  <si>
    <t>BUDESONIDE3XRCP</t>
  </si>
  <si>
    <t>0053017422</t>
  </si>
  <si>
    <t>BUMETANIDE 1MG TB</t>
  </si>
  <si>
    <t>BUMETANIDE 1 TB</t>
  </si>
  <si>
    <t>0053017430</t>
  </si>
  <si>
    <t>BUMETANIDE 2MG TB</t>
  </si>
  <si>
    <t>BUMETANIDE 2 TB</t>
  </si>
  <si>
    <t>0053017455</t>
  </si>
  <si>
    <t>BUPROPION 75MG TB</t>
  </si>
  <si>
    <t xml:space="preserve">BUPROPION75 TB </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</si>
  <si>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</si>
  <si>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</si>
  <si>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</si>
  <si>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</si>
  <si>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</si>
  <si>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</si>
  <si>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</si>
  <si>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</si>
  <si>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</si>
  <si>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</si>
  <si>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</si>
  <si>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</si>
  <si>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0053017604</t>
  </si>
  <si>
    <t>BUSPIRONE 5MG TB</t>
  </si>
  <si>
    <t xml:space="preserve">BUSPRIONE5 TB  </t>
  </si>
  <si>
    <t>0053017612</t>
  </si>
  <si>
    <t>BUSPIRONE 10MG TB</t>
  </si>
  <si>
    <t xml:space="preserve">BUSPIRONE10 TB </t>
  </si>
  <si>
    <t>0053017919</t>
  </si>
  <si>
    <t>CALCITRIOL .25MCG CP</t>
  </si>
  <si>
    <t xml:space="preserve">CALCITROL.25CP </t>
  </si>
  <si>
    <t>0053018107</t>
  </si>
  <si>
    <t>CALCIUM ACETATE 667MG TB</t>
  </si>
  <si>
    <t xml:space="preserve">CA ACET 667 TB </t>
  </si>
  <si>
    <t>0053018131</t>
  </si>
  <si>
    <t>CALCIUM CARB 1.25GM TB</t>
  </si>
  <si>
    <t>CA CARB 1.25 TB</t>
  </si>
  <si>
    <t>0053018156</t>
  </si>
  <si>
    <t>CALCIUM CARB 500MG TB</t>
  </si>
  <si>
    <t xml:space="preserve">CA CARB 500 TB </t>
  </si>
  <si>
    <t>0053018164</t>
  </si>
  <si>
    <t>CALCIUM CARB 600MG TB</t>
  </si>
  <si>
    <t xml:space="preserve">CA CARB 600 TB </t>
  </si>
  <si>
    <t>0053018198</t>
  </si>
  <si>
    <t>CALCIUM CARBONATE CTB</t>
  </si>
  <si>
    <t xml:space="preserve">CA CARB CTB    </t>
  </si>
  <si>
    <t>0053018347</t>
  </si>
  <si>
    <t>CA CARB VITD 500/200TB</t>
  </si>
  <si>
    <t>CALC/D500/200TB</t>
  </si>
  <si>
    <t>0053018362</t>
  </si>
  <si>
    <t>CA CIT/VITD 315/250 TB</t>
  </si>
  <si>
    <t>CALC/D315/250TB</t>
  </si>
  <si>
    <t>0053019014</t>
  </si>
  <si>
    <t>POLYCARBOPHIL 625MG TB</t>
  </si>
  <si>
    <t xml:space="preserve">POLYCARB625 TB </t>
  </si>
  <si>
    <t>0053019238</t>
  </si>
  <si>
    <t>CAPTOPRIL 25MG TB</t>
  </si>
  <si>
    <t>CAPTOPRIL25MGTB</t>
  </si>
  <si>
    <t>0053019766</t>
  </si>
  <si>
    <t>CARBAMAZEPINE 100MG XRTB</t>
  </si>
  <si>
    <t>CARBMAZE100XRTB</t>
  </si>
  <si>
    <t>0053019816</t>
  </si>
  <si>
    <t>CARBAMAZEPINE 200MG TB</t>
  </si>
  <si>
    <t xml:space="preserve">CARBMAZEP200TB </t>
  </si>
  <si>
    <t>0053020277</t>
  </si>
  <si>
    <t>CARBIDOPA/LEVD 10/100 TB</t>
  </si>
  <si>
    <t>CAR/LEV10/100TB</t>
  </si>
  <si>
    <t>0053020319</t>
  </si>
  <si>
    <t>CARBIDOPA/LEVD 25/100 TB</t>
  </si>
  <si>
    <t>CAR/LEV25/100TB</t>
  </si>
  <si>
    <t>0053020350</t>
  </si>
  <si>
    <t>CARBIDOPA/LEVD 25/250 TB</t>
  </si>
  <si>
    <t>CAR/LEV25/250TB</t>
  </si>
  <si>
    <t>0053020368</t>
  </si>
  <si>
    <t>CARBIDOPA/LEVD50/200XRTB</t>
  </si>
  <si>
    <t>CAR/L50/200XRTB</t>
  </si>
  <si>
    <t>0053020582</t>
  </si>
  <si>
    <t>CARISOPRODOL 350MG TB</t>
  </si>
  <si>
    <t>CARISPRDL350 TB</t>
  </si>
  <si>
    <t>0053020707</t>
  </si>
  <si>
    <t>LEVOCARNITINE 330MG TB</t>
  </si>
  <si>
    <t>LEVOCARN330MGCP</t>
  </si>
  <si>
    <t>0053020772</t>
  </si>
  <si>
    <t>CARVEDILOL 3.125MG TB</t>
  </si>
  <si>
    <t>CARVEDL3.125 TB</t>
  </si>
  <si>
    <t>0053020780</t>
  </si>
  <si>
    <t>CARVEDILOL 6.25MG TB</t>
  </si>
  <si>
    <t xml:space="preserve">CARVEDL6.25 TB </t>
  </si>
  <si>
    <t>0053020798</t>
  </si>
  <si>
    <t>CARVEDILOL 12.5MG TB</t>
  </si>
  <si>
    <t xml:space="preserve">CARVEDL12.5 TB </t>
  </si>
  <si>
    <t>0053020806</t>
  </si>
  <si>
    <t>CARVEDILOL 25MG TB</t>
  </si>
  <si>
    <t xml:space="preserve">CARVEDL25 TB   </t>
  </si>
  <si>
    <t>0053020814</t>
  </si>
  <si>
    <t>CARVEDILOL 10MG XR CP</t>
  </si>
  <si>
    <t>CARVEDL10 XR CP</t>
  </si>
  <si>
    <t>0053021218</t>
  </si>
  <si>
    <t>CEFUROXIME 250MG TB</t>
  </si>
  <si>
    <t>CEFUROXIME250TB</t>
  </si>
  <si>
    <t>0053021226</t>
  </si>
  <si>
    <t>CEFUROXIME 500MG TB</t>
  </si>
  <si>
    <t>CEFUROXIME500TB</t>
  </si>
  <si>
    <t>0053021242</t>
  </si>
  <si>
    <t>CEFPODOXIME 200MG TB</t>
  </si>
  <si>
    <t>CEFPODOXM200 TB</t>
  </si>
  <si>
    <t>0053021291</t>
  </si>
  <si>
    <t>CELECOXIB 100MG CP</t>
  </si>
  <si>
    <t>CELECOXIB100 CP</t>
  </si>
  <si>
    <t>0053021309</t>
  </si>
  <si>
    <t>CELECOXIB 200MG CP</t>
  </si>
  <si>
    <t>CELECOXIB200 CP</t>
  </si>
  <si>
    <t>0053022042</t>
  </si>
  <si>
    <t>CEPHALEXIN 250MG CP</t>
  </si>
  <si>
    <t>CEPHALEXN250 CP</t>
  </si>
  <si>
    <t>0053022083</t>
  </si>
  <si>
    <t>CEPHALEXIN 500MG CP</t>
  </si>
  <si>
    <t>CEPHALEXN500 CP</t>
  </si>
  <si>
    <t>0053022463</t>
  </si>
  <si>
    <t>CETIRIZINE 10MG TB</t>
  </si>
  <si>
    <t>CETIRIZINE10 TB</t>
  </si>
  <si>
    <t>0053023859</t>
  </si>
  <si>
    <t>CHLORDIAZEPOXIDE 5MG CP</t>
  </si>
  <si>
    <t>CHLORIDIAZEP5CP</t>
  </si>
  <si>
    <t>0053023933</t>
  </si>
  <si>
    <t>CHLORDIAZEPOXIDE 25MG CP</t>
  </si>
  <si>
    <t>CHLORIDIAZE25CP</t>
  </si>
  <si>
    <t>0053025946</t>
  </si>
  <si>
    <t>CHLORPROMAZINE 25MG TB</t>
  </si>
  <si>
    <t>CHLORPROMAZ25TB</t>
  </si>
  <si>
    <t>0053026647</t>
  </si>
  <si>
    <t>CHLORTHALIDONE 25MG TB</t>
  </si>
  <si>
    <t>CHLORTHALID25TB</t>
  </si>
  <si>
    <t>0053027306</t>
  </si>
  <si>
    <t>CILOSTAZOL 50MG TB</t>
  </si>
  <si>
    <t>CILOSTZL50MG TB</t>
  </si>
  <si>
    <t>0053027314</t>
  </si>
  <si>
    <t>CILOSTAZOL 100MG TB</t>
  </si>
  <si>
    <t>CILOSTZL 100 TB</t>
  </si>
  <si>
    <t>0053027629</t>
  </si>
  <si>
    <t>CINACALCET 30MG TB</t>
  </si>
  <si>
    <t>CINACALCET30 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</si>
  <si>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</si>
  <si>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</si>
  <si>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</si>
  <si>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</si>
  <si>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</si>
  <si>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</si>
  <si>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</si>
  <si>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</si>
  <si>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</si>
  <si>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</si>
  <si>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</si>
  <si>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</si>
  <si>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0053028148</t>
  </si>
  <si>
    <t>CLINDAMYCIN 150MG CP</t>
  </si>
  <si>
    <t>CLINDAMYAC150CP</t>
  </si>
  <si>
    <t>0053028189</t>
  </si>
  <si>
    <t>CLINDAMYCIN 300MG CP</t>
  </si>
  <si>
    <t>CLINDAMYAC300CP</t>
  </si>
  <si>
    <t>0053029104</t>
  </si>
  <si>
    <t>CLONAZEPAM .5MG TB</t>
  </si>
  <si>
    <t>CLONAZEPAM.5 TB</t>
  </si>
  <si>
    <t>0053029146</t>
  </si>
  <si>
    <t>CLONAZEPAM 1MG TB</t>
  </si>
  <si>
    <t>CLONAZEPAM 1 TB</t>
  </si>
  <si>
    <t>0053029419</t>
  </si>
  <si>
    <t>CLONIDINE 0.1MG TB</t>
  </si>
  <si>
    <t>CLONIDINE.1MGTB</t>
  </si>
  <si>
    <t>0053029450</t>
  </si>
  <si>
    <t>CLONIDINE 0.2MG TB</t>
  </si>
  <si>
    <t>CLONIDINE.2MGTB</t>
  </si>
  <si>
    <t>0053029492</t>
  </si>
  <si>
    <t>CLONIDINE 0.3MG TB</t>
  </si>
  <si>
    <t>CLONIDINE.3MGTB</t>
  </si>
  <si>
    <t>0053029658</t>
  </si>
  <si>
    <t>CLOPIDOGREL 75MG TB</t>
  </si>
  <si>
    <t xml:space="preserve">CLOPIDOG75MGTB </t>
  </si>
  <si>
    <t>0053030425</t>
  </si>
  <si>
    <t>COLCHICINE .6MG TB</t>
  </si>
  <si>
    <t>COLCHICINE.6 TB</t>
  </si>
  <si>
    <t>0053032538</t>
  </si>
  <si>
    <t>CYCLOBENZAPRINE 5MG TB</t>
  </si>
  <si>
    <t>CYCLOBENZAPR5TB</t>
  </si>
  <si>
    <t>0053032546</t>
  </si>
  <si>
    <t>CYCLOBENZAPRINE 10MG TB</t>
  </si>
  <si>
    <t>CYCLOBENZAP10TB</t>
  </si>
  <si>
    <t>0053032819</t>
  </si>
  <si>
    <t>CYCLOPHOSPHAMIDE 50MG TB</t>
  </si>
  <si>
    <t>CYCLOPHOS50MGTB</t>
  </si>
  <si>
    <t>0053032868</t>
  </si>
  <si>
    <t>CYCLOSPORIN 25MG CP</t>
  </si>
  <si>
    <t>CYCLOSPOR25MGCP</t>
  </si>
  <si>
    <t>0053032892</t>
  </si>
  <si>
    <t>CYCLOSPORINE 25MG GEL CP</t>
  </si>
  <si>
    <t>CYCLOSPOR25GLCP</t>
  </si>
  <si>
    <t>0053033197</t>
  </si>
  <si>
    <t>DABIGATRAN 75MG CP</t>
  </si>
  <si>
    <t>DABIGATRA75MGCP</t>
  </si>
  <si>
    <t>0053033205</t>
  </si>
  <si>
    <t>DABIGATRAN 150MG CP</t>
  </si>
  <si>
    <t>DABIGATR150MGCP</t>
  </si>
  <si>
    <t>0053034195</t>
  </si>
  <si>
    <t>DANTROLENE 25MG CP</t>
  </si>
  <si>
    <t>DANTROLENE25 CP</t>
  </si>
  <si>
    <t>0053035150</t>
  </si>
  <si>
    <t>DEMECLOCYCLINE 150MG TB</t>
  </si>
  <si>
    <t xml:space="preserve">DECLOMYC150 TB </t>
  </si>
  <si>
    <t>0053035853</t>
  </si>
  <si>
    <t>DESMOPRESSIN .1MG TB</t>
  </si>
  <si>
    <t xml:space="preserve">DESMOPRESS.1TB </t>
  </si>
  <si>
    <t>0053036042</t>
  </si>
  <si>
    <t>DEXAMETHASONE 4MG TB</t>
  </si>
  <si>
    <t>DEXAMETH 4MG TB</t>
  </si>
  <si>
    <t>0053036109</t>
  </si>
  <si>
    <t>DEXAMETHASONE 1MG TB</t>
  </si>
  <si>
    <t>DEXAMETH 1MG TB</t>
  </si>
  <si>
    <t>0053037081</t>
  </si>
  <si>
    <t>DIAZEPAM 2MG TB</t>
  </si>
  <si>
    <t xml:space="preserve">DIAZEPAM 2 TB  </t>
  </si>
  <si>
    <t>0053037123</t>
  </si>
  <si>
    <t>DIAZEPAM 5MG TB</t>
  </si>
  <si>
    <t xml:space="preserve">DIAZEPAM 5 TB  </t>
  </si>
  <si>
    <t>0053037164</t>
  </si>
  <si>
    <t>DIAZEPAM 10MG TB</t>
  </si>
  <si>
    <t xml:space="preserve">DIAZEPAM 10 TB </t>
  </si>
  <si>
    <t>0053037453</t>
  </si>
  <si>
    <t>DICLOFENAC NA 25MG XRTB</t>
  </si>
  <si>
    <t>DICLOFENC25XRTB</t>
  </si>
  <si>
    <t>0053038204</t>
  </si>
  <si>
    <t>DICYCLOMINE 10MG CP</t>
  </si>
  <si>
    <t>DICYCLOMINE10CP</t>
  </si>
  <si>
    <t>0053038246</t>
  </si>
  <si>
    <t>DICYCLOMINE 20MG TB</t>
  </si>
  <si>
    <t>DICYCLOMINE20TB</t>
  </si>
  <si>
    <t>0053039442</t>
  </si>
  <si>
    <t>DIGOXIN 0.125MG TB</t>
  </si>
  <si>
    <t>DIGOXIN.125MGTB</t>
  </si>
  <si>
    <t>0053039525</t>
  </si>
  <si>
    <t>DIGOXIN 0.25MG TB</t>
  </si>
  <si>
    <t>DIGOXIN.25MG TB</t>
  </si>
  <si>
    <t>0053040333</t>
  </si>
  <si>
    <t>DILTIAZEM 30MG TB</t>
  </si>
  <si>
    <t>DILTIAZEM 30 TB</t>
  </si>
  <si>
    <t>0053040382</t>
  </si>
  <si>
    <t>DILTIAZEM 90MG TB</t>
  </si>
  <si>
    <t xml:space="preserve">DILTIAZEM 90MG </t>
  </si>
  <si>
    <t>0053040408</t>
  </si>
  <si>
    <t>DILTIAZEM 90MG XR CP</t>
  </si>
  <si>
    <t>DILTIAZ90 XR CP</t>
  </si>
  <si>
    <t>0053040416</t>
  </si>
  <si>
    <t>DILTIAZEM 120MG XR CP</t>
  </si>
  <si>
    <t>DILTIAZEM 120MG</t>
  </si>
  <si>
    <t>0053040424</t>
  </si>
  <si>
    <t>DILTIAZEM 60MG XR CP</t>
  </si>
  <si>
    <t>DILTIAZ60MGXRCP</t>
  </si>
  <si>
    <t>0053040432</t>
  </si>
  <si>
    <t>DILTIAZEM 120MG XR24 CP</t>
  </si>
  <si>
    <t>DILTIAZ120X24CP</t>
  </si>
  <si>
    <t>0053040440</t>
  </si>
  <si>
    <t>DILTIAZEM 180MG XR24 CP</t>
  </si>
  <si>
    <t>DILTIAZ180X24CP</t>
  </si>
  <si>
    <t>0053040457</t>
  </si>
  <si>
    <t>DILTIAZEM 240MG XR24 CP</t>
  </si>
  <si>
    <t>DILTIAZ240X24CP</t>
  </si>
  <si>
    <t>0053040465</t>
  </si>
  <si>
    <t>DILTIAZEM 300MG XR24 CP</t>
  </si>
  <si>
    <t>DILTIAZ300X24CP</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</si>
  <si>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</si>
  <si>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</si>
  <si>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</si>
  <si>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</si>
  <si>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</si>
  <si>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</si>
  <si>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</si>
  <si>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</si>
  <si>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</si>
  <si>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</si>
  <si>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</si>
  <si>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</si>
  <si>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</si>
  <si>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</si>
  <si>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</si>
  <si>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</si>
  <si>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</si>
  <si>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</si>
  <si>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</si>
  <si>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</si>
  <si>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</si>
  <si>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</si>
  <si>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</si>
  <si>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</si>
  <si>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</si>
  <si>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</si>
  <si>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</si>
  <si>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0053042198</t>
  </si>
  <si>
    <t>DOCUSATE 100MG CP</t>
  </si>
  <si>
    <t xml:space="preserve">DOCUSATE100 CP </t>
  </si>
  <si>
    <t>0053042230</t>
  </si>
  <si>
    <t>DOCUSATE 250MG CP</t>
  </si>
  <si>
    <t xml:space="preserve">DOCUSATE250 CP </t>
  </si>
  <si>
    <t>0053042503</t>
  </si>
  <si>
    <t>DONEPEZIL 5MG TB</t>
  </si>
  <si>
    <t xml:space="preserve">DONEPEZIL5MGTB </t>
  </si>
  <si>
    <t>0053042578</t>
  </si>
  <si>
    <t>DOLUTEGRAVIR 50MG TB</t>
  </si>
  <si>
    <t>DOLUTEGRAV 50TB</t>
  </si>
  <si>
    <t>0053043352</t>
  </si>
  <si>
    <t>DOXAZOSIN 1MG TB</t>
  </si>
  <si>
    <t xml:space="preserve">DOXAZOSIN 1 TB </t>
  </si>
  <si>
    <t>0053043360</t>
  </si>
  <si>
    <t>DOXAZOSIN 2MG TB</t>
  </si>
  <si>
    <t xml:space="preserve">DOXAZOSIN 2 TB </t>
  </si>
  <si>
    <t>0053043428</t>
  </si>
  <si>
    <t>DOXEPIN 10MG CP</t>
  </si>
  <si>
    <t>0053043659</t>
  </si>
  <si>
    <t>DOXEPIN 25MG CP</t>
  </si>
  <si>
    <t>0053043675</t>
  </si>
  <si>
    <t>DOXEPIN 50MG CP</t>
  </si>
  <si>
    <t>0053043881</t>
  </si>
  <si>
    <t>DOXYCYCLINE 50MG CP</t>
  </si>
  <si>
    <t>DOXYCYCLINE50CP</t>
  </si>
  <si>
    <t>0053043923</t>
  </si>
  <si>
    <t>DOXYCYCLINE 100MG CP</t>
  </si>
  <si>
    <t>DOXYCYCLIN100CP</t>
  </si>
  <si>
    <t>0053044053</t>
  </si>
  <si>
    <t>DRONEDARONE 400MG TB</t>
  </si>
  <si>
    <t>DRONEDAR400MGTB</t>
  </si>
  <si>
    <t>0053044103</t>
  </si>
  <si>
    <t>DULOXETINE 20MG XR CP</t>
  </si>
  <si>
    <t>DULOXETIN20XRCP</t>
  </si>
  <si>
    <t>0053044111</t>
  </si>
  <si>
    <t>DULOXETINE 30MG XR CP</t>
  </si>
  <si>
    <t>DULOXETIN30XRCP</t>
  </si>
  <si>
    <t>0053044152</t>
  </si>
  <si>
    <t>DUTASTERIDE .5MG CP</t>
  </si>
  <si>
    <t>DUTASTERID.5 CP</t>
  </si>
  <si>
    <t>0053044343</t>
  </si>
  <si>
    <t>ENALAPRIL 2.5MG TB</t>
  </si>
  <si>
    <t>ENALAPRIL2.5 TB</t>
  </si>
  <si>
    <t>0053044376</t>
  </si>
  <si>
    <t>ENALAPRIL 5MG TB</t>
  </si>
  <si>
    <t xml:space="preserve">ENALAPRIL 5 TB </t>
  </si>
  <si>
    <t>0053044392</t>
  </si>
  <si>
    <t>ENALAPRIL 10MG TB</t>
  </si>
  <si>
    <t>ENALAPRIL 10 TB</t>
  </si>
  <si>
    <t>0053044400</t>
  </si>
  <si>
    <t>ENALAPRIL 20MG TB</t>
  </si>
  <si>
    <t>ENALAPRIL 20 TB</t>
  </si>
  <si>
    <t>0053044558</t>
  </si>
  <si>
    <t>EMTRICITBINE/TENFOVIR TB</t>
  </si>
  <si>
    <t>EMTRICIT/TEN TB</t>
  </si>
  <si>
    <t>0053044566</t>
  </si>
  <si>
    <t>EMTRICITABINE 200MG CP</t>
  </si>
  <si>
    <t>EMTRICITAB200CP</t>
  </si>
  <si>
    <t>0053044608</t>
  </si>
  <si>
    <t>ENTACAPONE 200MG TB</t>
  </si>
  <si>
    <t>ENTACAPONE200TB</t>
  </si>
  <si>
    <t>0053044699</t>
  </si>
  <si>
    <t>ERGOCALCIFEROL 50000U CP</t>
  </si>
  <si>
    <t>ERGOCA50000U CP</t>
  </si>
  <si>
    <t>0053044723</t>
  </si>
  <si>
    <t>EMPAGLIFLOZIN 25MG TB</t>
  </si>
  <si>
    <t>EMPAGLIFLZ 25TB</t>
  </si>
  <si>
    <t>0053044756</t>
  </si>
  <si>
    <t>EMPAGLIFLOZIN 10MG TB</t>
  </si>
  <si>
    <t>EMPAGLIFLZ 10TB</t>
  </si>
  <si>
    <t>0053046470</t>
  </si>
  <si>
    <t>ERYTHROMYC BASE 250MG TB</t>
  </si>
  <si>
    <t>ERYTH BASE250TB</t>
  </si>
  <si>
    <t>0053046512</t>
  </si>
  <si>
    <t>ERYTHROMYC BASE 250 ECTB</t>
  </si>
  <si>
    <t>ERYTHR250 EC TB</t>
  </si>
  <si>
    <t>0053046652</t>
  </si>
  <si>
    <t>ESCITALOPRAM 10MG TB</t>
  </si>
  <si>
    <t>ESCITALOPAM10TB</t>
  </si>
  <si>
    <t>0053046660</t>
  </si>
  <si>
    <t>ESCITALOPRAM 20MG TB</t>
  </si>
  <si>
    <t>ESCITALOPAM20TB</t>
  </si>
  <si>
    <t>0053046736</t>
  </si>
  <si>
    <t>ESTRADIOL 0.5MG TB</t>
  </si>
  <si>
    <t>ESTRADIOL .5 TB</t>
  </si>
  <si>
    <t>0053046744</t>
  </si>
  <si>
    <t>ESTRADIOL 1MG TB</t>
  </si>
  <si>
    <t xml:space="preserve">ESTRADIOL 1 TB </t>
  </si>
  <si>
    <t>0053047742</t>
  </si>
  <si>
    <t>ETHAMBUTOL 400MG TB</t>
  </si>
  <si>
    <t>ETHAMBUTL400 TB</t>
  </si>
  <si>
    <t>0053048757</t>
  </si>
  <si>
    <t>EZETIMIBE 10MG TB</t>
  </si>
  <si>
    <t>EZETIMIBE 10 TB</t>
  </si>
  <si>
    <t>0053049003</t>
  </si>
  <si>
    <t>FAMOTIDINE 20MG TB</t>
  </si>
  <si>
    <t>FAMOTIDINE 20TB</t>
  </si>
  <si>
    <t>0053049110</t>
  </si>
  <si>
    <t>FEBUXOSTAT 40MG TB</t>
  </si>
  <si>
    <t>FEBUXOS 40MG TB</t>
  </si>
  <si>
    <t>0053049201</t>
  </si>
  <si>
    <t>FELODIPINE 5MG XR TB</t>
  </si>
  <si>
    <t>FELODIPINE5XRTB</t>
  </si>
  <si>
    <t>0053049334</t>
  </si>
  <si>
    <t>FENOFIBRATE 48MG TB</t>
  </si>
  <si>
    <t xml:space="preserve">FENOFIBRT48 TB </t>
  </si>
  <si>
    <t>0053049375</t>
  </si>
  <si>
    <t>FENOFIBRATE 160MG TB</t>
  </si>
  <si>
    <t>FENOFIBRT160 TB</t>
  </si>
  <si>
    <t>0053049383</t>
  </si>
  <si>
    <t>FENOFIBRATE 145MG TB</t>
  </si>
  <si>
    <t>FENOFIBRT145 TB</t>
  </si>
  <si>
    <t>0053050134</t>
  </si>
  <si>
    <t>FERROUS GLUCONT 325MG TB</t>
  </si>
  <si>
    <t xml:space="preserve">FE GLUC 325 TB </t>
  </si>
  <si>
    <t>0053050175</t>
  </si>
  <si>
    <t>FERROUS GLUCONT 300MG TB</t>
  </si>
  <si>
    <t xml:space="preserve">FE GLUC 300 TB </t>
  </si>
  <si>
    <t>0053050423</t>
  </si>
  <si>
    <t>FERROUS SULF 160MG XR TB</t>
  </si>
  <si>
    <t>FE SULF 160XRTB</t>
  </si>
  <si>
    <t>0053050449</t>
  </si>
  <si>
    <t>FERROUS SULFATE 325MG TB</t>
  </si>
  <si>
    <t xml:space="preserve">FE SULF 325TB  </t>
  </si>
  <si>
    <t>0053050563</t>
  </si>
  <si>
    <t>FE CARBONYL 45MG TB</t>
  </si>
  <si>
    <t>FE CARBONL45 TB</t>
  </si>
  <si>
    <t>0053050621</t>
  </si>
  <si>
    <t>FEXOFENADINE 60MG TB</t>
  </si>
  <si>
    <t xml:space="preserve">FEXOFENAD60 TB </t>
  </si>
  <si>
    <t>0053050662</t>
  </si>
  <si>
    <t>FINASTERIDE 5MG TB</t>
  </si>
  <si>
    <t>FINASTERIDE5 TB</t>
  </si>
  <si>
    <t>0053050696</t>
  </si>
  <si>
    <t>FIDAXOMICIN 200MG TB</t>
  </si>
  <si>
    <t>FIDAXOM 200MGTB</t>
  </si>
  <si>
    <t>0053050845</t>
  </si>
  <si>
    <t>FLECAINIDE 50MG TB</t>
  </si>
  <si>
    <t>FLECAINIDE 50TB</t>
  </si>
  <si>
    <t>0053050852</t>
  </si>
  <si>
    <t>FLECAINIDE 100MG TB</t>
  </si>
  <si>
    <t>FLECAINIDE100TB</t>
  </si>
  <si>
    <t>0053050969</t>
  </si>
  <si>
    <t>FLUCONAZOLE 100MG TB</t>
  </si>
  <si>
    <t>FLUCONAZL100 TB</t>
  </si>
  <si>
    <t>0053051298</t>
  </si>
  <si>
    <t>FLUDROCORTISONE .1MG TB</t>
  </si>
  <si>
    <t>FLUDROCORT.1 TB</t>
  </si>
  <si>
    <t>0053051595</t>
  </si>
  <si>
    <t>FLUOXETINE 10MG CP</t>
  </si>
  <si>
    <t>FLUOXETIN10MGCP</t>
  </si>
  <si>
    <t>0053051603</t>
  </si>
  <si>
    <t>FLUOXETINE 20MG CP</t>
  </si>
  <si>
    <t>FLUOXETIN20MGCP</t>
  </si>
  <si>
    <t>0053052338</t>
  </si>
  <si>
    <t>FOLIC ACID 1MG TB</t>
  </si>
  <si>
    <t xml:space="preserve">FOLIC AC 1 TB  </t>
  </si>
  <si>
    <t>0053052395</t>
  </si>
  <si>
    <t>FOSFOMYCIN 3GM PWLQ</t>
  </si>
  <si>
    <t>FOSFOMYC3GMPWLQ</t>
  </si>
  <si>
    <t>0053052403</t>
  </si>
  <si>
    <t>FOSINOPRIL 10MG TB</t>
  </si>
  <si>
    <t>FOSINOPRIL10 TB</t>
  </si>
  <si>
    <t>0053052791</t>
  </si>
  <si>
    <t>FUROSEMIDE 20MG TB</t>
  </si>
  <si>
    <t>FUROSEMIDE20 TB</t>
  </si>
  <si>
    <t>0053052833</t>
  </si>
  <si>
    <t>FUROSEMIDE 40MG TB</t>
  </si>
  <si>
    <t>FUROSEMIDE40 TB</t>
  </si>
  <si>
    <t>0053052908</t>
  </si>
  <si>
    <t>GABAPENTIN 100MG CP</t>
  </si>
  <si>
    <t>GABAPENTN100 CP</t>
  </si>
  <si>
    <t>0053052916</t>
  </si>
  <si>
    <t>GABAPENTIN 300MG CP</t>
  </si>
  <si>
    <t>GABAPENTN300 CP</t>
  </si>
  <si>
    <t>0053052924</t>
  </si>
  <si>
    <t>GABAPENTIN 400MG CP</t>
  </si>
  <si>
    <t>GABAPENTN400 CP</t>
  </si>
  <si>
    <t>0053052999</t>
  </si>
  <si>
    <t>GALANTAMINE 4MG TB</t>
  </si>
  <si>
    <t>GALANTAMIN4MGTB</t>
  </si>
  <si>
    <t>0053053112</t>
  </si>
  <si>
    <t>GEMFIBROZIL 600MG TB</t>
  </si>
  <si>
    <t>GEMFIBROZL600TB</t>
  </si>
  <si>
    <t>0053053203</t>
  </si>
  <si>
    <t>GLIMEPIRIDE 1MG TB</t>
  </si>
  <si>
    <t>GLIMEPIRIDE 1TB</t>
  </si>
  <si>
    <t>0053053211</t>
  </si>
  <si>
    <t>GLIMEPIRIDE 2MG TB</t>
  </si>
  <si>
    <t>GLIMEPIRIDE 2TB</t>
  </si>
  <si>
    <t>0053053229</t>
  </si>
  <si>
    <t>GLIMEPIRIDE 4MG TB</t>
  </si>
  <si>
    <t>GLIMEPIRIDE 4TB</t>
  </si>
  <si>
    <t>0053053443</t>
  </si>
  <si>
    <t>GLIPIZIDE 2.5MG XR TB</t>
  </si>
  <si>
    <t>GLIPZIDE2.5XRTB</t>
  </si>
  <si>
    <t>0053053450</t>
  </si>
  <si>
    <t>GLIPIZIDE 5MG TB</t>
  </si>
  <si>
    <t>GLIPIZIDE 5MGTB</t>
  </si>
  <si>
    <t>0053053468</t>
  </si>
  <si>
    <t>GLIPIZID5MGXRTB</t>
  </si>
  <si>
    <t>0053053500</t>
  </si>
  <si>
    <t>GLUCOS/CHOND500/400MG CP</t>
  </si>
  <si>
    <t>GL/CH500/400 CP</t>
  </si>
  <si>
    <t>0053054110</t>
  </si>
  <si>
    <t>GLYBURIDE 2.5MG TB</t>
  </si>
  <si>
    <t>GLYBUR 2.5MG TB</t>
  </si>
  <si>
    <t>0053054136</t>
  </si>
  <si>
    <t>GLYBURIDE 5MG TB</t>
  </si>
  <si>
    <t xml:space="preserve">GLYBUR 5MG TB  </t>
  </si>
  <si>
    <t>0053054292</t>
  </si>
  <si>
    <t>GLYCOPYRROLATE 1MG TB</t>
  </si>
  <si>
    <t>GLYCOPYRROL1 TB</t>
  </si>
  <si>
    <t>0053054813</t>
  </si>
  <si>
    <t>GUAIFENESIN 600MG XR TB</t>
  </si>
  <si>
    <t>GUAF 600MG X TB</t>
  </si>
  <si>
    <t>0053055406</t>
  </si>
  <si>
    <t>GUANFACINE 1MG TB</t>
  </si>
  <si>
    <t xml:space="preserve">GUANFACIN1MGTB </t>
  </si>
  <si>
    <t>0053056107</t>
  </si>
  <si>
    <t>HALOPERIDOL .5MG TB</t>
  </si>
  <si>
    <t>HALOPERD.5MG TB</t>
  </si>
  <si>
    <t>0053056222</t>
  </si>
  <si>
    <t>HALOPERIDOL 5MG TB</t>
  </si>
  <si>
    <t>HALOPERD 5MG TB</t>
  </si>
  <si>
    <t>0053056727</t>
  </si>
  <si>
    <t>HYDRALAZINE 10MG TB</t>
  </si>
  <si>
    <t>HYDRALAZINE10TB</t>
  </si>
  <si>
    <t>0053056768</t>
  </si>
  <si>
    <t>HYDRALAZINE 25MG TB</t>
  </si>
  <si>
    <t>HYDRALAZINE25TB</t>
  </si>
  <si>
    <t>0053056800</t>
  </si>
  <si>
    <t>HYDRALAZINE 50MG TB</t>
  </si>
  <si>
    <t>HYDRALAZINE50TB</t>
  </si>
  <si>
    <t>0053057147</t>
  </si>
  <si>
    <t>HCTZ 12.5MG CP</t>
  </si>
  <si>
    <t xml:space="preserve">HCTZ 12.5MG CP </t>
  </si>
  <si>
    <t>0053057154</t>
  </si>
  <si>
    <t>HCTZ 25MG TB</t>
  </si>
  <si>
    <t xml:space="preserve">HCTZ 25MG TB   </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</si>
  <si>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</si>
  <si>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</si>
  <si>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</si>
  <si>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</si>
  <si>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</si>
  <si>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</si>
  <si>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</si>
  <si>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</si>
  <si>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</si>
  <si>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</si>
  <si>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</si>
  <si>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</si>
  <si>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0053058111</t>
  </si>
  <si>
    <t>HYDROXYUREA 500MG CP</t>
  </si>
  <si>
    <t>HYDROXYURE500CP</t>
  </si>
  <si>
    <t>0053058301</t>
  </si>
  <si>
    <t>HYDROXYZINE 10MG TB</t>
  </si>
  <si>
    <t xml:space="preserve">HYDROXYZIN10TB </t>
  </si>
  <si>
    <t>0053058350</t>
  </si>
  <si>
    <t>HYDROXYZINE 25MG TB</t>
  </si>
  <si>
    <t xml:space="preserve">HYDROXYZIN25TB </t>
  </si>
  <si>
    <t>0053058657</t>
  </si>
  <si>
    <t>HYOSCYAMINE .125MG TB</t>
  </si>
  <si>
    <t xml:space="preserve">HYOSCYAM.125TB </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</si>
  <si>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</si>
  <si>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</si>
  <si>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</si>
  <si>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</si>
  <si>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</si>
  <si>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</si>
  <si>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</si>
  <si>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</si>
  <si>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</si>
  <si>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</si>
  <si>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</si>
  <si>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</si>
  <si>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0053059499</t>
  </si>
  <si>
    <t>IMIPRAMINE 10MG TB</t>
  </si>
  <si>
    <t xml:space="preserve">IMIPRAMINE10TB </t>
  </si>
  <si>
    <t>0053059507</t>
  </si>
  <si>
    <t>IMIPRAMINE 25MG TB</t>
  </si>
  <si>
    <t xml:space="preserve">IMIPRAMINE25TB </t>
  </si>
  <si>
    <t>0053059770</t>
  </si>
  <si>
    <t>INDAPAMIDE 2.5MG TB</t>
  </si>
  <si>
    <t>INDAPAM2.5MG TB</t>
  </si>
  <si>
    <t>0053060000</t>
  </si>
  <si>
    <t>INDOMETHACIN 25MG CP</t>
  </si>
  <si>
    <t xml:space="preserve">INDOMETHAC25CP </t>
  </si>
  <si>
    <t>0053060042</t>
  </si>
  <si>
    <t>INDOMETHACIN 50MG CP</t>
  </si>
  <si>
    <t xml:space="preserve">INDOMETHAC50CP </t>
  </si>
  <si>
    <t>0053060513</t>
  </si>
  <si>
    <t>IRBESARTAN 150MG TB</t>
  </si>
  <si>
    <t>IRBESARTAN150TB</t>
  </si>
  <si>
    <t>0053061008</t>
  </si>
  <si>
    <t>ISONIAZID 300MG TB</t>
  </si>
  <si>
    <t>ISONIAZID300 TB</t>
  </si>
  <si>
    <t>0053061776</t>
  </si>
  <si>
    <t>ISOSORBIDE DN 10MG TB</t>
  </si>
  <si>
    <t>ISOSOR DN 10 TB</t>
  </si>
  <si>
    <t>0053061818</t>
  </si>
  <si>
    <t>ISOSORBIDE DN 20MG TB</t>
  </si>
  <si>
    <t>ISOSOR DN 20 TB</t>
  </si>
  <si>
    <t>0053061826</t>
  </si>
  <si>
    <t>ISOSORBIDE MN 20MG TB</t>
  </si>
  <si>
    <t>ISOSORB MN 20TB</t>
  </si>
  <si>
    <t>0053061842</t>
  </si>
  <si>
    <t>ISOSORBIDE MN 30MG XR TB</t>
  </si>
  <si>
    <t>ISOSORB MN 30TB</t>
  </si>
  <si>
    <t>0053061867</t>
  </si>
  <si>
    <t>ISOSORBIDE MN 60MG XR TB</t>
  </si>
  <si>
    <t xml:space="preserve">IMDUR 60MG     </t>
  </si>
  <si>
    <t>0053062576</t>
  </si>
  <si>
    <t>ITRACONAZOLE 100MG CP</t>
  </si>
  <si>
    <t>ITRACONAZL100CP</t>
  </si>
  <si>
    <t>0053062618</t>
  </si>
  <si>
    <t>IVERMECTIN 3MG TB</t>
  </si>
  <si>
    <t>IVERMECTIN3MGTB</t>
  </si>
  <si>
    <t>0053063004</t>
  </si>
  <si>
    <t>KETOROLAC 10MG TB</t>
  </si>
  <si>
    <t>KETORLAC10MG TB</t>
  </si>
  <si>
    <t>0053063202</t>
  </si>
  <si>
    <t>LABETALOL 100MG TB</t>
  </si>
  <si>
    <t>LABETALOL100 TB</t>
  </si>
  <si>
    <t>0053063210</t>
  </si>
  <si>
    <t>LABETALOL 200MG TB</t>
  </si>
  <si>
    <t>LABETALOL200 TB</t>
  </si>
  <si>
    <t>0053063434</t>
  </si>
  <si>
    <t>LACTOBACILLUS TB/CP</t>
  </si>
  <si>
    <t>LACTBCLLS TB/CP</t>
  </si>
  <si>
    <t>0053063467</t>
  </si>
  <si>
    <t>LAMOTRIGINE 25MG TB</t>
  </si>
  <si>
    <t>LAMOTRG 25MG TB</t>
  </si>
  <si>
    <t>0053063483</t>
  </si>
  <si>
    <t>LAMOTRIGINE 150MG TB</t>
  </si>
  <si>
    <t>LAMOTRG150MG TB</t>
  </si>
  <si>
    <t>0053063491</t>
  </si>
  <si>
    <t>LAMOTRIGINE 200MG TB</t>
  </si>
  <si>
    <t>LAMOTRG200MG TB</t>
  </si>
  <si>
    <t>0053063590</t>
  </si>
  <si>
    <t>LANTHANUM CARB1000MG CTB</t>
  </si>
  <si>
    <t>LANTHANU1000CTB</t>
  </si>
  <si>
    <t>0053063616</t>
  </si>
  <si>
    <t>LANTHANUM CARB 500MG CTB</t>
  </si>
  <si>
    <t>LANTHANUM500CTB</t>
  </si>
  <si>
    <t>0053063632</t>
  </si>
  <si>
    <t>LEFLUNOMIDE 10MG TB</t>
  </si>
  <si>
    <t xml:space="preserve">LEFLUNOM10MGTB </t>
  </si>
  <si>
    <t>0053063640</t>
  </si>
  <si>
    <t>LEFLUNOMIDE 20MG TB</t>
  </si>
  <si>
    <t xml:space="preserve">LEFLUNOM20MGTB </t>
  </si>
  <si>
    <t>0053063681</t>
  </si>
  <si>
    <t>LETROZOLE 2.5MG TB</t>
  </si>
  <si>
    <t>LETROZOL2.5MGTB</t>
  </si>
  <si>
    <t>0053064051</t>
  </si>
  <si>
    <t>LEVETIRACETAM 250MG TB</t>
  </si>
  <si>
    <t>LEVETIRA250MGTB</t>
  </si>
  <si>
    <t>0053064069</t>
  </si>
  <si>
    <t>LEVETIRACETAM 500MG TB</t>
  </si>
  <si>
    <t>LEVETIRA500MGTB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</si>
  <si>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</si>
  <si>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</si>
  <si>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</si>
  <si>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</si>
  <si>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</si>
  <si>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</si>
  <si>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</si>
  <si>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</si>
  <si>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</si>
  <si>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</si>
  <si>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</si>
  <si>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</si>
  <si>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</si>
  <si>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</si>
  <si>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</si>
  <si>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</si>
  <si>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</si>
  <si>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</si>
  <si>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0053064556</t>
  </si>
  <si>
    <t>LEVOTHYROXIN .15MG TB</t>
  </si>
  <si>
    <t>LEVOTHY .15MGTB</t>
  </si>
  <si>
    <t>0053064564</t>
  </si>
  <si>
    <t>LEVOTHYROXIN .112MG TB</t>
  </si>
  <si>
    <t>LEVOTHY.112MGTB</t>
  </si>
  <si>
    <t>0053064572</t>
  </si>
  <si>
    <t>LEVOTHYROXIN .137MG TB</t>
  </si>
  <si>
    <t>LEVOTHY.137MGTB</t>
  </si>
  <si>
    <t>0053064580</t>
  </si>
  <si>
    <t>LEVOTHYROXIN .125MG TB</t>
  </si>
  <si>
    <t>LEVOTHY.125MGTB</t>
  </si>
  <si>
    <t>0053064598</t>
  </si>
  <si>
    <t>LEVOTHYROXIN .1MG TB</t>
  </si>
  <si>
    <t xml:space="preserve">LEVOTHY .1MGTB </t>
  </si>
  <si>
    <t>0053064606</t>
  </si>
  <si>
    <t>LEVOTHYROXIN .175MG TB</t>
  </si>
  <si>
    <t>LEVOTHY.175MGTB</t>
  </si>
  <si>
    <t>0053064630</t>
  </si>
  <si>
    <t>LEVOTHYROXIN .2MG TB</t>
  </si>
  <si>
    <t xml:space="preserve">LEVOTHY .2MGTB </t>
  </si>
  <si>
    <t>0053065017</t>
  </si>
  <si>
    <t>LINEZOLID 600MG TB</t>
  </si>
  <si>
    <t xml:space="preserve">LINEZOLID600TB </t>
  </si>
  <si>
    <t>0053065132</t>
  </si>
  <si>
    <t>LIOTHYRONINE 5MCG TB</t>
  </si>
  <si>
    <t>LIOTHYRON5MCGTB</t>
  </si>
  <si>
    <t>0053066015</t>
  </si>
  <si>
    <t>PANCRELIP 5-17-27 XRCP</t>
  </si>
  <si>
    <t>DIG ENZ 5K XRCP</t>
  </si>
  <si>
    <t>0053066148</t>
  </si>
  <si>
    <t>PANCRELIP 5-17-24 XRCP</t>
  </si>
  <si>
    <t>PANCRELIP 5-17-</t>
  </si>
  <si>
    <t>0053066353</t>
  </si>
  <si>
    <t>LISINOPRIL 5MG TB</t>
  </si>
  <si>
    <t>LISINOPRIL5MGTB</t>
  </si>
  <si>
    <t>0053066361</t>
  </si>
  <si>
    <t>LISINOPRIL 10MG TB</t>
  </si>
  <si>
    <t>LISINOPRL10MGTB</t>
  </si>
  <si>
    <t>0053066379</t>
  </si>
  <si>
    <t>LISINOPRIL 20MG TB</t>
  </si>
  <si>
    <t>LISINOPRL20MGTB</t>
  </si>
  <si>
    <t>0053066528</t>
  </si>
  <si>
    <t>LITHIUM 300MG TB</t>
  </si>
  <si>
    <t>LITHIUM300MG TB</t>
  </si>
  <si>
    <t>0053066759</t>
  </si>
  <si>
    <t>LITHIUM 300MG CP</t>
  </si>
  <si>
    <t>LITHIUM300MG CP</t>
  </si>
  <si>
    <t>0053067294</t>
  </si>
  <si>
    <t>LOPERAMIDE 2MG CP</t>
  </si>
  <si>
    <t>LOPERAMIDE2MGCP</t>
  </si>
  <si>
    <t>0053067401</t>
  </si>
  <si>
    <t>LORATADINE 10MG TB</t>
  </si>
  <si>
    <t>LORATADINE 10TB</t>
  </si>
  <si>
    <t>0053067419</t>
  </si>
  <si>
    <t>LORATADIN/PSE 5/120XR TB</t>
  </si>
  <si>
    <t>LOR/PS5/120XRTB</t>
  </si>
  <si>
    <t>0053067492</t>
  </si>
  <si>
    <t>LORAZEPAM .5MG TB</t>
  </si>
  <si>
    <t>LORAZEPAM.5MGTB</t>
  </si>
  <si>
    <t>0053067526</t>
  </si>
  <si>
    <t>LORAZEPAM 1MG TB</t>
  </si>
  <si>
    <t>LORAZEPAM1MG TB</t>
  </si>
  <si>
    <t>0053067567</t>
  </si>
  <si>
    <t>LORAZEPAM 2MG TB</t>
  </si>
  <si>
    <t>LORAZEPAM2MG TB</t>
  </si>
  <si>
    <t>0053067575</t>
  </si>
  <si>
    <t>LOSARTAN 50MG TB</t>
  </si>
  <si>
    <t xml:space="preserve">LOSARTAN50MGTB </t>
  </si>
  <si>
    <t>0053067591</t>
  </si>
  <si>
    <t>LOSARTAN 25MG TB</t>
  </si>
  <si>
    <t xml:space="preserve">LOSARTAN25MGTB </t>
  </si>
  <si>
    <t>0053067609</t>
  </si>
  <si>
    <t>LOVASTATIN 20MG TB</t>
  </si>
  <si>
    <t xml:space="preserve">LOVASTATIN20TB </t>
  </si>
  <si>
    <t>0053067617</t>
  </si>
  <si>
    <t>LOVASTATIN 10MG TB</t>
  </si>
  <si>
    <t xml:space="preserve">LOVASTATIN10TB </t>
  </si>
  <si>
    <t>0053067989</t>
  </si>
  <si>
    <t>LURASIDONE 40MG TB</t>
  </si>
  <si>
    <t>LURASIDON40MGTB</t>
  </si>
  <si>
    <t>0053068326</t>
  </si>
  <si>
    <t>MG CL 64MG XR TB</t>
  </si>
  <si>
    <t>MAG CL 64MGXRTB</t>
  </si>
  <si>
    <t>0053068557</t>
  </si>
  <si>
    <t>MAGNESIUM OXIDE 400MG TB</t>
  </si>
  <si>
    <t>MG OXID400MG TB</t>
  </si>
  <si>
    <t>0053069688</t>
  </si>
  <si>
    <t>MECLIZINE 12.5MG TB</t>
  </si>
  <si>
    <t>MECLIZINE12.5TB</t>
  </si>
  <si>
    <t>0053069720</t>
  </si>
  <si>
    <t>MECLIZINE TAB 25MG TB</t>
  </si>
  <si>
    <t>MECLIZINE 255TB</t>
  </si>
  <si>
    <t>0053070223</t>
  </si>
  <si>
    <t>MEDROXYPROGEST 2.5MG TB</t>
  </si>
  <si>
    <t>MEDROXYPRO2.5TB</t>
  </si>
  <si>
    <t>0053070769</t>
  </si>
  <si>
    <t>MEGESTROL 40MG TB</t>
  </si>
  <si>
    <t>MEGESTROL 40 TB</t>
  </si>
  <si>
    <t>0053070793</t>
  </si>
  <si>
    <t>MELATONIN 1MG TB</t>
  </si>
  <si>
    <t xml:space="preserve">MELATONIN1MGTB </t>
  </si>
  <si>
    <t>0053070801</t>
  </si>
  <si>
    <t>MELATONIN 3MG TB</t>
  </si>
  <si>
    <t>MELATONIN3MG TB</t>
  </si>
  <si>
    <t>0053070827</t>
  </si>
  <si>
    <t>MELATONIN 5MG TB</t>
  </si>
  <si>
    <t>MELATONIN 5MGTB</t>
  </si>
  <si>
    <t>0053070959</t>
  </si>
  <si>
    <t>MELOXICAM 7.5MG TB</t>
  </si>
  <si>
    <t>MELOXICAM7.5 TB</t>
  </si>
  <si>
    <t>0053071106</t>
  </si>
  <si>
    <t>MEMANTINE 5MG TB</t>
  </si>
  <si>
    <t xml:space="preserve">MEMANTINE 5 TB </t>
  </si>
  <si>
    <t>0053071122</t>
  </si>
  <si>
    <t>MEMANTINE 7MG XR CP</t>
  </si>
  <si>
    <t>MEMANTINE 7XRCP</t>
  </si>
  <si>
    <t>0053071130</t>
  </si>
  <si>
    <t>MEMANTINE 14MG XR CP</t>
  </si>
  <si>
    <t>MEMANTINE14XRCP</t>
  </si>
  <si>
    <t>0053072765</t>
  </si>
  <si>
    <t>MERCAPTOPURINE 50MG TB</t>
  </si>
  <si>
    <t>MERCAPTOPUR50TB</t>
  </si>
  <si>
    <t>0053072781</t>
  </si>
  <si>
    <t>MESALAMINE 400MG XR CP</t>
  </si>
  <si>
    <t>MESALAM400XR CP</t>
  </si>
  <si>
    <t>0053073607</t>
  </si>
  <si>
    <t>METFORMIN 500MG TB</t>
  </si>
  <si>
    <t xml:space="preserve">METFORMIN500TB </t>
  </si>
  <si>
    <t>0053073615</t>
  </si>
  <si>
    <t>METFORMIN 850MG TB</t>
  </si>
  <si>
    <t>METFORMIN850 TB</t>
  </si>
  <si>
    <t>0053073623</t>
  </si>
  <si>
    <t>METFORMIN 500MG XR TB</t>
  </si>
  <si>
    <t>METFORMN500XRTB</t>
  </si>
  <si>
    <t>0053074803</t>
  </si>
  <si>
    <t>METHENAMINE HIP 1GM TB</t>
  </si>
  <si>
    <t>METHENAM HIP1TB</t>
  </si>
  <si>
    <t>0053075057</t>
  </si>
  <si>
    <t>METHIMAZOLE 5MG TB</t>
  </si>
  <si>
    <t>METHIMAZOL 5 TB</t>
  </si>
  <si>
    <t>0053075073</t>
  </si>
  <si>
    <t>METHIMAZOLE 10MG TB</t>
  </si>
  <si>
    <t>METHIMAZOL10 TB</t>
  </si>
  <si>
    <t>0053075305</t>
  </si>
  <si>
    <t>METHOCARBAMOL 500MG TB</t>
  </si>
  <si>
    <t>METHOCARB500 TB</t>
  </si>
  <si>
    <t>0053075347</t>
  </si>
  <si>
    <t>METHOCARBAMOL 750MG TB</t>
  </si>
  <si>
    <t>METHOCARB750 TB</t>
  </si>
  <si>
    <t>0053075610</t>
  </si>
  <si>
    <t>METHOTREXATE 2.5MG TB</t>
  </si>
  <si>
    <t>METHOTREX2.5 TB</t>
  </si>
  <si>
    <t>0053076584</t>
  </si>
  <si>
    <t>METHYLPRED 4MG TB</t>
  </si>
  <si>
    <t>METHYLPRED4MGTB</t>
  </si>
  <si>
    <t>0053077319</t>
  </si>
  <si>
    <t>METOCLOPRAMIDE 10MG TB</t>
  </si>
  <si>
    <t>METOCLOPRAM10TB</t>
  </si>
  <si>
    <t>0053077582</t>
  </si>
  <si>
    <t>METOLAZONE 2.5MG TB</t>
  </si>
  <si>
    <t>METOLAZON2.5 TB</t>
  </si>
  <si>
    <t>0053077624</t>
  </si>
  <si>
    <t>METOLAZONE 5MG TB</t>
  </si>
  <si>
    <t xml:space="preserve">METOLAZONE5 TB </t>
  </si>
  <si>
    <t>0053077855</t>
  </si>
  <si>
    <t>METOPROLOL 50MG TB</t>
  </si>
  <si>
    <t xml:space="preserve">METOPROLOL50TB </t>
  </si>
  <si>
    <t>0053077863</t>
  </si>
  <si>
    <t>METOPROLOL 50MG XR TB</t>
  </si>
  <si>
    <t xml:space="preserve">METOPROL50XRTB </t>
  </si>
  <si>
    <t>0053077871</t>
  </si>
  <si>
    <t>METOPROLOL 100MG XR TB</t>
  </si>
  <si>
    <t>METOPROL100XRTB</t>
  </si>
  <si>
    <t>0053077897</t>
  </si>
  <si>
    <t>METOPROLOL 100MG TB</t>
  </si>
  <si>
    <t>METOPROLOL100TB</t>
  </si>
  <si>
    <t>0053077913</t>
  </si>
  <si>
    <t>METOPROLOL 25MG TB</t>
  </si>
  <si>
    <t xml:space="preserve">METOPROLOL25TB </t>
  </si>
  <si>
    <t>0053077921</t>
  </si>
  <si>
    <t>METOPROLOL 25MG XR TB</t>
  </si>
  <si>
    <t xml:space="preserve">METOPROL25XRTB </t>
  </si>
  <si>
    <t>0053078127</t>
  </si>
  <si>
    <t>METRONIDAZOLE 250MG TB</t>
  </si>
  <si>
    <t>METRONIDZ250 TB</t>
  </si>
  <si>
    <t>0053078150</t>
  </si>
  <si>
    <t>METRONIDAZOLE 500MG TB</t>
  </si>
  <si>
    <t>METRONIDZ500 TB</t>
  </si>
  <si>
    <t>0053078366</t>
  </si>
  <si>
    <t>MEXILETINE 150MG CP</t>
  </si>
  <si>
    <t>MEXILETINE150CP</t>
  </si>
  <si>
    <t>0053078416</t>
  </si>
  <si>
    <t>MIDODRINE 2.5MG TB</t>
  </si>
  <si>
    <t xml:space="preserve">MIDODRINE2.5TB </t>
  </si>
  <si>
    <t>0053078424</t>
  </si>
  <si>
    <t>MIDODRINE 5MG TB</t>
  </si>
  <si>
    <t xml:space="preserve">MIDODRINE5MGTB </t>
  </si>
  <si>
    <t>0053078440</t>
  </si>
  <si>
    <t>MIDODRINE 10MG TB</t>
  </si>
  <si>
    <t>MIDODRINE10MGTB</t>
  </si>
  <si>
    <t>0053078614</t>
  </si>
  <si>
    <t>MINOCYCLINE 100MG CP</t>
  </si>
  <si>
    <t>MINOCYCLIN100CP</t>
  </si>
  <si>
    <t>0053078770</t>
  </si>
  <si>
    <t>MIRTAZAPINE 15MG DT</t>
  </si>
  <si>
    <t xml:space="preserve">MIRTAZAPN15 DT </t>
  </si>
  <si>
    <t>0053078796</t>
  </si>
  <si>
    <t>MIRTAZAPINE 30MG TB</t>
  </si>
  <si>
    <t xml:space="preserve">MIRTAZAPN30 TB </t>
  </si>
  <si>
    <t>0053078804</t>
  </si>
  <si>
    <t>MIRTAZAPINE 15MG TB</t>
  </si>
  <si>
    <t xml:space="preserve">MIRTAZAPN15 TB </t>
  </si>
  <si>
    <t>0053078812</t>
  </si>
  <si>
    <t>MINOXIDIL 2.5MG TB</t>
  </si>
  <si>
    <t xml:space="preserve">MINOXID2.5MGTB </t>
  </si>
  <si>
    <t>0053078838</t>
  </si>
  <si>
    <t>MODAFINIL 100MG TB</t>
  </si>
  <si>
    <t>MODAFINIL 100TB</t>
  </si>
  <si>
    <t>0053078895</t>
  </si>
  <si>
    <t>MINOXIDIL 10MG TB</t>
  </si>
  <si>
    <t>MINOXIDIL10MGTB</t>
  </si>
  <si>
    <t>0053078903</t>
  </si>
  <si>
    <t>MISOPROSTOL 100MCG TB</t>
  </si>
  <si>
    <t>MISOPROST100 TB</t>
  </si>
  <si>
    <t>0053079034</t>
  </si>
  <si>
    <t>MONTELUKAST 10MG TB</t>
  </si>
  <si>
    <t>MONTELUK10MG TB</t>
  </si>
  <si>
    <t>0053079125</t>
  </si>
  <si>
    <t>MVI THERAP TB</t>
  </si>
  <si>
    <t xml:space="preserve">MVI THERAP TB  </t>
  </si>
  <si>
    <t>0053079430</t>
  </si>
  <si>
    <t>MVI MIN TB</t>
  </si>
  <si>
    <t xml:space="preserve">MVI MIN TB     </t>
  </si>
  <si>
    <t>0053079562</t>
  </si>
  <si>
    <t>MYCOPHENOLATE 250MG CP</t>
  </si>
  <si>
    <t>MYCOPHEN250MGCP</t>
  </si>
  <si>
    <t>0053079596</t>
  </si>
  <si>
    <t>MYCOPHENOL ACID 180MG TB</t>
  </si>
  <si>
    <t>MYCOPHEN180MGTB</t>
  </si>
  <si>
    <t>0053079638</t>
  </si>
  <si>
    <t>MYCOPHENOLATE 500MG TB</t>
  </si>
  <si>
    <t>MYCOPHEN500MGTB</t>
  </si>
  <si>
    <t>0053079703</t>
  </si>
  <si>
    <t>NA/K PHOS 250/280/160 PK</t>
  </si>
  <si>
    <t xml:space="preserve">NA/K PHOS PK   </t>
  </si>
  <si>
    <t>0053079737</t>
  </si>
  <si>
    <t>NADOLOL 20MG TB</t>
  </si>
  <si>
    <t>0053080602</t>
  </si>
  <si>
    <t>NALOXEGOL 25MG TB</t>
  </si>
  <si>
    <t>NALOXEGOL25MGTB</t>
  </si>
  <si>
    <t>0053080784</t>
  </si>
  <si>
    <t>NAPROXEN 250MG TB</t>
  </si>
  <si>
    <t>NAPROX 250MG TB</t>
  </si>
  <si>
    <t>0053080883</t>
  </si>
  <si>
    <t>NAPROXEN 500MG TB</t>
  </si>
  <si>
    <t>NAPROX 500MG TB</t>
  </si>
  <si>
    <t>0053081022</t>
  </si>
  <si>
    <t>NEBIVOLOL 10MG TB</t>
  </si>
  <si>
    <t>NEBIVOL 10MG TB</t>
  </si>
  <si>
    <t>0053081048</t>
  </si>
  <si>
    <t>NEBIVOLOL 5MG TB</t>
  </si>
  <si>
    <t>NEBIVOLOL5MG TB</t>
  </si>
  <si>
    <t>0053081055</t>
  </si>
  <si>
    <t>NEOMYCIN 500MG TB</t>
  </si>
  <si>
    <t>NEOMYCN500MG TB</t>
  </si>
  <si>
    <t>0053081972</t>
  </si>
  <si>
    <t>NIACIN 100MG TB</t>
  </si>
  <si>
    <t>0053082483</t>
  </si>
  <si>
    <t>NIACIN 500MG XR TB</t>
  </si>
  <si>
    <t>NIACN500MGXR TB</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</si>
  <si>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</si>
  <si>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</si>
  <si>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</si>
  <si>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</si>
  <si>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</si>
  <si>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</si>
  <si>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</si>
  <si>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</si>
  <si>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</si>
  <si>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</si>
  <si>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</si>
  <si>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</si>
  <si>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0053083358</t>
  </si>
  <si>
    <t>NITROFURANTOIN 50MG CP</t>
  </si>
  <si>
    <t xml:space="preserve">NITROFUR 50CP  </t>
  </si>
  <si>
    <t>0053083374</t>
  </si>
  <si>
    <t>NITROFURANTOIN 100MG CP</t>
  </si>
  <si>
    <t xml:space="preserve">NITROFUR 100CP </t>
  </si>
  <si>
    <t>0053083788</t>
  </si>
  <si>
    <t>NITROGLYCERIN .4MG SL TB</t>
  </si>
  <si>
    <t xml:space="preserve">NTG .4MGSL TB  </t>
  </si>
  <si>
    <t>0053083796</t>
  </si>
  <si>
    <t>NITROGLYCERIN.4MGSL 25TB</t>
  </si>
  <si>
    <t xml:space="preserve">NTG.4MGSL 25TB </t>
  </si>
  <si>
    <t>0053084281</t>
  </si>
  <si>
    <t>NORTRIPTYLINE 10MG CP</t>
  </si>
  <si>
    <t>NORTRIPT10MG CP</t>
  </si>
  <si>
    <t>0053084323</t>
  </si>
  <si>
    <t>NORTRIPTYLINE 25MG CP</t>
  </si>
  <si>
    <t>NORTRIPT25MG CP</t>
  </si>
  <si>
    <t>0053084778</t>
  </si>
  <si>
    <t>OSELTAMIVIR 30MG CP</t>
  </si>
  <si>
    <t>OSELTAMIV30MGCP</t>
  </si>
  <si>
    <t>0053084927</t>
  </si>
  <si>
    <t>ONDANSETRON 4MG DT</t>
  </si>
  <si>
    <t>ONDANSETR 4MGDT</t>
  </si>
  <si>
    <t>0053084976</t>
  </si>
  <si>
    <t>OLANZAPINE 5MG TB</t>
  </si>
  <si>
    <t>OLANZAPINE 5 TB</t>
  </si>
  <si>
    <t>0053085007</t>
  </si>
  <si>
    <t>OLANZAPINE 2.5MG TB</t>
  </si>
  <si>
    <t>OLANZAPIN2.5 TB</t>
  </si>
  <si>
    <t>0053085049</t>
  </si>
  <si>
    <t>OSELTAMIVIR 75MG CP</t>
  </si>
  <si>
    <t>OSELTAMIVR75 CP</t>
  </si>
  <si>
    <t>0053085064</t>
  </si>
  <si>
    <t>OLANZAPINE 5MG DT</t>
  </si>
  <si>
    <t>OLANZAPINE 5 DT</t>
  </si>
  <si>
    <t>0053085205</t>
  </si>
  <si>
    <t>OLMESARTAN 20MG TB</t>
  </si>
  <si>
    <t>OLMESARTN20MGTB</t>
  </si>
  <si>
    <t>0053085304</t>
  </si>
  <si>
    <t>OMEGA3 FISH OIL 1000MGCP</t>
  </si>
  <si>
    <t>OMEGA3FO 1000CP</t>
  </si>
  <si>
    <t>0053085593</t>
  </si>
  <si>
    <t>OXAZEPAM 15MG CP</t>
  </si>
  <si>
    <t xml:space="preserve">OXAZEPAM 15 CP </t>
  </si>
  <si>
    <t>0053085700</t>
  </si>
  <si>
    <t>OXCARBAZEPINE 150MG TB</t>
  </si>
  <si>
    <t>OXCARBAZEP150TB</t>
  </si>
  <si>
    <t>0053086401</t>
  </si>
  <si>
    <t>OXYBUTYNIN 5MG TB</t>
  </si>
  <si>
    <t>OXYBUTYN 5MG TB</t>
  </si>
  <si>
    <t>0053086419</t>
  </si>
  <si>
    <t>OXYBUTYNIN 5MG XR TB</t>
  </si>
  <si>
    <t>OXYBUTY5MGXR TB</t>
  </si>
  <si>
    <t>0053088704</t>
  </si>
  <si>
    <t>PANTOPRAZOLE 40MG EC TB</t>
  </si>
  <si>
    <t>PANTOPRAZ40ECTB</t>
  </si>
  <si>
    <t>0053088712</t>
  </si>
  <si>
    <t>PANTOPRAZOLE 20MG EC TB</t>
  </si>
  <si>
    <t>PANTOPRAZ20ECTB</t>
  </si>
  <si>
    <t>0053089496</t>
  </si>
  <si>
    <t>PAROXETINE 10MG TB</t>
  </si>
  <si>
    <t>PAROXETIN10MGTB</t>
  </si>
  <si>
    <t>0053089504</t>
  </si>
  <si>
    <t>PAROXETINE 20MG TB</t>
  </si>
  <si>
    <t>PAROXETIN20MGTB</t>
  </si>
  <si>
    <t>0053089538</t>
  </si>
  <si>
    <t>PAROXETINE 12.5MG XR TB</t>
  </si>
  <si>
    <t>PAROXET12.5XRTB</t>
  </si>
  <si>
    <t>0053090254</t>
  </si>
  <si>
    <t>PENICILLIN 250MG TB</t>
  </si>
  <si>
    <t>PEN V K 250MGTB</t>
  </si>
  <si>
    <t>0053090668</t>
  </si>
  <si>
    <t>PENTOXIFYLLN 400MG XR TB</t>
  </si>
  <si>
    <t>PENTOX400 XR TB</t>
  </si>
  <si>
    <t>0053091450</t>
  </si>
  <si>
    <t>PHENAZOPYRIDINE 100MG TB</t>
  </si>
  <si>
    <t>PHENAZOPYR100TB</t>
  </si>
  <si>
    <t>0053091492</t>
  </si>
  <si>
    <t>PHENAZOPYRIDINE 200MG TB</t>
  </si>
  <si>
    <t>PHENAZOPYR200TB</t>
  </si>
  <si>
    <t>0053094389</t>
  </si>
  <si>
    <t>PHENYTOIN 100MG XR CP</t>
  </si>
  <si>
    <t xml:space="preserve">PHENYTOIN100CP </t>
  </si>
  <si>
    <t>0053094611</t>
  </si>
  <si>
    <t>PHYTONADIONE 5MG TB</t>
  </si>
  <si>
    <t>PHYTONADIONE5TB</t>
  </si>
  <si>
    <t>0053095006</t>
  </si>
  <si>
    <t>PIOGLITAZONE 15MG TB</t>
  </si>
  <si>
    <t>PIOGLITAZON15TB</t>
  </si>
  <si>
    <t>0053095022</t>
  </si>
  <si>
    <t>PIOGLITAZONE 30MG TB</t>
  </si>
  <si>
    <t>PIOGLITAZON30TB</t>
  </si>
  <si>
    <t>0053096350</t>
  </si>
  <si>
    <t>POSACONAZOLE 100MG XRTB</t>
  </si>
  <si>
    <t>POSACONZ100XRTB</t>
  </si>
  <si>
    <t>0053096418</t>
  </si>
  <si>
    <t>POTASSIUM CIT 5MEQ XRTB</t>
  </si>
  <si>
    <t xml:space="preserve">K CIT 5MEQXRTB </t>
  </si>
  <si>
    <t>0053096574</t>
  </si>
  <si>
    <t>POTASSIUM CL 10MEQ XR CP</t>
  </si>
  <si>
    <t>KCL 10MEQ XR CP</t>
  </si>
  <si>
    <t>0053096582</t>
  </si>
  <si>
    <t>POTASSIUM CL 20MEQ XR TB</t>
  </si>
  <si>
    <t>KCL 20MEQ XR TB</t>
  </si>
  <si>
    <t>0053096657</t>
  </si>
  <si>
    <t>POTASSIUM CL 8MEQ XR TB</t>
  </si>
  <si>
    <t xml:space="preserve">KCL 8MEQ XR TB </t>
  </si>
  <si>
    <t>0053096913</t>
  </si>
  <si>
    <t>PRAVASTATIN 20MG TB</t>
  </si>
  <si>
    <t>PRAVASTIN20MGTB</t>
  </si>
  <si>
    <t>0053096921</t>
  </si>
  <si>
    <t>PRAMIPEXOLE .25MG TB</t>
  </si>
  <si>
    <t xml:space="preserve">PRAMIPX.25MGTB </t>
  </si>
  <si>
    <t>0053096939</t>
  </si>
  <si>
    <t>PRAMIPEXOLE .125MG TB</t>
  </si>
  <si>
    <t>PRAMIPX.125MGTB</t>
  </si>
  <si>
    <t>0053096947</t>
  </si>
  <si>
    <t>PRAMIPEXOLE 1MG TB</t>
  </si>
  <si>
    <t xml:space="preserve">PRAMIPX1MGTB   </t>
  </si>
  <si>
    <t>0053097028</t>
  </si>
  <si>
    <t>PRASUGREL 5MG TB</t>
  </si>
  <si>
    <t>PRASUGREL 5MGTB</t>
  </si>
  <si>
    <t>0053097036</t>
  </si>
  <si>
    <t>PRASUGREL 10MG TB</t>
  </si>
  <si>
    <t>PRASUGREL10MGTB</t>
  </si>
  <si>
    <t>0053097234</t>
  </si>
  <si>
    <t>PRAZOSIN 1MG CP</t>
  </si>
  <si>
    <t>0053097770</t>
  </si>
  <si>
    <t>PREDNISONE PER 1MG TB</t>
  </si>
  <si>
    <t>PREDNISONE1MGTB</t>
  </si>
  <si>
    <t>0053097952</t>
  </si>
  <si>
    <t>PREGABALIN 25MG CP</t>
  </si>
  <si>
    <t>PREGABL 25MG CP</t>
  </si>
  <si>
    <t>0053097994</t>
  </si>
  <si>
    <t>PREGABALIN 75MG CP</t>
  </si>
  <si>
    <t>PREGABL 75MG CP</t>
  </si>
  <si>
    <t>0053098026</t>
  </si>
  <si>
    <t>PREGABALIN 100MG CP</t>
  </si>
  <si>
    <t>PREGABL100MG CP</t>
  </si>
  <si>
    <t>0053098208</t>
  </si>
  <si>
    <t>PRIMIDONE 50MG TB</t>
  </si>
  <si>
    <t xml:space="preserve">PRIMIDONE50TB  </t>
  </si>
  <si>
    <t>0053098240</t>
  </si>
  <si>
    <t>PRIMIDONE 250MG TB</t>
  </si>
  <si>
    <t xml:space="preserve">PRIMIDONE250TB </t>
  </si>
  <si>
    <t>0053099792</t>
  </si>
  <si>
    <t>PROCHLORPERAZINE 5MG TB</t>
  </si>
  <si>
    <t>PROCHLRP 5MG TB</t>
  </si>
  <si>
    <t>0053099834</t>
  </si>
  <si>
    <t>PROCHLORPERAZINE 10MG TB</t>
  </si>
  <si>
    <t>PROCHLRP10MG TB</t>
  </si>
  <si>
    <t>0053100681</t>
  </si>
  <si>
    <t>PROMETHAZINE 25MG TB</t>
  </si>
  <si>
    <t>PROMETHAZ25MGTB</t>
  </si>
  <si>
    <t>0053100905</t>
  </si>
  <si>
    <t>PROPAFENONE 150MG TB</t>
  </si>
  <si>
    <t>PROPAFEN150MGTB</t>
  </si>
  <si>
    <t>0053101994</t>
  </si>
  <si>
    <t>PROPRANOLOL 10MG TB</t>
  </si>
  <si>
    <t>PROPRNOL10MG TB</t>
  </si>
  <si>
    <t>0053102018</t>
  </si>
  <si>
    <t>PROPRANOLOL 20MG TB</t>
  </si>
  <si>
    <t>PROPRNOL20MG TB</t>
  </si>
  <si>
    <t>0053102034</t>
  </si>
  <si>
    <t>PROPRANOLOL 40MG TB</t>
  </si>
  <si>
    <t>PROPRNOL40MG TB</t>
  </si>
  <si>
    <t>0053102083</t>
  </si>
  <si>
    <t>PROPRANOLOL 60MG XR CP</t>
  </si>
  <si>
    <t>PROPRNOL60XR CP</t>
  </si>
  <si>
    <t>0053102109</t>
  </si>
  <si>
    <t>PROPRANOLOL 80MG XR CP</t>
  </si>
  <si>
    <t>PROPRNOL80XR CP</t>
  </si>
  <si>
    <t>0053102166</t>
  </si>
  <si>
    <t>PROPYLTHIOURACIL 50MG TB</t>
  </si>
  <si>
    <t>PROPYLTHIOU50TB</t>
  </si>
  <si>
    <t>0053102620</t>
  </si>
  <si>
    <t>PSEUDOEPHED 120MG XR TB</t>
  </si>
  <si>
    <t>PSE 120MG XR TB</t>
  </si>
  <si>
    <t>0053102661</t>
  </si>
  <si>
    <t>PSEUDOEPHED 30MG TB</t>
  </si>
  <si>
    <t xml:space="preserve">PSE 30MG TB    </t>
  </si>
  <si>
    <t>0053102950</t>
  </si>
  <si>
    <t>PYRAZINAMIDE 500MG TB</t>
  </si>
  <si>
    <t>PYRAZINA500MGTB</t>
  </si>
  <si>
    <t>0053102976</t>
  </si>
  <si>
    <t>PYRIDOSTIGMINE 60MG TB</t>
  </si>
  <si>
    <t>PYRIDOSTIGM60TB</t>
  </si>
  <si>
    <t>0053103289</t>
  </si>
  <si>
    <t>PYRIDOXINE 50MG TB</t>
  </si>
  <si>
    <t>PYRDOXINE50MGTB</t>
  </si>
  <si>
    <t>0053103321</t>
  </si>
  <si>
    <t>PYRIDOXINE 100MG TB</t>
  </si>
  <si>
    <t>PYRDOXIN100MGTB</t>
  </si>
  <si>
    <t>0053103701</t>
  </si>
  <si>
    <t>QUETIAPINE 25MG TB</t>
  </si>
  <si>
    <t xml:space="preserve">QUETAP 25MG TB </t>
  </si>
  <si>
    <t>0053103719</t>
  </si>
  <si>
    <t>QUETIAPINE 100MG TB</t>
  </si>
  <si>
    <t xml:space="preserve">QUETAP100MG TB </t>
  </si>
  <si>
    <t>0053103750</t>
  </si>
  <si>
    <t>QUETIAPINE 400MG TB</t>
  </si>
  <si>
    <t xml:space="preserve">QUETAP400MG TB </t>
  </si>
  <si>
    <t>0053103768</t>
  </si>
  <si>
    <t>QUETIAPINE 200MG XR TB</t>
  </si>
  <si>
    <t>QUETAP 200XR TB</t>
  </si>
  <si>
    <t>0053103974</t>
  </si>
  <si>
    <t>QUINAPRIL 5MG TB</t>
  </si>
  <si>
    <t>QUINAPRIL 5MGTB</t>
  </si>
  <si>
    <t>0053103990</t>
  </si>
  <si>
    <t>QUINAPRIL 20MG TB</t>
  </si>
  <si>
    <t>QUINAPRIL20MGTB</t>
  </si>
  <si>
    <t>0053104873</t>
  </si>
  <si>
    <t>RALOXIFENE 60MG TB</t>
  </si>
  <si>
    <t xml:space="preserve">RALOXIFINE60TB </t>
  </si>
  <si>
    <t>0053104907</t>
  </si>
  <si>
    <t>RAMIPRIL 2.5MG CP</t>
  </si>
  <si>
    <t>RAMIPRIL2.5MGCP</t>
  </si>
  <si>
    <t>0053104915</t>
  </si>
  <si>
    <t>RAMIPRIL 5MG CP</t>
  </si>
  <si>
    <t xml:space="preserve">RAMIPRIL 5MGCP </t>
  </si>
  <si>
    <t>0053104931</t>
  </si>
  <si>
    <t>RALTEGRAVIR 400MG TB</t>
  </si>
  <si>
    <t>RALTEGRAV 400TB</t>
  </si>
  <si>
    <t>0053105052</t>
  </si>
  <si>
    <t>RANITIDINE 150MG TB</t>
  </si>
  <si>
    <t xml:space="preserve">RANITID150MGTB </t>
  </si>
  <si>
    <t>0053105078</t>
  </si>
  <si>
    <t>RANITIDINE 150MG CP</t>
  </si>
  <si>
    <t xml:space="preserve">RANITID150MGCP </t>
  </si>
  <si>
    <t>0053105201</t>
  </si>
  <si>
    <t>RANOLAZINE 500MG XR TB</t>
  </si>
  <si>
    <t>RANOLZIN500XRTB</t>
  </si>
  <si>
    <t>0053105524</t>
  </si>
  <si>
    <t>REPAGLINIDE 0.5MG TB</t>
  </si>
  <si>
    <t>REPAGLINID0.5TB</t>
  </si>
  <si>
    <t>0053106241</t>
  </si>
  <si>
    <t>RIVAROXABAN 2.5MG TB</t>
  </si>
  <si>
    <t>RIVAROXABAN 2.5</t>
  </si>
  <si>
    <t>0053106258</t>
  </si>
  <si>
    <t>RIFAXIMIN 200MG TB</t>
  </si>
  <si>
    <t xml:space="preserve">RIFAXIMIN200TB </t>
  </si>
  <si>
    <t>0053106266</t>
  </si>
  <si>
    <t>RIFAXIMIN 550 MG TB</t>
  </si>
  <si>
    <t>RIFAXIMI550MGTB</t>
  </si>
  <si>
    <t>0053106324</t>
  </si>
  <si>
    <t>RIVAROXABAN 15MG TB</t>
  </si>
  <si>
    <t>RIVAROXAB15MGTB</t>
  </si>
  <si>
    <t>0053106373</t>
  </si>
  <si>
    <t>RIFAMPIN 300MG CP</t>
  </si>
  <si>
    <t>RIFAMPIN300MGCP</t>
  </si>
  <si>
    <t>0053106381</t>
  </si>
  <si>
    <t>RIVAROXABAN 20MG TB</t>
  </si>
  <si>
    <t>RIVAROXAB20MGTB</t>
  </si>
  <si>
    <t>0053106407</t>
  </si>
  <si>
    <t>RIVAROXABAN 10MG TB</t>
  </si>
  <si>
    <t>RIVAROXAB10MGTB</t>
  </si>
  <si>
    <t>0053106514</t>
  </si>
  <si>
    <t>RISPERIDONE 1MG TB</t>
  </si>
  <si>
    <t>RISPERIDON 1 TB</t>
  </si>
  <si>
    <t>0053106613</t>
  </si>
  <si>
    <t>RIZATRIPTAN 10MG DT</t>
  </si>
  <si>
    <t>RIZATRPTN10MGDT</t>
  </si>
  <si>
    <t>0053106654</t>
  </si>
  <si>
    <t>RIVASTIGMINE 1.5MG CP</t>
  </si>
  <si>
    <t xml:space="preserve">RIVASTIGM1.5CP </t>
  </si>
  <si>
    <t>0053106662</t>
  </si>
  <si>
    <t>RIVASTIGMINE 3MG CP</t>
  </si>
  <si>
    <t>RIVASTIGMINE3CP</t>
  </si>
  <si>
    <t>0053106753</t>
  </si>
  <si>
    <t>ROPINIROLE 0.25MG TB</t>
  </si>
  <si>
    <t>ROPINRL.25MG TB</t>
  </si>
  <si>
    <t>0053106779</t>
  </si>
  <si>
    <t>ROPINIROLE 1MG TB</t>
  </si>
  <si>
    <t xml:space="preserve">ROPINRL 1MG TB </t>
  </si>
  <si>
    <t>0053106787</t>
  </si>
  <si>
    <t>ROPINIROLE 2MG TB</t>
  </si>
  <si>
    <t xml:space="preserve">ROPINRL 2MG TB </t>
  </si>
  <si>
    <t>0053106878</t>
  </si>
  <si>
    <t>SACCHAROMYCES BL 250MGCP</t>
  </si>
  <si>
    <t>SACCHARM B250CP</t>
  </si>
  <si>
    <t>0053106936</t>
  </si>
  <si>
    <t>ROSUVASTATIN 10MG TB</t>
  </si>
  <si>
    <t>ROSUVASTA10MGTB</t>
  </si>
  <si>
    <t>0053107074</t>
  </si>
  <si>
    <t>SACUBIT/VALSAR 24-26MGTB</t>
  </si>
  <si>
    <t>SACUB/VALSAR TB</t>
  </si>
  <si>
    <t>0053107082</t>
  </si>
  <si>
    <t>SACUBIT/VALSAR 49-51MGTB</t>
  </si>
  <si>
    <t>0053107090</t>
  </si>
  <si>
    <t>SACUBIT/VALS 97-103MG TB</t>
  </si>
  <si>
    <t>0053107207</t>
  </si>
  <si>
    <t>SELEGILINE 5MG TB</t>
  </si>
  <si>
    <t>SELEGILIN5MG TB</t>
  </si>
  <si>
    <t>0053107553</t>
  </si>
  <si>
    <t>SENNA 8.6MG TB</t>
  </si>
  <si>
    <t xml:space="preserve">SENNA8.6 TB    </t>
  </si>
  <si>
    <t>0053107561</t>
  </si>
  <si>
    <t>DOCUSATE/SENNA TB</t>
  </si>
  <si>
    <t>DOCUSAT/SENNATB</t>
  </si>
  <si>
    <t>0053107595</t>
  </si>
  <si>
    <t>SERTRALINE 25MG TB</t>
  </si>
  <si>
    <t xml:space="preserve">SERTRALINE25TB </t>
  </si>
  <si>
    <t>0053107603</t>
  </si>
  <si>
    <t>SERTRALINE 50MG TB</t>
  </si>
  <si>
    <t xml:space="preserve">SERTRALINE50TB </t>
  </si>
  <si>
    <t>0053107645</t>
  </si>
  <si>
    <t>SEVELAMER 800MG TB</t>
  </si>
  <si>
    <t xml:space="preserve">SEVELAMER800TB </t>
  </si>
  <si>
    <t>0053107652</t>
  </si>
  <si>
    <t>SEVELAMER CARB 800MG TB</t>
  </si>
  <si>
    <t>SEVELAM 800MGTB</t>
  </si>
  <si>
    <t>0053107777</t>
  </si>
  <si>
    <t>SILDENAFIL 20MG TB</t>
  </si>
  <si>
    <t>SILDENAFIL20 TB</t>
  </si>
  <si>
    <t>0053107835</t>
  </si>
  <si>
    <t>SIMETHICONE 80MG TB</t>
  </si>
  <si>
    <t xml:space="preserve">SIMETHICON80TB </t>
  </si>
  <si>
    <t>0053107918</t>
  </si>
  <si>
    <t>SIMVASTATIN 10MG TB</t>
  </si>
  <si>
    <t>SIMVSTAT10MG TB</t>
  </si>
  <si>
    <t>0053107934</t>
  </si>
  <si>
    <t>SIMVASTATIN 40MG TB</t>
  </si>
  <si>
    <t>SIMVSTAT40MG TB</t>
  </si>
  <si>
    <t>0053107959</t>
  </si>
  <si>
    <t>SITAGLIPTIN 25MG TB</t>
  </si>
  <si>
    <t>SITAGLIPT25MGTB</t>
  </si>
  <si>
    <t>0053107967</t>
  </si>
  <si>
    <t>SITAGLIPTIN 100MG TB</t>
  </si>
  <si>
    <t>SITAGLIP100MGTB</t>
  </si>
  <si>
    <t>0053107975</t>
  </si>
  <si>
    <t>SITAGLIPTIN 50MG TB</t>
  </si>
  <si>
    <t>SITAGLIPT50MGTB</t>
  </si>
  <si>
    <t>0053108064</t>
  </si>
  <si>
    <t>NA BICARBONATE 325MG TB</t>
  </si>
  <si>
    <t>NA BICRB325MGTB</t>
  </si>
  <si>
    <t>0053108106</t>
  </si>
  <si>
    <t>NA BICARBONATE 650MG TB</t>
  </si>
  <si>
    <t>NA BICRB650MGTB</t>
  </si>
  <si>
    <t>0053108338</t>
  </si>
  <si>
    <t>NA CL 1GM TB</t>
  </si>
  <si>
    <t xml:space="preserve">NA CL 1GM TB   </t>
  </si>
  <si>
    <t>0053108676</t>
  </si>
  <si>
    <t>SOLIFENACIN 5MG TB</t>
  </si>
  <si>
    <t xml:space="preserve">SOLIFENAC5MGTB </t>
  </si>
  <si>
    <t>0053108700</t>
  </si>
  <si>
    <t>SOTALOL 80MG TB</t>
  </si>
  <si>
    <t>0053109104</t>
  </si>
  <si>
    <t>SPIRONOLACTONE 25MG TB</t>
  </si>
  <si>
    <t>SPIRONOLACT25TB</t>
  </si>
  <si>
    <t>0053109146</t>
  </si>
  <si>
    <t>SPIRONOLACTONE 50MG TB</t>
  </si>
  <si>
    <t>SPIRONOLACT50TB</t>
  </si>
  <si>
    <t>0053109179</t>
  </si>
  <si>
    <t>SPIRONOLACTONE 100MG TB</t>
  </si>
  <si>
    <t>SPIRONOLAC100TB</t>
  </si>
  <si>
    <t>0053109609</t>
  </si>
  <si>
    <t>MVI VIT B&amp;C STRESS TB</t>
  </si>
  <si>
    <t>MVI BC STRESSTB</t>
  </si>
  <si>
    <t>0053110060</t>
  </si>
  <si>
    <t>SUCRALFATE 1GM TB</t>
  </si>
  <si>
    <t>SUCRALFATE1GMTB</t>
  </si>
  <si>
    <t>0053110920</t>
  </si>
  <si>
    <t>SMX-TMP 800/160MG TB</t>
  </si>
  <si>
    <t xml:space="preserve">SMX-TMP DS TB  </t>
  </si>
  <si>
    <t>0053111100</t>
  </si>
  <si>
    <t>SULFASALAZINE 500MG TB</t>
  </si>
  <si>
    <t>SULFASALAZ500TB</t>
  </si>
  <si>
    <t>0053111902</t>
  </si>
  <si>
    <t>SUMATRIPTAN 25MG TB</t>
  </si>
  <si>
    <t>SUMATRIPTAN25TB</t>
  </si>
  <si>
    <t>0053111928</t>
  </si>
  <si>
    <t>SUMATRIPTAN 100MG TB</t>
  </si>
  <si>
    <t>SUMATRIPTA100TB</t>
  </si>
  <si>
    <t>0053112041</t>
  </si>
  <si>
    <t>TACROLIMUS PER 1MG CP</t>
  </si>
  <si>
    <t>TACROLIMUS1MGCP</t>
  </si>
  <si>
    <t>0053112066</t>
  </si>
  <si>
    <t>TACROLIMUS 0.5MG CP</t>
  </si>
  <si>
    <t>TACROLIMUS0.5CP</t>
  </si>
  <si>
    <t>0053112108</t>
  </si>
  <si>
    <t>TAMOXIFEN 10MG TB</t>
  </si>
  <si>
    <t>TAMOXIFN10MG TB</t>
  </si>
  <si>
    <t>0053112157</t>
  </si>
  <si>
    <t>TAMSULOSIN .4MG CP</t>
  </si>
  <si>
    <t>TAMSULOS.4MG CP</t>
  </si>
  <si>
    <t>0053112330</t>
  </si>
  <si>
    <t>TEMAZEPAM 15MG CP</t>
  </si>
  <si>
    <t>TEMAZEPAM15MGCP</t>
  </si>
  <si>
    <t>0053112348</t>
  </si>
  <si>
    <t>TEMAZEPAM 7.5MG CP</t>
  </si>
  <si>
    <t>TEMAZEPA7.5MGCP</t>
  </si>
  <si>
    <t>0053112454</t>
  </si>
  <si>
    <t>TENOFOVIR 300MG TB</t>
  </si>
  <si>
    <t xml:space="preserve">TENOFOVIR300TB </t>
  </si>
  <si>
    <t>0053112504</t>
  </si>
  <si>
    <t>TERAZOSIN 1MG CP</t>
  </si>
  <si>
    <t xml:space="preserve">TERAZOSIN1MGCP </t>
  </si>
  <si>
    <t>0053112512</t>
  </si>
  <si>
    <t>TERAZOSIN 2MG CP</t>
  </si>
  <si>
    <t xml:space="preserve">TERAZOSIN2MGCP </t>
  </si>
  <si>
    <t>0053112520</t>
  </si>
  <si>
    <t>TERAZOSIN 5MG CP</t>
  </si>
  <si>
    <t xml:space="preserve">TERAZOSIN5MGCP </t>
  </si>
  <si>
    <t>0053113858</t>
  </si>
  <si>
    <t>THEOPHYLLINE 100MG XR TB</t>
  </si>
  <si>
    <t>THEOPHYL100XRTB</t>
  </si>
  <si>
    <t>0053113965</t>
  </si>
  <si>
    <t>THEOPHYLLINE 300MG XR TB</t>
  </si>
  <si>
    <t>THEOPHYL300XRTB</t>
  </si>
  <si>
    <t>0053114716</t>
  </si>
  <si>
    <t>THIAMINE 100MG TB</t>
  </si>
  <si>
    <t>THIAMINE100MGTB</t>
  </si>
  <si>
    <t>0053116455</t>
  </si>
  <si>
    <t>THYROID DESICTED 30MG TB</t>
  </si>
  <si>
    <t>THYROID DES30TB</t>
  </si>
  <si>
    <t>0053116752</t>
  </si>
  <si>
    <t>TICAGRELOR 60 MG TAB</t>
  </si>
  <si>
    <t>TICAGRELOR 60 M</t>
  </si>
  <si>
    <t>0053116794</t>
  </si>
  <si>
    <t>TICAGRELOR 90MG TB</t>
  </si>
  <si>
    <t>TICAGREL 90MGTB</t>
  </si>
  <si>
    <t>0053117305</t>
  </si>
  <si>
    <t>TOLVAPTAN 15MG TB</t>
  </si>
  <si>
    <t>TOLVAPTAN15MGTB</t>
  </si>
  <si>
    <t>0053117313</t>
  </si>
  <si>
    <t>TOLVAPTAN 30MG TB</t>
  </si>
  <si>
    <t>TOLVAPTAN30MGTB</t>
  </si>
  <si>
    <t>0053117479</t>
  </si>
  <si>
    <t>TOLTERODINE 2MG XR CP</t>
  </si>
  <si>
    <t>TOLTEROD2MGXRCP</t>
  </si>
  <si>
    <t>0053117487</t>
  </si>
  <si>
    <t>TOLTERODINE 4MG XR CP</t>
  </si>
  <si>
    <t>TOLTEROD4MGXRCP</t>
  </si>
  <si>
    <t>0053117511</t>
  </si>
  <si>
    <t>TOLTERODINE 1MG TB</t>
  </si>
  <si>
    <t>TOLTERODIN1MGTB</t>
  </si>
  <si>
    <t>0053117529</t>
  </si>
  <si>
    <t>TOLTERODINE 2MG TB</t>
  </si>
  <si>
    <t>TOLTERODIN2MGTB</t>
  </si>
  <si>
    <t>0053117545</t>
  </si>
  <si>
    <t>TOPIRAMATE 25MG TB</t>
  </si>
  <si>
    <t xml:space="preserve">TOPIRAMATE25TB </t>
  </si>
  <si>
    <t>0053117552</t>
  </si>
  <si>
    <t>TOPIRAMATE 100MG TB</t>
  </si>
  <si>
    <t>TOPIRAMATE100TB</t>
  </si>
  <si>
    <t>0053117628</t>
  </si>
  <si>
    <t>TORSEMIDE 20MG TB</t>
  </si>
  <si>
    <t>TORSEMIDE 20 TB</t>
  </si>
  <si>
    <t>0053117701</t>
  </si>
  <si>
    <t>TRAMADOL 50MG TB</t>
  </si>
  <si>
    <t>TRAMDOL 50MG TB</t>
  </si>
  <si>
    <t>0053117917</t>
  </si>
  <si>
    <t>TRAZODONE 50MG TB</t>
  </si>
  <si>
    <t>TRAZODONE 50 TB</t>
  </si>
  <si>
    <t>0053117958</t>
  </si>
  <si>
    <t>TRAZODONE 100MG TB</t>
  </si>
  <si>
    <t>TRAZODONE100 TB</t>
  </si>
  <si>
    <t>0053118626</t>
  </si>
  <si>
    <t>TRIAMTER-HCTZ 37.5/25 CP</t>
  </si>
  <si>
    <t>TRIA/HCZ37/25CP</t>
  </si>
  <si>
    <t>0053118881</t>
  </si>
  <si>
    <t>TRIAZOLAM .25MG TB</t>
  </si>
  <si>
    <t>TRIAZOLAM.25 TB</t>
  </si>
  <si>
    <t>0053119426</t>
  </si>
  <si>
    <t>TRIHEXYPHENIDYL 2MGTB</t>
  </si>
  <si>
    <t xml:space="preserve">TRIHEXYPHEN2TB </t>
  </si>
  <si>
    <t>0053122552</t>
  </si>
  <si>
    <t>URSODIOL 300MG CP</t>
  </si>
  <si>
    <t>URSODIOL300MGCP</t>
  </si>
  <si>
    <t>0053122586</t>
  </si>
  <si>
    <t>VALACYCLOVIR 500MG TB</t>
  </si>
  <si>
    <t>VALACYCLOV500TB</t>
  </si>
  <si>
    <t>0053122602</t>
  </si>
  <si>
    <t>DIVALPROX NA 125MG XR CP</t>
  </si>
  <si>
    <t>DIVALP125 XR CP</t>
  </si>
  <si>
    <t>0053122628</t>
  </si>
  <si>
    <t>VALSARTAN 40MG TB</t>
  </si>
  <si>
    <t xml:space="preserve">VALSARTAN40TB  </t>
  </si>
  <si>
    <t>0053122651</t>
  </si>
  <si>
    <t>VALSARTAN 80MG TB</t>
  </si>
  <si>
    <t xml:space="preserve">VALSARTAN80TB  </t>
  </si>
  <si>
    <t>0053122669</t>
  </si>
  <si>
    <t>VALSARTAN 160MG TB</t>
  </si>
  <si>
    <t xml:space="preserve">VALSARTAN160TB </t>
  </si>
  <si>
    <t>0053122701</t>
  </si>
  <si>
    <t>VANCOMYCIN 125MG CP</t>
  </si>
  <si>
    <t>VANCOMY125MG CP</t>
  </si>
  <si>
    <t>0053122719</t>
  </si>
  <si>
    <t>VANCOMYCIN 250MG CP</t>
  </si>
  <si>
    <t>VANCOMY250MG CP</t>
  </si>
  <si>
    <t>0053122735</t>
  </si>
  <si>
    <t>VENLAFAXINE 37.5MG XR CP</t>
  </si>
  <si>
    <t>VENLAFX37.5XRCP</t>
  </si>
  <si>
    <t>0053122743</t>
  </si>
  <si>
    <t>VENLAFAXINE 75MG XR CP</t>
  </si>
  <si>
    <t xml:space="preserve">VENLAFAX75XRCP </t>
  </si>
  <si>
    <t>0053122768</t>
  </si>
  <si>
    <t>VENLAFAXINE 37.5MG TB</t>
  </si>
  <si>
    <t xml:space="preserve">VENLAFAX37.5TB </t>
  </si>
  <si>
    <t>0053122776</t>
  </si>
  <si>
    <t>VENLAFAXINE 50MG TB</t>
  </si>
  <si>
    <t xml:space="preserve">VENLAFAX50TB   </t>
  </si>
  <si>
    <t>0053122784</t>
  </si>
  <si>
    <t>VENLAFAXINE 75MG TB</t>
  </si>
  <si>
    <t xml:space="preserve">VENLAFAX75TB   </t>
  </si>
  <si>
    <t>0053122834</t>
  </si>
  <si>
    <t>VERAPAMIL 40MG TB</t>
  </si>
  <si>
    <t xml:space="preserve">VERAPAMIL40 TB </t>
  </si>
  <si>
    <t>0053122867</t>
  </si>
  <si>
    <t>VERAPAMIL 120MG XR24 CP</t>
  </si>
  <si>
    <t>VERA120 XR24 CP</t>
  </si>
  <si>
    <t>0053122883</t>
  </si>
  <si>
    <t>VERAPAMIL 120MG TB</t>
  </si>
  <si>
    <t xml:space="preserve">VERAPAM 120 TB </t>
  </si>
  <si>
    <t>0053122891</t>
  </si>
  <si>
    <t>VERAPAMIL 240 XR TB</t>
  </si>
  <si>
    <t xml:space="preserve">VERAP240 XR TB </t>
  </si>
  <si>
    <t>0053122909</t>
  </si>
  <si>
    <t>VERAPAMIL 180MG XR TB</t>
  </si>
  <si>
    <t xml:space="preserve">VERAP180 XR TB </t>
  </si>
  <si>
    <t>0053123352</t>
  </si>
  <si>
    <t>VITAMIN A 10MU CP</t>
  </si>
  <si>
    <t xml:space="preserve">VIT A 10MU CP  </t>
  </si>
  <si>
    <t>0053123451</t>
  </si>
  <si>
    <t>MVI VIT B COMPLEX CP</t>
  </si>
  <si>
    <t xml:space="preserve">MVI B CMPX CP  </t>
  </si>
  <si>
    <t>0053123600</t>
  </si>
  <si>
    <t>VITAMIN B-12 500MCG TB</t>
  </si>
  <si>
    <t xml:space="preserve">VIT B12 500 TB </t>
  </si>
  <si>
    <t>0053123634</t>
  </si>
  <si>
    <t>VITAMIN B-12 100MCG TB</t>
  </si>
  <si>
    <t xml:space="preserve">VIT B12 100 TB </t>
  </si>
  <si>
    <t>0053123642</t>
  </si>
  <si>
    <t>VITAMIN B-12 1000MCG TB</t>
  </si>
  <si>
    <t>VIT B12 1000 TB</t>
  </si>
  <si>
    <t>0053123758</t>
  </si>
  <si>
    <t>VITAMIN D 1000U TB</t>
  </si>
  <si>
    <t xml:space="preserve">VIT D 1000U TB </t>
  </si>
  <si>
    <t>0053123832</t>
  </si>
  <si>
    <t>ERGOCALCIFEROL 400U TB</t>
  </si>
  <si>
    <t xml:space="preserve">ERGOCA400U TB  </t>
  </si>
  <si>
    <t>0053123865</t>
  </si>
  <si>
    <t>VITAMIN D3 5000U CP</t>
  </si>
  <si>
    <t>VIT D3 5000U CP</t>
  </si>
  <si>
    <t>0053123907</t>
  </si>
  <si>
    <t>VITAMIN D3 400U TB</t>
  </si>
  <si>
    <t xml:space="preserve">VIT D3 400U TB </t>
  </si>
  <si>
    <t>0053124079</t>
  </si>
  <si>
    <t>VITAMIN E 400U CP</t>
  </si>
  <si>
    <t xml:space="preserve">VIT E 400U CP  </t>
  </si>
  <si>
    <t>0053124350</t>
  </si>
  <si>
    <t>MVI RENAL FORMULA TB</t>
  </si>
  <si>
    <t xml:space="preserve">MVI RENAL TB   </t>
  </si>
  <si>
    <t>0053124517</t>
  </si>
  <si>
    <t>VORICONAZOLE 200MG TB</t>
  </si>
  <si>
    <t xml:space="preserve">VORICONAZ200TB </t>
  </si>
  <si>
    <t>0053124806</t>
  </si>
  <si>
    <t>WARFARIN 2.5MG TB</t>
  </si>
  <si>
    <t>WARFARN2.5MG TB</t>
  </si>
  <si>
    <t>0053124814</t>
  </si>
  <si>
    <t>WARFARIN 1MG TB</t>
  </si>
  <si>
    <t xml:space="preserve">WARFARN1MG TB  </t>
  </si>
  <si>
    <t>0053124830</t>
  </si>
  <si>
    <t>WARFARIN 3MG TB</t>
  </si>
  <si>
    <t xml:space="preserve">WARFARN3MG TB  </t>
  </si>
  <si>
    <t>0053124848</t>
  </si>
  <si>
    <t>WARFARIN 2MG TB</t>
  </si>
  <si>
    <t xml:space="preserve">WARFARN2MG TB  </t>
  </si>
  <si>
    <t>0053124855</t>
  </si>
  <si>
    <t>WARFARIN 4MG TB</t>
  </si>
  <si>
    <t xml:space="preserve">WARFARN4MG TB  </t>
  </si>
  <si>
    <t>0053124889</t>
  </si>
  <si>
    <t>WARFARIN 5MG TB</t>
  </si>
  <si>
    <t xml:space="preserve">WARFARN5MG TB  </t>
  </si>
  <si>
    <t>0053124921</t>
  </si>
  <si>
    <t>WARFARIN 7.5MG TB</t>
  </si>
  <si>
    <t>WARFARN7.5MG TB</t>
  </si>
  <si>
    <t>0053124962</t>
  </si>
  <si>
    <t>WARFARIN 10MG TB</t>
  </si>
  <si>
    <t xml:space="preserve">WARFARN10MG TB </t>
  </si>
  <si>
    <t>0053125027</t>
  </si>
  <si>
    <t>ZAFIRLUKAST 20MG TB</t>
  </si>
  <si>
    <t>ZAFIRLUKAST20TB</t>
  </si>
  <si>
    <t>0053125233</t>
  </si>
  <si>
    <t>ZINC SULFATE 220MG CP</t>
  </si>
  <si>
    <t xml:space="preserve">ZINC SULF220CP </t>
  </si>
  <si>
    <t>0053125266</t>
  </si>
  <si>
    <t>ZOLPIDEM 6.25MG XR TB</t>
  </si>
  <si>
    <t>ZOLPIDEM6.2XRTB</t>
  </si>
  <si>
    <t>0053125290</t>
  </si>
  <si>
    <t>ZOLPIDEM 5MG TB</t>
  </si>
  <si>
    <t xml:space="preserve">ZOLPIDEM5MGTB  </t>
  </si>
  <si>
    <t>0053125308</t>
  </si>
  <si>
    <t>ZOLPIDEM 10MG TB</t>
  </si>
  <si>
    <t xml:space="preserve">ZOLPIDEM10MGTB </t>
  </si>
  <si>
    <t>0053125324</t>
  </si>
  <si>
    <t>ZIPRASIDONE 20MG CP</t>
  </si>
  <si>
    <t>ZIPRASIDONE20CP</t>
  </si>
  <si>
    <t>0053125332</t>
  </si>
  <si>
    <t>ZIPRASIDONE 40MG CP</t>
  </si>
  <si>
    <t>ZIPRASIDONE40CP</t>
  </si>
  <si>
    <t>0053125357</t>
  </si>
  <si>
    <t>ZONISAMIDE 100MG CP</t>
  </si>
  <si>
    <t>ZONISAMIDE100CP</t>
  </si>
  <si>
    <t>0053140091</t>
  </si>
  <si>
    <t>APAP 80M/.8M 15ML LQ</t>
  </si>
  <si>
    <t>APAP80/.8-15 LQ</t>
  </si>
  <si>
    <t>0053140117</t>
  </si>
  <si>
    <t>APAP 160M/5M 5ML LQ</t>
  </si>
  <si>
    <t>APAP 160/5-5 LQ</t>
  </si>
  <si>
    <t>0053140182</t>
  </si>
  <si>
    <t>APAP 160M/5M 10.15ML LQ</t>
  </si>
  <si>
    <t xml:space="preserve">APAP160/5-10LQ </t>
  </si>
  <si>
    <t>0053140364</t>
  </si>
  <si>
    <t>CHARCOAL 25GM/120ML LQ</t>
  </si>
  <si>
    <t>CHARCL 25-120LQ</t>
  </si>
  <si>
    <t>0053141198</t>
  </si>
  <si>
    <t>AL/MG OH/SIM 30ML ES LQ</t>
  </si>
  <si>
    <t>AL/MG/SIM30ESLQ</t>
  </si>
  <si>
    <t>0053141768</t>
  </si>
  <si>
    <t>AMANTADINE 10M/M 10ML LQ</t>
  </si>
  <si>
    <t>AMANTADINE 10LQ</t>
  </si>
  <si>
    <t>0053142378</t>
  </si>
  <si>
    <t>AMOXIC/CLAV250/5 5MLPWLQ</t>
  </si>
  <si>
    <t>AMOX/CLV250 5LQ</t>
  </si>
  <si>
    <t>0053142394</t>
  </si>
  <si>
    <t>AMOXIC/CLAV250/5 75PWLQ</t>
  </si>
  <si>
    <t xml:space="preserve">AMOX/CLV75PWLQ </t>
  </si>
  <si>
    <t>0053142493</t>
  </si>
  <si>
    <t>AMOXICILLIN 125/5 5ML LQ</t>
  </si>
  <si>
    <t xml:space="preserve">AMOXIC 125 5LQ </t>
  </si>
  <si>
    <t>0053142535</t>
  </si>
  <si>
    <t>AMOXICILLIN 250/5 5ML LQ</t>
  </si>
  <si>
    <t xml:space="preserve">AMOXIC 250 5LQ </t>
  </si>
  <si>
    <t>0053142576</t>
  </si>
  <si>
    <t>AMOXICILLN 250/5 80ML LQ</t>
  </si>
  <si>
    <t xml:space="preserve">AMOXIC250 80LQ </t>
  </si>
  <si>
    <t>0053143046</t>
  </si>
  <si>
    <t>AZITHROMYC 200/5 30ML LQ</t>
  </si>
  <si>
    <t xml:space="preserve">AZITHROMY30 LQ </t>
  </si>
  <si>
    <t>0053143608</t>
  </si>
  <si>
    <t>BISMUTH SUBSALI 240ML LQ</t>
  </si>
  <si>
    <t>BISMTHSUBS240LQ</t>
  </si>
  <si>
    <t>0053143814</t>
  </si>
  <si>
    <t>COLONIC LAVAGE 4L PWLQ</t>
  </si>
  <si>
    <t xml:space="preserve">COLONIC LAV 4L </t>
  </si>
  <si>
    <t>0053145645</t>
  </si>
  <si>
    <t>CEPHALEXIN125/5 100 PWLQ</t>
  </si>
  <si>
    <t>CEPHALX125100LQ</t>
  </si>
  <si>
    <t>0053145975</t>
  </si>
  <si>
    <t>PHENOL 1.4% 180ML SP</t>
  </si>
  <si>
    <t>PHENOL 180ML SP</t>
  </si>
  <si>
    <t>0053146809</t>
  </si>
  <si>
    <t>CHOLESTYRAMINE 4GM PWLQ</t>
  </si>
  <si>
    <t>CHOLESTYR 4PWLQ</t>
  </si>
  <si>
    <t>0053147542</t>
  </si>
  <si>
    <t>CITRATE MG 300ML LQ</t>
  </si>
  <si>
    <t>CITRATE MG300LQ</t>
  </si>
  <si>
    <t>0053148557</t>
  </si>
  <si>
    <t>SMX-TMP 200-40/5 20MLLQ</t>
  </si>
  <si>
    <t xml:space="preserve">SMX-TMP 20 LQ  </t>
  </si>
  <si>
    <t>0053148755</t>
  </si>
  <si>
    <t>CYCLOSPORINE100MG/1ML LQ</t>
  </si>
  <si>
    <t>CYCLOSPOR1ML LQ</t>
  </si>
  <si>
    <t>0053149100</t>
  </si>
  <si>
    <t>DEXAMETHASONE 1MG/1ML LQ</t>
  </si>
  <si>
    <t>DEXAMET1MG1MLLQ</t>
  </si>
  <si>
    <t>0053149662</t>
  </si>
  <si>
    <t>DIGOXIN.05MG/ML 2.5ML LQ</t>
  </si>
  <si>
    <t>DIGOXIN 2.5MLLQ</t>
  </si>
  <si>
    <t>0053149985</t>
  </si>
  <si>
    <t>DIPHENHYDRA12.5MG/5ML LQ</t>
  </si>
  <si>
    <t xml:space="preserve">DIPHENHYDR 5LQ </t>
  </si>
  <si>
    <t>0053150017</t>
  </si>
  <si>
    <t>DIPHENHYDRA12.5/5 10 LQ</t>
  </si>
  <si>
    <t>DIPHENHYDR 10LQ</t>
  </si>
  <si>
    <t>0053150546</t>
  </si>
  <si>
    <t>DOCUSATE 100MG/10ML LQ</t>
  </si>
  <si>
    <t>DOCUSATE10ML LQ</t>
  </si>
  <si>
    <t>0053150819</t>
  </si>
  <si>
    <t>ATROP/HYOS/PB/SCOP10MLLQ</t>
  </si>
  <si>
    <t>AT/HY/PB/SC10LQ</t>
  </si>
  <si>
    <t>0053151668</t>
  </si>
  <si>
    <t>ERYTHROMY400MG/5ML LQ</t>
  </si>
  <si>
    <t>ERYTHROMY5ML LQ</t>
  </si>
  <si>
    <t>0053152070</t>
  </si>
  <si>
    <t>FERROUS SULF 300MG/5MLLQ</t>
  </si>
  <si>
    <t>FE SULF300/5 LQ</t>
  </si>
  <si>
    <t>0053152484</t>
  </si>
  <si>
    <t>FUROSEMIDE 40MG/5ML LQ</t>
  </si>
  <si>
    <t>FUROSEMID5ML LQ</t>
  </si>
  <si>
    <t>0053152542</t>
  </si>
  <si>
    <t>GI COCKTAIL LQ</t>
  </si>
  <si>
    <t xml:space="preserve">GI COCKTAIL LQ </t>
  </si>
  <si>
    <t>0053152591</t>
  </si>
  <si>
    <t>GLUCOSE 40% 15GM GL LQ</t>
  </si>
  <si>
    <t xml:space="preserve">GLUCOSE15GM LQ </t>
  </si>
  <si>
    <t>0053152658</t>
  </si>
  <si>
    <t>GLUCOSAMINE 500MG CP</t>
  </si>
  <si>
    <t>GLUCOSAMN500 CP</t>
  </si>
  <si>
    <t>0053152815</t>
  </si>
  <si>
    <t>GUAF 100MG/5ML 15ML LQ</t>
  </si>
  <si>
    <t xml:space="preserve">GF 15ML LQ     </t>
  </si>
  <si>
    <t>0053152880</t>
  </si>
  <si>
    <t>GF/CODEINE10-100/5 5MLLQ</t>
  </si>
  <si>
    <t>GF/CODEINE 5 LQ</t>
  </si>
  <si>
    <t>0053152906</t>
  </si>
  <si>
    <t>GF/CODEINE10-100/5 10LQ</t>
  </si>
  <si>
    <t>GF/CODEINE 10LQ</t>
  </si>
  <si>
    <t>0053153037</t>
  </si>
  <si>
    <t>GF/DM 100-10/5 5ML LQ</t>
  </si>
  <si>
    <t xml:space="preserve">GF/DM 5ML LQ   </t>
  </si>
  <si>
    <t>0053153045</t>
  </si>
  <si>
    <t>GF/DM 100-10/5 10ML LQ</t>
  </si>
  <si>
    <t xml:space="preserve">GF/DM 10ML LQ  </t>
  </si>
  <si>
    <t>0053153359</t>
  </si>
  <si>
    <t>IBUPROFEN 100MG/5ML LQ</t>
  </si>
  <si>
    <t>IBUPROFEN 5MLLQ</t>
  </si>
  <si>
    <t>0053153367</t>
  </si>
  <si>
    <t>IBUPROFEN 100/5 120ML LQ</t>
  </si>
  <si>
    <t>IBUPROFEN 120LQ</t>
  </si>
  <si>
    <t>0053154407</t>
  </si>
  <si>
    <t>LACTOBACILLUS GR 1GM PK</t>
  </si>
  <si>
    <t>LACTOBACL GR1PK</t>
  </si>
  <si>
    <t>0053154589</t>
  </si>
  <si>
    <t>LACTULOSE 10/15 480ML LQ</t>
  </si>
  <si>
    <t>LACTULOSE480 LQ</t>
  </si>
  <si>
    <t>0053154597</t>
  </si>
  <si>
    <t>LACTULOSE 10/15 30ML LQ</t>
  </si>
  <si>
    <t>LACTULOSE30MLLQ</t>
  </si>
  <si>
    <t>0053154787</t>
  </si>
  <si>
    <t>LEVETIRACETAM500MG/5MLLQ</t>
  </si>
  <si>
    <t>LEVETIRACTAM5LQ</t>
  </si>
  <si>
    <t>0053155065</t>
  </si>
  <si>
    <t>LIDOCAINE VISC 2% 15MLLQ</t>
  </si>
  <si>
    <t>LIDOC VISC 15ML</t>
  </si>
  <si>
    <t>0053155081</t>
  </si>
  <si>
    <t>LOPERAMIDE 2MG/15ML LQ</t>
  </si>
  <si>
    <t>LOPERAMID15MLLQ</t>
  </si>
  <si>
    <t>0053155412</t>
  </si>
  <si>
    <t>MAGIC MOUTHWASH CMPD LQ</t>
  </si>
  <si>
    <t>MAGIC MOUTHWASH</t>
  </si>
  <si>
    <t>0053155685</t>
  </si>
  <si>
    <t>MEGESTROL40MG/ML 10ML LQ</t>
  </si>
  <si>
    <t xml:space="preserve">MEGESTR40 10LQ </t>
  </si>
  <si>
    <t>0053156683</t>
  </si>
  <si>
    <t>METOCLOPRAM5/5 10ML LQ</t>
  </si>
  <si>
    <t>METOCLOPRAM10LQ</t>
  </si>
  <si>
    <t>0053157426</t>
  </si>
  <si>
    <t>MG OH 8% 30ML LQ</t>
  </si>
  <si>
    <t xml:space="preserve">MG OH 30ML LQ  </t>
  </si>
  <si>
    <t>0053158077</t>
  </si>
  <si>
    <t>MVI 5ML LQ</t>
  </si>
  <si>
    <t xml:space="preserve">MVI 5ML LQ     </t>
  </si>
  <si>
    <t>0053158119</t>
  </si>
  <si>
    <t>MVI 15ML LQ</t>
  </si>
  <si>
    <t xml:space="preserve">MVI 15ML LQ    </t>
  </si>
  <si>
    <t>0053158812</t>
  </si>
  <si>
    <t>NYSTATIN 5ML LQ</t>
  </si>
  <si>
    <t>0053159059</t>
  </si>
  <si>
    <t>OSELTAMIVIR 6/1 60MLPWLQ</t>
  </si>
  <si>
    <t>OSELTAM60MLPWLQ</t>
  </si>
  <si>
    <t>0053160594</t>
  </si>
  <si>
    <t>PHENYTOIN 100MG/4ML LQ</t>
  </si>
  <si>
    <t>PHENYTOIN 4MLLQ</t>
  </si>
  <si>
    <t>0053160727</t>
  </si>
  <si>
    <t>POLYETHYLE GLYCOL 17GMPW</t>
  </si>
  <si>
    <t>POLYETHGLYC17PW</t>
  </si>
  <si>
    <t>0053160750</t>
  </si>
  <si>
    <t>POLYSTYRENE 60ML LQ</t>
  </si>
  <si>
    <t>POLYSTYRENE60LQ</t>
  </si>
  <si>
    <t>0053160974</t>
  </si>
  <si>
    <t>KCL 20MEQ PK PWLQ</t>
  </si>
  <si>
    <t>KCL20MEQ PKPWLQ</t>
  </si>
  <si>
    <t>0053161048</t>
  </si>
  <si>
    <t>KCL 40MEQ 30ML LQ</t>
  </si>
  <si>
    <t xml:space="preserve">KCL 30ML LQ    </t>
  </si>
  <si>
    <t>0053161071</t>
  </si>
  <si>
    <t>K IODIDE 1GM/ML 30ML LQ</t>
  </si>
  <si>
    <t>K IODIDE 30MLLQ</t>
  </si>
  <si>
    <t>0053161238</t>
  </si>
  <si>
    <t>PREDNISOLONE 15/5 5ML LQ</t>
  </si>
  <si>
    <t>PREDNISOLONE5LQ</t>
  </si>
  <si>
    <t>0053161345</t>
  </si>
  <si>
    <t>POLYETHYLE GLYCOL510GMPW</t>
  </si>
  <si>
    <t>POLYETHGLY510PW</t>
  </si>
  <si>
    <t>0053161477</t>
  </si>
  <si>
    <t>PROMETHAZIN/COD 5ML LQ</t>
  </si>
  <si>
    <t>PROMETHZ/CD 5LQ</t>
  </si>
  <si>
    <t>0053161501</t>
  </si>
  <si>
    <t>PROMETHAZINE/DM 5ML LQ</t>
  </si>
  <si>
    <t>PROMETH/DM5MLLQ</t>
  </si>
  <si>
    <t>0053161550</t>
  </si>
  <si>
    <t>PROMETHAZ 6.25MG/5ML LQ</t>
  </si>
  <si>
    <t>PROMETHAZ5ML LQ</t>
  </si>
  <si>
    <t>0053162053</t>
  </si>
  <si>
    <t>PSYLLIUM PK</t>
  </si>
  <si>
    <t xml:space="preserve">PSYLLIUM PK    </t>
  </si>
  <si>
    <t>0053163176</t>
  </si>
  <si>
    <t>SEVELAMER 0.8GM PW LQ</t>
  </si>
  <si>
    <t xml:space="preserve">SEVELA.8GMPWLQ </t>
  </si>
  <si>
    <t>0053163556</t>
  </si>
  <si>
    <t>NA CITRA/CITRC AC30ML LQ</t>
  </si>
  <si>
    <t>NA CIT/CTAC30LQ</t>
  </si>
  <si>
    <t>0053163622</t>
  </si>
  <si>
    <t>SOD ZIRCONIUM CYCLOS 10GM PWLQ</t>
  </si>
  <si>
    <t>NA ZIRCON CYC 1</t>
  </si>
  <si>
    <t>0053163663</t>
  </si>
  <si>
    <t>SOD ZIRCONIUM CYCLO 5GM PWLQ</t>
  </si>
  <si>
    <t>NA ZIRCON CYC 5</t>
  </si>
  <si>
    <t>0053163739</t>
  </si>
  <si>
    <t>SORBITOL 70% 30ML LQ</t>
  </si>
  <si>
    <t>SORBITOL 30MLLQ</t>
  </si>
  <si>
    <t>0053163754</t>
  </si>
  <si>
    <t>SORBITOL 70% 120ML LQ</t>
  </si>
  <si>
    <t>SORBITOL120MLLQ</t>
  </si>
  <si>
    <t>0053163903</t>
  </si>
  <si>
    <t>SUCRALFATE 1G/10ML LQ</t>
  </si>
  <si>
    <t>SUCRALFAT10MLLQ</t>
  </si>
  <si>
    <t>0053164331</t>
  </si>
  <si>
    <t>THEOPHYLLINE80MG/15ML LQ</t>
  </si>
  <si>
    <t>THEOPHYLL15MLLQ</t>
  </si>
  <si>
    <t>0053165858</t>
  </si>
  <si>
    <t>VALPROATE 250MG/5ML LQ</t>
  </si>
  <si>
    <t>VALPROATE 5MLLQ</t>
  </si>
  <si>
    <t>0053165916</t>
  </si>
  <si>
    <t>VANCOMYCIN 125MG/5ML LQ</t>
  </si>
  <si>
    <t xml:space="preserve">VANCO 5ML LQ   </t>
  </si>
  <si>
    <t>0053166021</t>
  </si>
  <si>
    <t>VANCOMYCIN CMPD LQ</t>
  </si>
  <si>
    <t>VANCOMYINCMPDLQ</t>
  </si>
  <si>
    <t>0053166153</t>
  </si>
  <si>
    <t>VITAMIN C 500MG/5ML LQ</t>
  </si>
  <si>
    <t xml:space="preserve">VIT C 500/5 LQ </t>
  </si>
  <si>
    <t>0053166203</t>
  </si>
  <si>
    <t>VITAMIN C500/5 120ML LQ</t>
  </si>
  <si>
    <t xml:space="preserve">VIT C 120ML LQ </t>
  </si>
  <si>
    <t>0053180048</t>
  </si>
  <si>
    <t>ACETAZOLAMI UPTO 500MGIJ</t>
  </si>
  <si>
    <t>ACETAZOLAM500IJ</t>
  </si>
  <si>
    <t>0053180154</t>
  </si>
  <si>
    <t>ACYCLOVIR PER 5MG IJ</t>
  </si>
  <si>
    <t>ACYCLOVIR 5MGIJ</t>
  </si>
  <si>
    <t>0053180162</t>
  </si>
  <si>
    <t>ACETYLCYSTEIN PER100MGIJ</t>
  </si>
  <si>
    <t>ACETYLCYST100IJ</t>
  </si>
  <si>
    <t>0053180311</t>
  </si>
  <si>
    <t>ALBUMIN 5% PER 50ML IJ</t>
  </si>
  <si>
    <t>ALBUMIN5%50MLIJ</t>
  </si>
  <si>
    <t>0053180329</t>
  </si>
  <si>
    <t>ALBUMIN 5% PER 250ML IJ</t>
  </si>
  <si>
    <t>ALBUMIN5% 250IJ</t>
  </si>
  <si>
    <t>0053180477</t>
  </si>
  <si>
    <t>ADENOSINE PER 1MG IJ</t>
  </si>
  <si>
    <t>ADENOSINE 1MGIJ</t>
  </si>
  <si>
    <t>0053180634</t>
  </si>
  <si>
    <t>ALBUMIN 25% PER 50ML IJ</t>
  </si>
  <si>
    <t>ALBUMIN25% 50IJ</t>
  </si>
  <si>
    <t>0053180774</t>
  </si>
  <si>
    <t>ETHANOL99% 5ML IJ</t>
  </si>
  <si>
    <t>ETHANOL 5ML IJ</t>
  </si>
  <si>
    <t>0053180923</t>
  </si>
  <si>
    <t>ALTEPLASE PER 1MG IJ</t>
  </si>
  <si>
    <t>ALTEPLASE 1MGIJ</t>
  </si>
  <si>
    <t>0053181145</t>
  </si>
  <si>
    <t>AMIKACIN PER 100MG IJ</t>
  </si>
  <si>
    <t>AMIKACIN100MGIJ</t>
  </si>
  <si>
    <t>0053181509</t>
  </si>
  <si>
    <t>AMINOCAPROIC ACID PER 1GM IJ</t>
  </si>
  <si>
    <t>AMINOCAPROIC AC</t>
  </si>
  <si>
    <t>0053181988</t>
  </si>
  <si>
    <t>AMIODAR PER30MG PMXIV IJ</t>
  </si>
  <si>
    <t>AMIODARO30PMXIJ</t>
  </si>
  <si>
    <t>0053181996</t>
  </si>
  <si>
    <t>AMIODARONE PER 30MG IJ</t>
  </si>
  <si>
    <t>AMIODARON30MGIJ</t>
  </si>
  <si>
    <t>0053182655</t>
  </si>
  <si>
    <t>AMPICILLIN PER 500MG IJ</t>
  </si>
  <si>
    <t>AMPICILL500MGIJ</t>
  </si>
  <si>
    <t>0053182929</t>
  </si>
  <si>
    <t>AMPICIL/SUL PER1.5GM IJ</t>
  </si>
  <si>
    <t>AMPIC/SU1.5GMIJ</t>
  </si>
  <si>
    <t>0053183158</t>
  </si>
  <si>
    <t>ASCORBIC ACID 1GM/2ML IJ</t>
  </si>
  <si>
    <t>ASCORB AC 2MLIJ</t>
  </si>
  <si>
    <t>0053183380</t>
  </si>
  <si>
    <t>APAP NOS PER 10MG IJ</t>
  </si>
  <si>
    <t>APAP NOS 10MG I</t>
  </si>
  <si>
    <t>0053183422</t>
  </si>
  <si>
    <t>ANTICOAG NA CIT 500ML IJ</t>
  </si>
  <si>
    <t>NA CITR500ML IJ</t>
  </si>
  <si>
    <t>0053183448</t>
  </si>
  <si>
    <t>ARGATROBAN NONESRD 1MGIJ</t>
  </si>
  <si>
    <t>ARGATROB 1MG IJ</t>
  </si>
  <si>
    <t>0053183463</t>
  </si>
  <si>
    <t>ARGATROB N/ESRD1MG PMXIJ</t>
  </si>
  <si>
    <t>ARGATROB 1MGPMX</t>
  </si>
  <si>
    <t>0053183877</t>
  </si>
  <si>
    <t>ATROPINE PER 0.01MG IJ</t>
  </si>
  <si>
    <t>ATROPINE.01MGIJ</t>
  </si>
  <si>
    <t>0053183885</t>
  </si>
  <si>
    <t>ATROPINE PER 0.01MGPFSIJ</t>
  </si>
  <si>
    <t>ATROP.01MGPFSIJ</t>
  </si>
  <si>
    <t>0053184149</t>
  </si>
  <si>
    <t>AZITHROMYCIN PER500MG IJ</t>
  </si>
  <si>
    <t>AZITHROM500MGIJ</t>
  </si>
  <si>
    <t>0053184305</t>
  </si>
  <si>
    <t>AZTREONAM PER 100MG IJ</t>
  </si>
  <si>
    <t>AZTREONAM PER 1</t>
  </si>
  <si>
    <t>0053184537</t>
  </si>
  <si>
    <t>BACITRACIN 50000U IJ</t>
  </si>
  <si>
    <t>BACITRACN50KUIJ</t>
  </si>
  <si>
    <t>0053185385</t>
  </si>
  <si>
    <t>BENZTROPINE PER 1MG IJ</t>
  </si>
  <si>
    <t>BENZTROPIN1MGIJ</t>
  </si>
  <si>
    <t>0053185583</t>
  </si>
  <si>
    <t>BETAMETHASONE PER 6MG IJ</t>
  </si>
  <si>
    <t>BETAMETH 6MG IJ</t>
  </si>
  <si>
    <t>0053186177</t>
  </si>
  <si>
    <t>BIVALIRUDIN PER 1MG IJ</t>
  </si>
  <si>
    <t>BIVALIRUDIN 1IJ</t>
  </si>
  <si>
    <t>0053186425</t>
  </si>
  <si>
    <t>ANTIVEN BLK WIDOW IJ</t>
  </si>
  <si>
    <t>ANTIVENBLKWIDIJ</t>
  </si>
  <si>
    <t>0053186516</t>
  </si>
  <si>
    <t>BOTULINUM TOXIN A PERUIJ</t>
  </si>
  <si>
    <t>BOTULINM TOXUIJ</t>
  </si>
  <si>
    <t>0053186813</t>
  </si>
  <si>
    <t>BUPIV/KETOR/KETAMINE 50ML IJ</t>
  </si>
  <si>
    <t>BUPIV/KETO/KETA</t>
  </si>
  <si>
    <t>0053186847</t>
  </si>
  <si>
    <t>BUMETANIDE PER .5MG IJ</t>
  </si>
  <si>
    <t>BUMETANID.5MGIJ</t>
  </si>
  <si>
    <t>0053187670</t>
  </si>
  <si>
    <t>CAFFEINE/NA BENZ 500MGIJ</t>
  </si>
  <si>
    <t>CAFF/NA BE500IJ</t>
  </si>
  <si>
    <t>0053187688</t>
  </si>
  <si>
    <t>BUPIVACAINE NOS PER 0.5MG IJ</t>
  </si>
  <si>
    <t>BUPIVACAINE NOS</t>
  </si>
  <si>
    <t>0053187696</t>
  </si>
  <si>
    <t>BUPIVACAI/EPI NOS PER 0.5MG IJ</t>
  </si>
  <si>
    <t>BUPIVAC/EPI NOS</t>
  </si>
  <si>
    <t>0053187720</t>
  </si>
  <si>
    <t>BUPIVACAIN PF NOS PER 0.5MG IJ</t>
  </si>
  <si>
    <t>BUPIVACN PF NOS</t>
  </si>
  <si>
    <t>0053187761</t>
  </si>
  <si>
    <t>BUPIVACAI/DEX NOS PER 0.5MG IJ</t>
  </si>
  <si>
    <t>BUPIVAC/DEX NOS</t>
  </si>
  <si>
    <t>0053187886</t>
  </si>
  <si>
    <t>CALCITONIN UPTO 400U IJ</t>
  </si>
  <si>
    <t>CALCITON 400UIJ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</si>
  <si>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</si>
  <si>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</si>
  <si>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</si>
  <si>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</si>
  <si>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</si>
  <si>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</si>
  <si>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</si>
  <si>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</si>
  <si>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</si>
  <si>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</si>
  <si>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</si>
  <si>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</si>
  <si>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</si>
  <si>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</si>
  <si>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</si>
  <si>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0053188553</t>
  </si>
  <si>
    <t>CANGRELOR PER 1MG IJ</t>
  </si>
  <si>
    <t>CANGRELOR 1MGIJ</t>
  </si>
  <si>
    <t>0053189767</t>
  </si>
  <si>
    <t>CEFAZOLIN 500MG IJ</t>
  </si>
  <si>
    <t>CEFAZOL 500MGIJ</t>
  </si>
  <si>
    <t>0053189775</t>
  </si>
  <si>
    <t>CEFAZOLIN 500MG PMX IJ</t>
  </si>
  <si>
    <t>CEFAZOL500PMXIJ</t>
  </si>
  <si>
    <t>0053189858</t>
  </si>
  <si>
    <t>CEFEPIME PER 500MG IJ</t>
  </si>
  <si>
    <t>CEFEPIME500MGIJ</t>
  </si>
  <si>
    <t>0053190492</t>
  </si>
  <si>
    <t>CEFOXITIN PER 1GM IJ</t>
  </si>
  <si>
    <t>CEFOXITIN 1GMIJ</t>
  </si>
  <si>
    <t>0053190500</t>
  </si>
  <si>
    <t>CEFOXITIN PER 1GM PMX IJ</t>
  </si>
  <si>
    <t>CEFOXIT1GMPMXIJ</t>
  </si>
  <si>
    <t>0053190526</t>
  </si>
  <si>
    <t>CEFTAROLINE PER 10MG IJ</t>
  </si>
  <si>
    <t>CEFTAROL10MG IJ</t>
  </si>
  <si>
    <t>0053190609</t>
  </si>
  <si>
    <t>CEFTAZIDIME PER 500MG IJ</t>
  </si>
  <si>
    <t>CEFTAZID500MGIJ</t>
  </si>
  <si>
    <t>0053190716</t>
  </si>
  <si>
    <t>CEFTAZ/AVIBAC.5/.125G IJ</t>
  </si>
  <si>
    <t>CEFTAZ/AVIB IJ</t>
  </si>
  <si>
    <t>0053190740</t>
  </si>
  <si>
    <t>CEFTOLOZ/TAZOBACT 75MGIJ</t>
  </si>
  <si>
    <t>CEFT/TAZ 75MGIJ</t>
  </si>
  <si>
    <t>0053190823</t>
  </si>
  <si>
    <t>CEFTRIAXONE PER 250MG IJ</t>
  </si>
  <si>
    <t>CEFTRIAX250MGIJ</t>
  </si>
  <si>
    <t>0053190922</t>
  </si>
  <si>
    <t>CEFTRIAX PER250MG PMXIJ</t>
  </si>
  <si>
    <t>CEFTRIA250PMXIJ</t>
  </si>
  <si>
    <t>0053191011</t>
  </si>
  <si>
    <t>CEFUROXIME PER 750MG IJ</t>
  </si>
  <si>
    <t>CEFUROX750MG IJ</t>
  </si>
  <si>
    <t>0053193090</t>
  </si>
  <si>
    <t>CHLORPROMAZ UPTO 50MG IJ</t>
  </si>
  <si>
    <t>CHLORPRMZ50MGIJ</t>
  </si>
  <si>
    <t>0053193850</t>
  </si>
  <si>
    <t>CIPROFLOXACN PER 200MGIJ</t>
  </si>
  <si>
    <t>CIPROFLO200MGIJ</t>
  </si>
  <si>
    <t>0053193884</t>
  </si>
  <si>
    <t>CIPROFLOX PER200MG PMXIJ</t>
  </si>
  <si>
    <t>CIPROFL200PMXIJ</t>
  </si>
  <si>
    <t>0053193918</t>
  </si>
  <si>
    <t>CISATRACURM 2MG/ML 5MLIJ</t>
  </si>
  <si>
    <t>CISATRACU 5MLIJ</t>
  </si>
  <si>
    <t>0053193926</t>
  </si>
  <si>
    <t>CISATRACURM 2MG/ML10MLIJ</t>
  </si>
  <si>
    <t>CISATRACU10MLIJ</t>
  </si>
  <si>
    <t>0053194098</t>
  </si>
  <si>
    <t>CLEVIDIPINE PER 1MG IJ</t>
  </si>
  <si>
    <t>CLEVIDIP 1MG IJ</t>
  </si>
  <si>
    <t>0053194247</t>
  </si>
  <si>
    <t>CLINDAMYCIN PER 300MG IJ</t>
  </si>
  <si>
    <t>CLINDAMY300MGIJ</t>
  </si>
  <si>
    <t>0053194254</t>
  </si>
  <si>
    <t>CLINDAMYCIN PER 300MG PMX IJ</t>
  </si>
  <si>
    <t>CLINDAM300PMXIJ</t>
  </si>
  <si>
    <t>0053195897</t>
  </si>
  <si>
    <t>COSYNTROPIN PER.25MG IJ</t>
  </si>
  <si>
    <t>COSYNTRO.25MGIJ</t>
  </si>
  <si>
    <t>0053196341</t>
  </si>
  <si>
    <t>ANTIVEN CROTAL PER1GM IJ</t>
  </si>
  <si>
    <t>ANTIVEN CROT IJ</t>
  </si>
  <si>
    <t>0053196358</t>
  </si>
  <si>
    <t>ANTIVEN CROTAL IMM FAB 2 EQ IJ</t>
  </si>
  <si>
    <t>ANTIV CROTA IMF</t>
  </si>
  <si>
    <t>0053196747</t>
  </si>
  <si>
    <t>CYANOCOBALAMN UPTO1MG IJ</t>
  </si>
  <si>
    <t>CYANOCOBAL1MGIJ</t>
  </si>
  <si>
    <t>0053197414</t>
  </si>
  <si>
    <t>DALBAVANCIN PER 5MG IJ</t>
  </si>
  <si>
    <t>DALBAVAN 5MGIJ</t>
  </si>
  <si>
    <t>0053197521</t>
  </si>
  <si>
    <t>DANTROLENE 20MG/70ML IJ</t>
  </si>
  <si>
    <t>DANTROLEN70MLIJ</t>
  </si>
  <si>
    <t>0053197596</t>
  </si>
  <si>
    <t>DAPTOMYCIN PER 1MG IJ</t>
  </si>
  <si>
    <t>DAPTOMYCIN1MGIJ</t>
  </si>
  <si>
    <t>0053198024</t>
  </si>
  <si>
    <t>DENOSUMAB PER 1MG IJ</t>
  </si>
  <si>
    <t>DENOSUMAB1MG IJ</t>
  </si>
  <si>
    <t>0053198198</t>
  </si>
  <si>
    <t>DESMOPRESSIN PER 1MCG IJ</t>
  </si>
  <si>
    <t>DESMOPRES1MCGIJ</t>
  </si>
  <si>
    <t>0053198644</t>
  </si>
  <si>
    <t>DEXAMETHASONE-S PER1MGIJ</t>
  </si>
  <si>
    <t>DEXAMETHAS1MGIJ</t>
  </si>
  <si>
    <t>0053198800</t>
  </si>
  <si>
    <t>DEXMEDETOMIDINE200MCGIJ</t>
  </si>
  <si>
    <t>DEXMEDETOM200IJ</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</si>
  <si>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</si>
  <si>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</si>
  <si>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</si>
  <si>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</si>
  <si>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</si>
  <si>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</si>
  <si>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</si>
  <si>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</si>
  <si>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</si>
  <si>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</si>
  <si>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</si>
  <si>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</si>
  <si>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</si>
  <si>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</si>
  <si>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</si>
  <si>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</si>
  <si>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</si>
  <si>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</si>
  <si>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</si>
  <si>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</si>
  <si>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</si>
  <si>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</si>
  <si>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</si>
  <si>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</si>
  <si>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</si>
  <si>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</si>
  <si>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</si>
  <si>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0053200648</t>
  </si>
  <si>
    <t>DILTIAZEM 125 MG IJ</t>
  </si>
  <si>
    <t>DILTIAZE125MGIJ</t>
  </si>
  <si>
    <t>0053201174</t>
  </si>
  <si>
    <t>DIPHENHYDR UPTO 50MG IJ</t>
  </si>
  <si>
    <t>DIPHENHYDR 50MG</t>
  </si>
  <si>
    <t>0053201372</t>
  </si>
  <si>
    <t>DIPHTHER TET &gt;7YR PF IJ</t>
  </si>
  <si>
    <t>DIPHTH TET&gt;7IJ</t>
  </si>
  <si>
    <t>0053201471</t>
  </si>
  <si>
    <t>TDAP &gt; 7YR VAC IJ</t>
  </si>
  <si>
    <t>TDAP&gt;7YR VAC IJ</t>
  </si>
  <si>
    <t>0053201851</t>
  </si>
  <si>
    <t>DOBUTAMINE PER250MG IJ</t>
  </si>
  <si>
    <t>DOBUTAM 250MGIJ</t>
  </si>
  <si>
    <t>0053201869</t>
  </si>
  <si>
    <t>DOBUTAMN PER250MG PMX IJ</t>
  </si>
  <si>
    <t>DOBUTAM250MG IJ</t>
  </si>
  <si>
    <t>0053202081</t>
  </si>
  <si>
    <t>DOPAMINE PER40MG PMX IJ</t>
  </si>
  <si>
    <t>DOPAMINE40PMXIJ</t>
  </si>
  <si>
    <t>0053202107</t>
  </si>
  <si>
    <t>DOPAMINE PER40MG IV IJ</t>
  </si>
  <si>
    <t>DOPAMINE 40IVIJ</t>
  </si>
  <si>
    <t>0053202958</t>
  </si>
  <si>
    <t>DOXYCYCLINE HYCLATE PER 1MG IJ</t>
  </si>
  <si>
    <t>DOXYCYCLINE PER</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</si>
  <si>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</si>
  <si>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</si>
  <si>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</si>
  <si>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</si>
  <si>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</si>
  <si>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</si>
  <si>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</si>
  <si>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</si>
  <si>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</si>
  <si>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</si>
  <si>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</si>
  <si>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</si>
  <si>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</si>
  <si>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</si>
  <si>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</si>
  <si>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0053204293</t>
  </si>
  <si>
    <t>EPINEPHRINE .3ML KT IJ</t>
  </si>
  <si>
    <t xml:space="preserve">EPINEPHR.3KTIJ </t>
  </si>
  <si>
    <t>0053204319</t>
  </si>
  <si>
    <t>EPOETIN NON-ESRD 1000U IJ</t>
  </si>
  <si>
    <t>EPOETIN NON-ESR</t>
  </si>
  <si>
    <t>0053204491</t>
  </si>
  <si>
    <t>EPTIFIBATIDE PER 5MG IJ</t>
  </si>
  <si>
    <t>EPTIFIBATIDE5IJ</t>
  </si>
  <si>
    <t>0053204582</t>
  </si>
  <si>
    <t>EPINEPHRINE PER 0.1MG IJ</t>
  </si>
  <si>
    <t>EPINEPHR0.1MGIJ</t>
  </si>
  <si>
    <t>0053204715</t>
  </si>
  <si>
    <t>EPOETIN-EPBX ESRD PER 100U IJ</t>
  </si>
  <si>
    <t>EPOETIN-EPBX ES</t>
  </si>
  <si>
    <t>0053204723</t>
  </si>
  <si>
    <t>EPOETIN-EPBX NON-ESRD 1000U IJ</t>
  </si>
  <si>
    <t>EPOETIN-EPBX NO</t>
  </si>
  <si>
    <t>0053204913</t>
  </si>
  <si>
    <t>ERTAPENEM PER 500MG IJ</t>
  </si>
  <si>
    <t>ERTAPENEM 500IJ</t>
  </si>
  <si>
    <t>0053205084</t>
  </si>
  <si>
    <t>ERYTHROMYCIN LA500MG IJ</t>
  </si>
  <si>
    <t>ERYTHRO LA500IJ</t>
  </si>
  <si>
    <t>0053205282</t>
  </si>
  <si>
    <t>ESMOLOL PER 10MG IJ</t>
  </si>
  <si>
    <t>ESMOLOL PER 10M</t>
  </si>
  <si>
    <t>0053205290</t>
  </si>
  <si>
    <t>ESMOLOL PER 10MG PMX IJ</t>
  </si>
  <si>
    <t>0053205423</t>
  </si>
  <si>
    <t>ESTROGEN CONJ PER25MG IJ</t>
  </si>
  <si>
    <t>ESTROGEN 25MGIJ</t>
  </si>
  <si>
    <t>0053205845</t>
  </si>
  <si>
    <t>FAMOTIDINE PER 0.25MG IJ</t>
  </si>
  <si>
    <t xml:space="preserve">FAMOTIDINE PER </t>
  </si>
  <si>
    <t>0053206090</t>
  </si>
  <si>
    <t>ETOMIDATE20MG/10ML IJ</t>
  </si>
  <si>
    <t>ETOMIDATE10MLIJ</t>
  </si>
  <si>
    <t>0053206116</t>
  </si>
  <si>
    <t>ETOMIDATE40MG/20ML IJ</t>
  </si>
  <si>
    <t>ETOMIDATE20MLIJ</t>
  </si>
  <si>
    <t>0053206777</t>
  </si>
  <si>
    <t>FLUCONAZ PER200MG PMX IJ</t>
  </si>
  <si>
    <t>FLUCONA200PMXIJ</t>
  </si>
  <si>
    <t>0053206819</t>
  </si>
  <si>
    <t>FLUMAZENIL .1MG/ML 5MLIJ</t>
  </si>
  <si>
    <t>FLUMAZENIL5MLIJ</t>
  </si>
  <si>
    <t>0053206868</t>
  </si>
  <si>
    <t>FLU VAC &gt; 3 YRS IM PF IJ</t>
  </si>
  <si>
    <t>FLUVAC&gt;3YR PFIJ</t>
  </si>
  <si>
    <t>0053206918</t>
  </si>
  <si>
    <t>FLUORESCEIN 10% 5ML IJ</t>
  </si>
  <si>
    <t>FLUORESCEIN 5IJ</t>
  </si>
  <si>
    <t>0053206934</t>
  </si>
  <si>
    <t>FACTOR 8 RECOM PER IU IJ</t>
  </si>
  <si>
    <t>FAC8 REC PER IU</t>
  </si>
  <si>
    <t>0053206991</t>
  </si>
  <si>
    <t>FACTOR 8 XYNTHA PER IUIJ</t>
  </si>
  <si>
    <t>FAC8 XYNTHA IU</t>
  </si>
  <si>
    <t>0053207007</t>
  </si>
  <si>
    <t>FLUCONAZOLE 100MG PMX IJ</t>
  </si>
  <si>
    <t>FLUCONA100PMXIJ</t>
  </si>
  <si>
    <t>0053207296</t>
  </si>
  <si>
    <t>FLU VAC CELL CULT PF IJ</t>
  </si>
  <si>
    <t>FLU VAC CC PFIJ</t>
  </si>
  <si>
    <t>0053207494</t>
  </si>
  <si>
    <t>FOSPHENYTOIN PER 50MG IJ</t>
  </si>
  <si>
    <t>FOSPHENYT50MGIJ</t>
  </si>
  <si>
    <t>0053207668</t>
  </si>
  <si>
    <t>FONDAPARINUX PER.5MG IJ</t>
  </si>
  <si>
    <t>FONDAPARINX.5IJ</t>
  </si>
  <si>
    <t>0053207775</t>
  </si>
  <si>
    <t>FLU VAC &gt;3Y 4 VAL PF IJ</t>
  </si>
  <si>
    <t>0053207833</t>
  </si>
  <si>
    <t>FILGRASTIM G-CSF 1MCG IJ</t>
  </si>
  <si>
    <t>FILGRAST 1MCGIJ</t>
  </si>
  <si>
    <t>0053208187</t>
  </si>
  <si>
    <t>FOLIC ACID PER 0.1MG IJ</t>
  </si>
  <si>
    <t xml:space="preserve">FOLIC ACID PER </t>
  </si>
  <si>
    <t>0053208229</t>
  </si>
  <si>
    <t>FUROSEMIDE PER 1MG IJ</t>
  </si>
  <si>
    <t xml:space="preserve">FUROSEMIDE PER </t>
  </si>
  <si>
    <t>0053208302</t>
  </si>
  <si>
    <t>GANCICLOVIR 500MG IJ</t>
  </si>
  <si>
    <t>GANCICLO500MGIJ</t>
  </si>
  <si>
    <t>0053208401</t>
  </si>
  <si>
    <t>GEMCITABINE PER 200MG IJ</t>
  </si>
  <si>
    <t>GEMCITABIN200IJ</t>
  </si>
  <si>
    <t>0053208468</t>
  </si>
  <si>
    <t>GENTAMICIN UPTO 80 PMXIJ</t>
  </si>
  <si>
    <t>GENTAMIC80PMXIJ</t>
  </si>
  <si>
    <t>0053208526</t>
  </si>
  <si>
    <t>GENTAMICIN UPTO 80MG IJ</t>
  </si>
  <si>
    <t>GENTAMIC 80MGIJ</t>
  </si>
  <si>
    <t>0053208989</t>
  </si>
  <si>
    <t>GLUCAGON PER 1MG IJ</t>
  </si>
  <si>
    <t>GLUCAGON 1MGIJ</t>
  </si>
  <si>
    <t>0053209235</t>
  </si>
  <si>
    <t>GLYCOPYRROLATE PER 0.1MG IJ</t>
  </si>
  <si>
    <t xml:space="preserve">GLYCOPYRROLATE </t>
  </si>
  <si>
    <t>0053209631</t>
  </si>
  <si>
    <t>HAEMOPH B PRP-T VAC IJ</t>
  </si>
  <si>
    <t>HAEMOPH B PRP-T</t>
  </si>
  <si>
    <t>0053209722</t>
  </si>
  <si>
    <t>HALOPERIDOL UP TO 5MG IJ</t>
  </si>
  <si>
    <t>HALOPERIDO5MGIJ</t>
  </si>
  <si>
    <t>0053209912</t>
  </si>
  <si>
    <t>HEPARIN FLUSH PER 10U IJ</t>
  </si>
  <si>
    <t>HEP FLUSH10U IJ</t>
  </si>
  <si>
    <t>0053210100</t>
  </si>
  <si>
    <t>HEPARIN FL PER10U PFS IJ</t>
  </si>
  <si>
    <t>HEPARIN10UPFSIJ</t>
  </si>
  <si>
    <t>0053210639</t>
  </si>
  <si>
    <t>HEPARIN PER 1000U IJ</t>
  </si>
  <si>
    <t>HEPARIN1000U IJ</t>
  </si>
  <si>
    <t>0053211025</t>
  </si>
  <si>
    <t>HEPARIN PER 1000U PMX IJ</t>
  </si>
  <si>
    <t>HEPAR1000UPMXIJ</t>
  </si>
  <si>
    <t>0053211140</t>
  </si>
  <si>
    <t>HEP B VAC ADULT IJ</t>
  </si>
  <si>
    <t>HEP BVAC ADLTIJ</t>
  </si>
  <si>
    <t>0053211272</t>
  </si>
  <si>
    <t>HETASTARCH 6% 500ML IJ</t>
  </si>
  <si>
    <t>HETASTARCH500IJ</t>
  </si>
  <si>
    <t>0053211819</t>
  </si>
  <si>
    <t>HYALURONIDASE UPTO150UIJ</t>
  </si>
  <si>
    <t>HYALUROND150UIJ</t>
  </si>
  <si>
    <t>0053212023</t>
  </si>
  <si>
    <t>HYDRALAZINE UPTO 20MG IJ</t>
  </si>
  <si>
    <t>HYDRALAZN20MGIJ</t>
  </si>
  <si>
    <t>0053212437</t>
  </si>
  <si>
    <t>HCTS SS PER 100MG IJ</t>
  </si>
  <si>
    <t>HCTS SS100MG IJ</t>
  </si>
  <si>
    <t>0053212528</t>
  </si>
  <si>
    <t>INS NPH HUM VL 3ML IJ</t>
  </si>
  <si>
    <t>INS NPH H 3MLVL</t>
  </si>
  <si>
    <t>0053212601</t>
  </si>
  <si>
    <t>INS GLARG PER 5U IJ</t>
  </si>
  <si>
    <t xml:space="preserve">INS GLARG 5U   </t>
  </si>
  <si>
    <t>0053212643</t>
  </si>
  <si>
    <t>INS LISPRO PER 5U IJ</t>
  </si>
  <si>
    <t xml:space="preserve">INS LISPR 5U   </t>
  </si>
  <si>
    <t>0053212650</t>
  </si>
  <si>
    <t>INS REG HUM PER 5U IJ</t>
  </si>
  <si>
    <t xml:space="preserve">INS REG HUM 5U </t>
  </si>
  <si>
    <t>0053212916</t>
  </si>
  <si>
    <t>INSULIN DRIP PER 5U PMX IJ</t>
  </si>
  <si>
    <t>INSULIN DRIP 5U</t>
  </si>
  <si>
    <t>0053212932</t>
  </si>
  <si>
    <t>INCOBOTULINUMTOXIN A PER 1U IJ</t>
  </si>
  <si>
    <t>INCOBOTULINUMTO</t>
  </si>
  <si>
    <t>0053213153</t>
  </si>
  <si>
    <t>HYDROXYZINE UPTO25MGIJ</t>
  </si>
  <si>
    <t>HYDROXYZINE25IJ</t>
  </si>
  <si>
    <t>0053213245</t>
  </si>
  <si>
    <t>IMIPENEM/CIL PER250MG IJ</t>
  </si>
  <si>
    <t>IMPENE/CIL250IJ</t>
  </si>
  <si>
    <t>0053213377</t>
  </si>
  <si>
    <t>INDOCYANINE GRN 25MG IJ</t>
  </si>
  <si>
    <t>INDOCYANINE25IJ</t>
  </si>
  <si>
    <t>0053213542</t>
  </si>
  <si>
    <t>RHO(D) IG IV PER100U IJ</t>
  </si>
  <si>
    <t>RHO D IG 100UIJ</t>
  </si>
  <si>
    <t>0053213997</t>
  </si>
  <si>
    <t>INS ANALOG LISPRO 3ML</t>
  </si>
  <si>
    <t xml:space="preserve">HUMALOG 3ML    </t>
  </si>
  <si>
    <t>0053214060</t>
  </si>
  <si>
    <t>INS ANALG LISP75/25 10ML</t>
  </si>
  <si>
    <t>HUMALOG75/2510M</t>
  </si>
  <si>
    <t>0053214078</t>
  </si>
  <si>
    <t>INS GLARGINE 10ML</t>
  </si>
  <si>
    <t>INS GLARGIN10ML</t>
  </si>
  <si>
    <t>0053214185</t>
  </si>
  <si>
    <t>INSULIN DRIP COMPOUND</t>
  </si>
  <si>
    <t xml:space="preserve">INSULIN DRIP   </t>
  </si>
  <si>
    <t>0053214300</t>
  </si>
  <si>
    <t>INS ANALGLISP50/5010MLIJ</t>
  </si>
  <si>
    <t>INSANALGLIS10IJ</t>
  </si>
  <si>
    <t>0053214409</t>
  </si>
  <si>
    <t>INS DETEMIR 10ML</t>
  </si>
  <si>
    <t>INS DETEMR 10ML</t>
  </si>
  <si>
    <t>0053214433</t>
  </si>
  <si>
    <t>INS ANALG ASPR70/30 10ML</t>
  </si>
  <si>
    <t>NOVOLG70/3010ML</t>
  </si>
  <si>
    <t>0053214466</t>
  </si>
  <si>
    <t>INS ANALOG ASPAR 10ML</t>
  </si>
  <si>
    <t xml:space="preserve">NOVOLOG 10ML   </t>
  </si>
  <si>
    <t>0053214508</t>
  </si>
  <si>
    <t>INS HUM REG 10ML</t>
  </si>
  <si>
    <t xml:space="preserve">HUM REG 10ML   </t>
  </si>
  <si>
    <t>0053214565</t>
  </si>
  <si>
    <t>INS HUM 70/30 10ML</t>
  </si>
  <si>
    <t xml:space="preserve">HUM 70/30 10ML </t>
  </si>
  <si>
    <t>0053214987</t>
  </si>
  <si>
    <t>INS HUM REG VIAL 3ML</t>
  </si>
  <si>
    <t xml:space="preserve">HUM REG VL 3ML </t>
  </si>
  <si>
    <t>0053215182</t>
  </si>
  <si>
    <t>INS GLARGINE-YFGN PER 5U IJ</t>
  </si>
  <si>
    <t xml:space="preserve">INS GLARG-YFGN </t>
  </si>
  <si>
    <t>0053215992</t>
  </si>
  <si>
    <t>IVIG PRIVIGEN PER500MGIJ</t>
  </si>
  <si>
    <t>PRIVIGEN500MGIJ</t>
  </si>
  <si>
    <t>0053216008</t>
  </si>
  <si>
    <t>IVIG OCTAGAM PER 500MGIJ</t>
  </si>
  <si>
    <t>OCTAGAM 500MGIJ</t>
  </si>
  <si>
    <t>0053216016</t>
  </si>
  <si>
    <t>IVIG GAMMAGARD PER 500MG IV IJ</t>
  </si>
  <si>
    <t>IVIG GAMMAGAR50</t>
  </si>
  <si>
    <t>0053216032</t>
  </si>
  <si>
    <t>IVIG GAMUNEX PER 500MG IV IJ</t>
  </si>
  <si>
    <t>IVIG GAMUNEX500</t>
  </si>
  <si>
    <t>0053216198</t>
  </si>
  <si>
    <t>KCL PER 2MEQ PMX IJ</t>
  </si>
  <si>
    <t>KCLPER2MEQPMXIJ</t>
  </si>
  <si>
    <t>0053216206</t>
  </si>
  <si>
    <t>KCL PER 2MEQ IJ</t>
  </si>
  <si>
    <t>0053216305</t>
  </si>
  <si>
    <t>KETAMINE 50MG/ML 10ML IJ</t>
  </si>
  <si>
    <t>KETAMINE10ML IJ</t>
  </si>
  <si>
    <t>0053216339</t>
  </si>
  <si>
    <t>KETOROLAC PER 15MG IJ</t>
  </si>
  <si>
    <t>KETOROLAC 15MG</t>
  </si>
  <si>
    <t>0053216354</t>
  </si>
  <si>
    <t>KETAMINE 100MG/ML 5ML</t>
  </si>
  <si>
    <t>KETAMINE 5ML IJ</t>
  </si>
  <si>
    <t>0053216594</t>
  </si>
  <si>
    <t>LACOSAMIDE PER 1MG IJ</t>
  </si>
  <si>
    <t>LACOSAMID1MG IJ</t>
  </si>
  <si>
    <t>0053216826</t>
  </si>
  <si>
    <t>LABETALOL PER 5MG IJ</t>
  </si>
  <si>
    <t>LABETALOL PER 5</t>
  </si>
  <si>
    <t>0053216933</t>
  </si>
  <si>
    <t>LEVOTHYROXINE NOS PER 10MCG IJ</t>
  </si>
  <si>
    <t>LEVOTHYROXINE 1</t>
  </si>
  <si>
    <t>0053216966</t>
  </si>
  <si>
    <t>LEVETIRACETAM PER10MG IJ</t>
  </si>
  <si>
    <t>LEVETIRACET10IJ</t>
  </si>
  <si>
    <t>0053216974</t>
  </si>
  <si>
    <t>LEVETIRACET PER10MGPMXIJ</t>
  </si>
  <si>
    <t>LEVETIRA10PMXIJ</t>
  </si>
  <si>
    <t>0053216982</t>
  </si>
  <si>
    <t>NOREPINEPHRINE 4MG/4MLIJ</t>
  </si>
  <si>
    <t>NOREPINEPH4MLIJ</t>
  </si>
  <si>
    <t>0053217097</t>
  </si>
  <si>
    <t>LEVOFLOXACIN PER250MG IJ</t>
  </si>
  <si>
    <t>LEVOFLOXAC250IJ</t>
  </si>
  <si>
    <t>0053217121</t>
  </si>
  <si>
    <t>LEVOFLOXAC PER250MGPMXIJ</t>
  </si>
  <si>
    <t>LEVOFLO250PMXIJ</t>
  </si>
  <si>
    <t>0053217147</t>
  </si>
  <si>
    <t>LEVOCARNITINE PER 1GM IJ</t>
  </si>
  <si>
    <t>LEVOCARNIT1GMIJ</t>
  </si>
  <si>
    <t>0053217543</t>
  </si>
  <si>
    <t>LIDOCAINE PER 1MG IJ</t>
  </si>
  <si>
    <t>LIDOCAINE PER 1</t>
  </si>
  <si>
    <t>0053217568</t>
  </si>
  <si>
    <t>LIDOCAINE PER 1MG PF IJ</t>
  </si>
  <si>
    <t>0053217592</t>
  </si>
  <si>
    <t>LIDOCAINE PER 1MG W/EPI IJ</t>
  </si>
  <si>
    <t>LIDOCAINE PER1M</t>
  </si>
  <si>
    <t>0053218251</t>
  </si>
  <si>
    <t>LIDOCAINE 4% TRACH KT IJ</t>
  </si>
  <si>
    <t>LIDO TRACH KTIJ</t>
  </si>
  <si>
    <t>0053218533</t>
  </si>
  <si>
    <t>LINEZOLID PER 200MG IJ</t>
  </si>
  <si>
    <t>LINEZOLID 200IJ</t>
  </si>
  <si>
    <t>0053218947</t>
  </si>
  <si>
    <t>LORAZEPAM PER 2MG IJ</t>
  </si>
  <si>
    <t>LORAZEPAM 2MGIJ</t>
  </si>
  <si>
    <t>0053219531</t>
  </si>
  <si>
    <t>MAG SULF PER 500MG IJ</t>
  </si>
  <si>
    <t>MG SULF 500MGIJ</t>
  </si>
  <si>
    <t>0053219564</t>
  </si>
  <si>
    <t>MAG SULF PER 500MG PMXIJ</t>
  </si>
  <si>
    <t>0053219614</t>
  </si>
  <si>
    <t>MANNITOL 25% 50ML IJ</t>
  </si>
  <si>
    <t>MANNITOL 50MLIJ</t>
  </si>
  <si>
    <t>0053220216</t>
  </si>
  <si>
    <t>MEDROXYPROGEST PER 1MGIJ</t>
  </si>
  <si>
    <t>MEDROXYPR 1MGIJ</t>
  </si>
  <si>
    <t>0053220596</t>
  </si>
  <si>
    <t>MENINGOCOCCAL VAC IM IJ</t>
  </si>
  <si>
    <t>MENINGOC IM IJ</t>
  </si>
  <si>
    <t>0053220653</t>
  </si>
  <si>
    <t>MENINGOOCCAL-TT VAC IM IJ</t>
  </si>
  <si>
    <t>MENINGOOCCAL-TT</t>
  </si>
  <si>
    <t>0053221164</t>
  </si>
  <si>
    <t>MEROPENEM PER 100MG IJ</t>
  </si>
  <si>
    <t>MEROPENEM 100IJ</t>
  </si>
  <si>
    <t>0053221859</t>
  </si>
  <si>
    <t>METHOCARBAMOL UPTO10MLIJ</t>
  </si>
  <si>
    <t>METHOCARB10MLIJ</t>
  </si>
  <si>
    <t>0053222691</t>
  </si>
  <si>
    <t>METHYLERGONOV UPTO.2MGIJ</t>
  </si>
  <si>
    <t>METHYLERG.2MGIJ</t>
  </si>
  <si>
    <t>0053222766</t>
  </si>
  <si>
    <t>METHYLNALTREXONE 0.1MGIJ</t>
  </si>
  <si>
    <t>METHNALTX.1MGIJ</t>
  </si>
  <si>
    <t>0053222964</t>
  </si>
  <si>
    <t>METHYLPRED A PER 1MG IJ</t>
  </si>
  <si>
    <t>METHYLPRED A PE</t>
  </si>
  <si>
    <t>0053223137</t>
  </si>
  <si>
    <t>METHYLPRED SS PER 5MG IJ</t>
  </si>
  <si>
    <t>METHYLPRED SS P</t>
  </si>
  <si>
    <t>0053223665</t>
  </si>
  <si>
    <t>METOCLOPRAM UPTO10MG IJ</t>
  </si>
  <si>
    <t>METOCLOPR10MGIJ</t>
  </si>
  <si>
    <t>0053223814</t>
  </si>
  <si>
    <t>METOPROLOL 1MG/ML5ML IJ</t>
  </si>
  <si>
    <t>METOPROLOL5MLIJ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</si>
  <si>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</si>
  <si>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</si>
  <si>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</si>
  <si>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</si>
  <si>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</si>
  <si>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</si>
  <si>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</si>
  <si>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</si>
  <si>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</si>
  <si>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</si>
  <si>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</si>
  <si>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</si>
  <si>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0053225918</t>
  </si>
  <si>
    <t>MVI 10ML IJ</t>
  </si>
  <si>
    <t>0053226536</t>
  </si>
  <si>
    <t>NAFCILLIN PER 20MG IJ</t>
  </si>
  <si>
    <t>NAFCILLIN PER 2</t>
  </si>
  <si>
    <t>0053226692</t>
  </si>
  <si>
    <t>NA FERR GLUC PER12.5MGIJ</t>
  </si>
  <si>
    <t>NAFERRICG12.5IJ</t>
  </si>
  <si>
    <t>0053227138</t>
  </si>
  <si>
    <t>NALOXONE PER 1MG IJ</t>
  </si>
  <si>
    <t>NALOXONE 1MG IJ</t>
  </si>
  <si>
    <t>0053228102</t>
  </si>
  <si>
    <t>NEOSTIGMINE UPTO .5MG IJ</t>
  </si>
  <si>
    <t>NEOSTIGMINE.5IJ</t>
  </si>
  <si>
    <t>0053228516</t>
  </si>
  <si>
    <t>NICARDIPINE PER 0.1MG IJ</t>
  </si>
  <si>
    <t>NICARDIPINE PER</t>
  </si>
  <si>
    <t>0053228755</t>
  </si>
  <si>
    <t>NOREPINEPH 8MG/250ML IJ</t>
  </si>
  <si>
    <t>NOREPIN 8MG IJ</t>
  </si>
  <si>
    <t>0053229092</t>
  </si>
  <si>
    <t>NOREPINEPHR 8MG DRIP IJ</t>
  </si>
  <si>
    <t>NOREPI 8MG DRIP</t>
  </si>
  <si>
    <t>0053229209</t>
  </si>
  <si>
    <t>OCTREOTIDE PER 25MCG IV IJ</t>
  </si>
  <si>
    <t>OCTREOT PER 25M</t>
  </si>
  <si>
    <t>0053229266</t>
  </si>
  <si>
    <t>NITROPRUSSIDE 50MG/2MLIJ</t>
  </si>
  <si>
    <t>NITROPRUSS2MLIJ</t>
  </si>
  <si>
    <t>0053229365</t>
  </si>
  <si>
    <t>ONDANSETRON PER 1MG IJ</t>
  </si>
  <si>
    <t>ONDANSETRO1MGIJ</t>
  </si>
  <si>
    <t>0053229464</t>
  </si>
  <si>
    <t>ORPHENADRINE TO 60MG IJ</t>
  </si>
  <si>
    <t>ORPHENADR60MGIJ</t>
  </si>
  <si>
    <t>0053229480</t>
  </si>
  <si>
    <t>OCTREOTIDE PER 25MCG SQ IJ</t>
  </si>
  <si>
    <t>0053229563</t>
  </si>
  <si>
    <t>NITROGLYCERIN PER 5MG PMX IJ</t>
  </si>
  <si>
    <t>NITROGLYCERIN 5</t>
  </si>
  <si>
    <t>0053229589</t>
  </si>
  <si>
    <t>OLANZAPINE PER 0.5MG IJ</t>
  </si>
  <si>
    <t xml:space="preserve">OLANZAPINE PER </t>
  </si>
  <si>
    <t>0053230454</t>
  </si>
  <si>
    <t>OXYTOCIN UPTO 10U IJ</t>
  </si>
  <si>
    <t>OXYTOCIN 10U IJ</t>
  </si>
  <si>
    <t>0053230603</t>
  </si>
  <si>
    <t>PAMIDRONATE PER 30MG IJ</t>
  </si>
  <si>
    <t>PAMIDRONA30MGIJ</t>
  </si>
  <si>
    <t>0053230702</t>
  </si>
  <si>
    <t>PANTOPRAZOLE PER40MGIJ</t>
  </si>
  <si>
    <t>PANTOPRAZOL40IJ</t>
  </si>
  <si>
    <t>0053230710</t>
  </si>
  <si>
    <t>PANTOPRAZOLE 40MG LQ</t>
  </si>
  <si>
    <t>PANTOPRAZOL40LQ</t>
  </si>
  <si>
    <t>0053230777</t>
  </si>
  <si>
    <t>PAPAVERINE UPTO 60MG IJ</t>
  </si>
  <si>
    <t>PAPAVERIN60MGIJ</t>
  </si>
  <si>
    <t>0053231213</t>
  </si>
  <si>
    <t>PEN G BENZ PER 100KU IJ</t>
  </si>
  <si>
    <t>PENG BEN100KUIJ</t>
  </si>
  <si>
    <t>0053231353</t>
  </si>
  <si>
    <t>PEN G BE/PR PER 100KU IJ</t>
  </si>
  <si>
    <t>PENG B/P100KUIJ</t>
  </si>
  <si>
    <t>0053231510</t>
  </si>
  <si>
    <t>PEN G K UPTO 600KU IJ</t>
  </si>
  <si>
    <t>PENG K 600KU IJ</t>
  </si>
  <si>
    <t>0053232674</t>
  </si>
  <si>
    <t>PHENTOLAMINE UPTO 5MG IJ</t>
  </si>
  <si>
    <t>PHENTOLAMN5MGIJ</t>
  </si>
  <si>
    <t>0053232815</t>
  </si>
  <si>
    <t>PHENYLEPHRINE PER 20MCG IJ</t>
  </si>
  <si>
    <t>PHENYLEPHRINE 2</t>
  </si>
  <si>
    <t>0053232831</t>
  </si>
  <si>
    <t>PHENYLEPHRINE PER 20MCG PFS IJ</t>
  </si>
  <si>
    <t>PHENYLEPH 20MCG</t>
  </si>
  <si>
    <t>0053233201</t>
  </si>
  <si>
    <t>PHENYTOIN PER 50MG IJ</t>
  </si>
  <si>
    <t>PHENYTOIN50MGIJ</t>
  </si>
  <si>
    <t>0053233664</t>
  </si>
  <si>
    <t>PHYTONADIONE PER 1MG IJ</t>
  </si>
  <si>
    <t>PHYTONADIONE1IJ</t>
  </si>
  <si>
    <t>0053234118</t>
  </si>
  <si>
    <t>PIPER/TAZPER1.125GMPMXIJ</t>
  </si>
  <si>
    <t>PIP/TAZ1.125IJ</t>
  </si>
  <si>
    <t>0053234126</t>
  </si>
  <si>
    <t>PIPER/TAZ PER1.125GM IJ</t>
  </si>
  <si>
    <t>PIP/TAZ1.12GMIJ</t>
  </si>
  <si>
    <t>0053234498</t>
  </si>
  <si>
    <t>PNEUMOCOC23 VAL VACC IJ</t>
  </si>
  <si>
    <t>PNEUMOCO23VACIJ</t>
  </si>
  <si>
    <t>0053235362</t>
  </si>
  <si>
    <t>K ACET 40MEQ/20ML IJ</t>
  </si>
  <si>
    <t>K ACETATE20MLIJ</t>
  </si>
  <si>
    <t>0053235552</t>
  </si>
  <si>
    <t>K PHOS 3MM/ML 15ML IJ</t>
  </si>
  <si>
    <t>K PHOS 15ML IJ</t>
  </si>
  <si>
    <t>0053237202</t>
  </si>
  <si>
    <t>PROCHLORPERAZINE 10MG IJ</t>
  </si>
  <si>
    <t>PROCHLORP10MGIJ</t>
  </si>
  <si>
    <t>0053237988</t>
  </si>
  <si>
    <t>PROMETHAZINE UPTO50MG IJ</t>
  </si>
  <si>
    <t>PROMETHAZIN50IJ</t>
  </si>
  <si>
    <t>0053238523</t>
  </si>
  <si>
    <t>PROPOFOL PER 10MG IJ</t>
  </si>
  <si>
    <t>PROPOFOL 10MGIJ</t>
  </si>
  <si>
    <t>0053238705</t>
  </si>
  <si>
    <t>PROTAMINE PER 10MG IJ</t>
  </si>
  <si>
    <t>PROTAMINE10MGIJ</t>
  </si>
  <si>
    <t>0053238762</t>
  </si>
  <si>
    <t>PROTHROM COMPLX KCENTRA 1U IJ</t>
  </si>
  <si>
    <t xml:space="preserve">PROTHROMB CMPX </t>
  </si>
  <si>
    <t>0053239299</t>
  </si>
  <si>
    <t>PYRIDOXINE PER 100MG IJ</t>
  </si>
  <si>
    <t>PYRIDOXN100MGIJ</t>
  </si>
  <si>
    <t>0053239612</t>
  </si>
  <si>
    <t>RABIES IMM GLOB(KEDRAB) 2ML IJ</t>
  </si>
  <si>
    <t>RABIES IG(KEDRA</t>
  </si>
  <si>
    <t>0053239703</t>
  </si>
  <si>
    <t>RABIES IG IM/SC 150U IJ</t>
  </si>
  <si>
    <t>RABIES IG 150IJ</t>
  </si>
  <si>
    <t>0053239745</t>
  </si>
  <si>
    <t>RABIES VACCINE IM IJ</t>
  </si>
  <si>
    <t>RABIESVACCIMIJ</t>
  </si>
  <si>
    <t>0053239794</t>
  </si>
  <si>
    <t>RABIES IG HT PER150U IJ</t>
  </si>
  <si>
    <t>RABIES IG HT IJ</t>
  </si>
  <si>
    <t>0053239927</t>
  </si>
  <si>
    <t>REGADENOSON PER 0.1MG IJ</t>
  </si>
  <si>
    <t>REGADEN.1MG IJ</t>
  </si>
  <si>
    <t>0053239968</t>
  </si>
  <si>
    <t>RASBURICASE PER .5MG IJ</t>
  </si>
  <si>
    <t>RASBURICASE.5IJ</t>
  </si>
  <si>
    <t>0053240008</t>
  </si>
  <si>
    <t>REMDESIVIR PER 1MG IJ</t>
  </si>
  <si>
    <t xml:space="preserve">REMDESIVIR PER </t>
  </si>
  <si>
    <t>0053240024</t>
  </si>
  <si>
    <t>RITUXIMAB-ABBS PER 10MG IJ</t>
  </si>
  <si>
    <t xml:space="preserve">RITUXIMAB-ABBS </t>
  </si>
  <si>
    <t>0053240057</t>
  </si>
  <si>
    <t>RHOPHYLAC IV/IMPER100UIJ</t>
  </si>
  <si>
    <t>RHOPHYLAC100UIJ</t>
  </si>
  <si>
    <t>0053240065</t>
  </si>
  <si>
    <t>RITUXIMAB-PVVR PER 10MG IJ</t>
  </si>
  <si>
    <t xml:space="preserve">RITUXIMAB-PVVR </t>
  </si>
  <si>
    <t>0053240115</t>
  </si>
  <si>
    <t>RHO(D) IG IM PER 50MCGIJ</t>
  </si>
  <si>
    <t>RHO D IG50MCGIJ</t>
  </si>
  <si>
    <t>0053240255</t>
  </si>
  <si>
    <t>ROCURONIUM10MG/1ML 5MLIJ</t>
  </si>
  <si>
    <t>ROCURONIUM5MLIJ</t>
  </si>
  <si>
    <t>0053240529</t>
  </si>
  <si>
    <t>ROPIVACAINE PER 1MG IJ</t>
  </si>
  <si>
    <t>ROPIVACAIN1MGIJ</t>
  </si>
  <si>
    <t>0053240735</t>
  </si>
  <si>
    <t>RIFAMPIN PER 1MG IJ</t>
  </si>
  <si>
    <t>RIFAMPIN PER 1M</t>
  </si>
  <si>
    <t>0053241303</t>
  </si>
  <si>
    <t>NA ACETATE2MEQ/ML 20MLIJ</t>
  </si>
  <si>
    <t>NA ACETAT20MLIJ</t>
  </si>
  <si>
    <t>0053241386</t>
  </si>
  <si>
    <t>NA BICARB 4%5ML IJ</t>
  </si>
  <si>
    <t>NA BICARB 5MLIJ</t>
  </si>
  <si>
    <t>0053241410</t>
  </si>
  <si>
    <t>NA BICARB PED4.2% IJ</t>
  </si>
  <si>
    <t>NA BICAR PED IJ</t>
  </si>
  <si>
    <t>0053241519</t>
  </si>
  <si>
    <t>NA BICARB 8.4%50ML IJ</t>
  </si>
  <si>
    <t>NA BICARB50MLIJ</t>
  </si>
  <si>
    <t>0053241543</t>
  </si>
  <si>
    <t>NA BICARB 8.4%50ML PFSIJ</t>
  </si>
  <si>
    <t>NA BICAR50PFSIJ</t>
  </si>
  <si>
    <t>0053241782</t>
  </si>
  <si>
    <t>NACL 23.4% 30ML IJ</t>
  </si>
  <si>
    <t>NACL 30ML IJ</t>
  </si>
  <si>
    <t>0053241949</t>
  </si>
  <si>
    <t>NACL .9% 10ML IJ</t>
  </si>
  <si>
    <t>NACL 10ML IJ</t>
  </si>
  <si>
    <t>0053242004</t>
  </si>
  <si>
    <t>NACL .9% 10ML PFS IJ</t>
  </si>
  <si>
    <t>NACL10ML PFS IJ</t>
  </si>
  <si>
    <t>0053242574</t>
  </si>
  <si>
    <t>NA PHOSPHATE3MM/ML15MLIJ</t>
  </si>
  <si>
    <t>NA PHOS15ML IJ</t>
  </si>
  <si>
    <t>0053244000</t>
  </si>
  <si>
    <t>SUGAMMADEX 200MG/2ML IJ</t>
  </si>
  <si>
    <t>SUGAMADX 200 IJ</t>
  </si>
  <si>
    <t>0053244018</t>
  </si>
  <si>
    <t>SUGAMMADEX 500MG/5ML IJ</t>
  </si>
  <si>
    <t>SUGAMADX 500 IJ</t>
  </si>
  <si>
    <t>0053244059</t>
  </si>
  <si>
    <t>SUCCINYLCHOL UPTO 20MGIJ</t>
  </si>
  <si>
    <t>SUCCINYLC20MGIJ</t>
  </si>
  <si>
    <t>0053244083</t>
  </si>
  <si>
    <t>SULFAMETH/TRIM PER 5MG/1MG IJ</t>
  </si>
  <si>
    <t>SULFAMETH/TRIM5</t>
  </si>
  <si>
    <t>0053244208</t>
  </si>
  <si>
    <t>SUMATRIPTAN PER 6MG IJ</t>
  </si>
  <si>
    <t>SUMATRIPTA6MGIJ</t>
  </si>
  <si>
    <t>0053244232</t>
  </si>
  <si>
    <t>TACROLIMUS PER 5MG IJ</t>
  </si>
  <si>
    <t>TACROLIMUS5MGIJ</t>
  </si>
  <si>
    <t>0053244315</t>
  </si>
  <si>
    <t>TENECTEPLASE PER 1MG IJ</t>
  </si>
  <si>
    <t>TENECTE 1MG IJ</t>
  </si>
  <si>
    <t>0053244414</t>
  </si>
  <si>
    <t>TBO-FILGRASTIM PER1MCGIJ</t>
  </si>
  <si>
    <t>TBO-FILGR1MCGIJ</t>
  </si>
  <si>
    <t>0053244547</t>
  </si>
  <si>
    <t>TERLIPRESSIN 0.85 MG IJ</t>
  </si>
  <si>
    <t>TERLIPRESSIN 0.</t>
  </si>
  <si>
    <t>0053245619</t>
  </si>
  <si>
    <t>TETRACAINE 1% 2ML IJ</t>
  </si>
  <si>
    <t>TETRACAINE2MLIJ</t>
  </si>
  <si>
    <t>0053246187</t>
  </si>
  <si>
    <t>THIAMINE PER 100MG IJ</t>
  </si>
  <si>
    <t>THIAMINE100MGIJ</t>
  </si>
  <si>
    <t>0053247391</t>
  </si>
  <si>
    <t>TIGECYCLINE PER 1MG IJ</t>
  </si>
  <si>
    <t>TIGECYCLINE 1IJ</t>
  </si>
  <si>
    <t>0053247912</t>
  </si>
  <si>
    <t>TOCILIZUMAB PER 1MG IJ</t>
  </si>
  <si>
    <t>TOCILIZUMB1MGIJ</t>
  </si>
  <si>
    <t>0053247938</t>
  </si>
  <si>
    <t>TOCILIZUMAB (COVID) PER 1MG IJ</t>
  </si>
  <si>
    <t>TOCILIZUMAB(COV</t>
  </si>
  <si>
    <t>0053248506</t>
  </si>
  <si>
    <t>TRANEXAMIC ACID1G/10MLIJ</t>
  </si>
  <si>
    <t>TRANEXAMC10MLIJ</t>
  </si>
  <si>
    <t>0053248654</t>
  </si>
  <si>
    <t>TRIAMCINOLON A PER10MGIJ</t>
  </si>
  <si>
    <t>TRIAMCINO10MGIJ</t>
  </si>
  <si>
    <t>0053249892</t>
  </si>
  <si>
    <t>TUBERCULIN PPD 5TU IJ</t>
  </si>
  <si>
    <t>TB TEST 5TUIJ</t>
  </si>
  <si>
    <t>0053250650</t>
  </si>
  <si>
    <t>VALPROATE 500MG/5ML IJ</t>
  </si>
  <si>
    <t>VALPROATE5ML IJ</t>
  </si>
  <si>
    <t>0053250775</t>
  </si>
  <si>
    <t>VANCOMYCIN PER500MGPMXIJ</t>
  </si>
  <si>
    <t>VANCOMY500PMXIJ</t>
  </si>
  <si>
    <t>0053250783</t>
  </si>
  <si>
    <t>VANCOMYCIN PER 500MG IJ</t>
  </si>
  <si>
    <t>VANCOMYC500MGIJ</t>
  </si>
  <si>
    <t>0053250940</t>
  </si>
  <si>
    <t>VASOPRESSIN PER 1U IJ</t>
  </si>
  <si>
    <t>VASOPRESSIN PER</t>
  </si>
  <si>
    <t>0053251146</t>
  </si>
  <si>
    <t>VECURONIUM 10MG IJ</t>
  </si>
  <si>
    <t>VECURONIU10MGIJ</t>
  </si>
  <si>
    <t>0053251153</t>
  </si>
  <si>
    <t>VECURONIUM 20MG IJ</t>
  </si>
  <si>
    <t>VECURONIU20MGIJ</t>
  </si>
  <si>
    <t>0053251252</t>
  </si>
  <si>
    <t>VERAPAMIL2.5MG/ML 2ML IJ</t>
  </si>
  <si>
    <t>VERAPAMIL2ML IJ</t>
  </si>
  <si>
    <t>0053251302</t>
  </si>
  <si>
    <t>VERAPAMIL2.5MG/ML 4ML IJ</t>
  </si>
  <si>
    <t>VERAPAMIL4ML IJ</t>
  </si>
  <si>
    <t>0053252391</t>
  </si>
  <si>
    <t>VORICONAZOLE PER 10MG IJ</t>
  </si>
  <si>
    <t>VORICONAZOL10IJ</t>
  </si>
  <si>
    <t>0053252482</t>
  </si>
  <si>
    <t>WATER INJ STERL 100ML IJ</t>
  </si>
  <si>
    <t>WATERSTR100MLIJ</t>
  </si>
  <si>
    <t>0053252508</t>
  </si>
  <si>
    <t>WATER INJ STERL 10ML IJ</t>
  </si>
  <si>
    <t>WATERSTER10MLIJ</t>
  </si>
  <si>
    <t>0053252938</t>
  </si>
  <si>
    <t>ZOLEDRONIC ACID PER1MGIJ</t>
  </si>
  <si>
    <t>ZOLED AC 1MGIJ</t>
  </si>
  <si>
    <t>0053253019</t>
  </si>
  <si>
    <t>ZIPRASIDONE PER 10MG IJ</t>
  </si>
  <si>
    <t>ZIPRASIDO10MGIJ</t>
  </si>
  <si>
    <t>0053270013</t>
  </si>
  <si>
    <t>APAP/COD 120/12 10ML LQ</t>
  </si>
  <si>
    <t>APAP/COD10ML LQ</t>
  </si>
  <si>
    <t>0053270195</t>
  </si>
  <si>
    <t>APAP/COD 30MG TB</t>
  </si>
  <si>
    <t>APAP/COD30MG TB</t>
  </si>
  <si>
    <t>0053270369</t>
  </si>
  <si>
    <t>APAP/BUTAL/CAF/ TB</t>
  </si>
  <si>
    <t xml:space="preserve">APAP/BUT/CF TB </t>
  </si>
  <si>
    <t>0053271649</t>
  </si>
  <si>
    <t>ASA/BUTAL/CAFF CP</t>
  </si>
  <si>
    <t xml:space="preserve">ASA/BUT/CAF CP </t>
  </si>
  <si>
    <t>0053272001</t>
  </si>
  <si>
    <t>BUPRENOR 5MCG/HR XR TD</t>
  </si>
  <si>
    <t xml:space="preserve">BUPRENOR5MCGTD </t>
  </si>
  <si>
    <t>0053273181</t>
  </si>
  <si>
    <t>COCAINE 4% 4ML TS</t>
  </si>
  <si>
    <t>COCAINE 4% 4ML</t>
  </si>
  <si>
    <t>0053274304</t>
  </si>
  <si>
    <t>DRONABINOL 2.5MG CP</t>
  </si>
  <si>
    <t>DRONABIN2.5MGCP</t>
  </si>
  <si>
    <t>0053275012</t>
  </si>
  <si>
    <t>FENTANYL PER 0.1MG IJ</t>
  </si>
  <si>
    <t>FENTANYL.1MG IJ</t>
  </si>
  <si>
    <t>0053275046</t>
  </si>
  <si>
    <t>FENTANYL 12MCG/HR TD</t>
  </si>
  <si>
    <t xml:space="preserve">FENTANYL 12MCG </t>
  </si>
  <si>
    <t>0053275103</t>
  </si>
  <si>
    <t>FENTANYL 25MCG/HR TD</t>
  </si>
  <si>
    <t xml:space="preserve">FENTANYL 25MCG </t>
  </si>
  <si>
    <t>0053275111</t>
  </si>
  <si>
    <t>FENTANYL 50MCG/HR TD</t>
  </si>
  <si>
    <t xml:space="preserve">FENTANYL 50MCG </t>
  </si>
  <si>
    <t>0053275129</t>
  </si>
  <si>
    <t>FENTANYL 75MCG/HR TD</t>
  </si>
  <si>
    <t xml:space="preserve">FENTANYL 75MCG </t>
  </si>
  <si>
    <t>0053275137</t>
  </si>
  <si>
    <t>FENTANYL 100MCG/HR TD</t>
  </si>
  <si>
    <t xml:space="preserve">FENTANYL100MCG </t>
  </si>
  <si>
    <t>0053275442</t>
  </si>
  <si>
    <t>HYDROCOD/CPM 5ML XR LQ</t>
  </si>
  <si>
    <t xml:space="preserve">HYDR/CPM XR5ML </t>
  </si>
  <si>
    <t>0053275541</t>
  </si>
  <si>
    <t>HYDROCOD/APAP 5/325 TB</t>
  </si>
  <si>
    <t xml:space="preserve">HYDR/APAP5/325 </t>
  </si>
  <si>
    <t>0053275574</t>
  </si>
  <si>
    <t>HYDROCOD/APAP 7.5/325TB</t>
  </si>
  <si>
    <t>HYD/APAP7.5/325</t>
  </si>
  <si>
    <t>0053275582</t>
  </si>
  <si>
    <t>HYDROCOD/APAP 15ML LQ</t>
  </si>
  <si>
    <t>HYDROC/ACET15ML</t>
  </si>
  <si>
    <t>0053275657</t>
  </si>
  <si>
    <t>HYDROCOD/APAP 10/325 TB</t>
  </si>
  <si>
    <t>HYDR/APAP10/325</t>
  </si>
  <si>
    <t>0053275871</t>
  </si>
  <si>
    <t>HYDROMORPHONE 2MG TB</t>
  </si>
  <si>
    <t>HYDROMORPH2MGTB</t>
  </si>
  <si>
    <t>0053275939</t>
  </si>
  <si>
    <t>HYDROMORPHONE 4MG TB</t>
  </si>
  <si>
    <t>HYDROMORPH4MGTB</t>
  </si>
  <si>
    <t>0053276374</t>
  </si>
  <si>
    <t>MEPERIDINE PER 100MG IJ</t>
  </si>
  <si>
    <t>MEPERIDIN 100MG</t>
  </si>
  <si>
    <t>0053276580</t>
  </si>
  <si>
    <t>METHADONE 10MG/5ML LQ</t>
  </si>
  <si>
    <t>METHADON10MG LQ</t>
  </si>
  <si>
    <t>0053276705</t>
  </si>
  <si>
    <t>METHADONE 10MG TB</t>
  </si>
  <si>
    <t>METHADON10MG TB</t>
  </si>
  <si>
    <t>0053276739</t>
  </si>
  <si>
    <t>HYDROMORPHONE PER 0.1MG IJ</t>
  </si>
  <si>
    <t xml:space="preserve">HYDROMORPH PER </t>
  </si>
  <si>
    <t>0053276747</t>
  </si>
  <si>
    <t>METHADONE 5MG TB</t>
  </si>
  <si>
    <t>METHADONE5MG TB</t>
  </si>
  <si>
    <t>0053276770</t>
  </si>
  <si>
    <t>LACOSAMIDE 50MG TB</t>
  </si>
  <si>
    <t>LACOSAMID50MGTB</t>
  </si>
  <si>
    <t>0053276952</t>
  </si>
  <si>
    <t>METHYLPHENIDATE 5MG TB</t>
  </si>
  <si>
    <t>METHYLPHEN5MGTB</t>
  </si>
  <si>
    <t>0053277125</t>
  </si>
  <si>
    <t>MORPH PF EPI/INTR 10MGIJ</t>
  </si>
  <si>
    <t>MORPH PF 10MGIJ</t>
  </si>
  <si>
    <t>0053277448</t>
  </si>
  <si>
    <t>MORPHINE UPTO 10MG IJ</t>
  </si>
  <si>
    <t>MORPHIN 10MG IJ</t>
  </si>
  <si>
    <t>0053277497</t>
  </si>
  <si>
    <t>MORPHINE 10MG/5ML LQ</t>
  </si>
  <si>
    <t>MORPHIN 10MG LQ</t>
  </si>
  <si>
    <t>0053277794</t>
  </si>
  <si>
    <t>MORPHINE 100MG XR TB</t>
  </si>
  <si>
    <t>MORPHI100MGXRTB</t>
  </si>
  <si>
    <t>0053277802</t>
  </si>
  <si>
    <t>MORPHINE 15MG XR TB</t>
  </si>
  <si>
    <t>MORPHIN15MGXRTB</t>
  </si>
  <si>
    <t>0053277828</t>
  </si>
  <si>
    <t>MORPHINE 30MG XR TB</t>
  </si>
  <si>
    <t>MORPHIN30MGXRTB</t>
  </si>
  <si>
    <t>0053278024</t>
  </si>
  <si>
    <t>BELLADONNA OPIUM 30MGSU</t>
  </si>
  <si>
    <t>BELL OP 30MG SU</t>
  </si>
  <si>
    <t>0053278362</t>
  </si>
  <si>
    <t>MORPHINE PER 10MG PCA</t>
  </si>
  <si>
    <t>MORPHINE10MGPCA</t>
  </si>
  <si>
    <t>0053278479</t>
  </si>
  <si>
    <t>OXYCOD/APAP 5/325 TB</t>
  </si>
  <si>
    <t xml:space="preserve">OXY/APAP 5/325 </t>
  </si>
  <si>
    <t>0053278552</t>
  </si>
  <si>
    <t>OXYCODONE 5MG TB</t>
  </si>
  <si>
    <t>OXYCODON 5MG TB</t>
  </si>
  <si>
    <t>0053278578</t>
  </si>
  <si>
    <t>OXYCODONE 10MG XR TB</t>
  </si>
  <si>
    <t>OXYCOD10MG XRTB</t>
  </si>
  <si>
    <t>0053278586</t>
  </si>
  <si>
    <t>OXYCODONE 20MG XR TB</t>
  </si>
  <si>
    <t>OXYCOD20MG XRTB</t>
  </si>
  <si>
    <t>0053279360</t>
  </si>
  <si>
    <t>PHENOBARBITAL 32.4MG TB</t>
  </si>
  <si>
    <t>PHENOBARB32.4TB</t>
  </si>
  <si>
    <t>0053279394</t>
  </si>
  <si>
    <t>PHENOBARBITAL 60MG TB</t>
  </si>
  <si>
    <t>PHENOBARB60MGTB</t>
  </si>
  <si>
    <t>0053279410</t>
  </si>
  <si>
    <t>PHENOBARB UPTO 120MG IJ</t>
  </si>
  <si>
    <t>PB 120MG IJ</t>
  </si>
  <si>
    <t>0053279477</t>
  </si>
  <si>
    <t>PHENOBARBIT 20MG/5ML LQ</t>
  </si>
  <si>
    <t>PHENOBARB5ML LQ</t>
  </si>
  <si>
    <t>0053279600</t>
  </si>
  <si>
    <t>REMIFENTANIL 1MG/3ML IJ</t>
  </si>
  <si>
    <t>REMIFENTA1MG IJ</t>
  </si>
  <si>
    <t>0053300448</t>
  </si>
  <si>
    <t>ACETYLCHOLINE CL1%2ML OS</t>
  </si>
  <si>
    <t>ACETYLCHOL2MLOS</t>
  </si>
  <si>
    <t>0053300794</t>
  </si>
  <si>
    <t>ACETYLCYSTEINE 20%4ML IS</t>
  </si>
  <si>
    <t>ACETYLCYST4MLIS</t>
  </si>
  <si>
    <t>0053300869</t>
  </si>
  <si>
    <t>ACETYLCYSTEINE20%10ML IS</t>
  </si>
  <si>
    <t>ACETYLCYST10 IS</t>
  </si>
  <si>
    <t>0053301123</t>
  </si>
  <si>
    <t>ALBUTEROL HFA 8.5GM IH</t>
  </si>
  <si>
    <t>ALBUTER8.5GM IH</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</si>
  <si>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</si>
  <si>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</si>
  <si>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</si>
  <si>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</si>
  <si>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</si>
  <si>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</si>
  <si>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</si>
  <si>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</si>
  <si>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</si>
  <si>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</si>
  <si>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</si>
  <si>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</si>
  <si>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0053301289</t>
  </si>
  <si>
    <t>ALBUTEROL HFA 8GM IH</t>
  </si>
  <si>
    <t xml:space="preserve">ALBUTER 8GM IH </t>
  </si>
  <si>
    <t>0053301305</t>
  </si>
  <si>
    <t>ALBUTEROL/IPRATR 4GM IH</t>
  </si>
  <si>
    <t>ALBUT/IPR 4GMIH</t>
  </si>
  <si>
    <t>0053302170</t>
  </si>
  <si>
    <t>ARFORMOTEROL15MCG/2ML IS</t>
  </si>
  <si>
    <t>ARFORMOTER2MLIS</t>
  </si>
  <si>
    <t>0053302196</t>
  </si>
  <si>
    <t>AMMONIA AROMATIC IH</t>
  </si>
  <si>
    <t>AMMONIA AROM IH</t>
  </si>
  <si>
    <t>0053302428</t>
  </si>
  <si>
    <t>OCULAR LUB PF 15ML OS</t>
  </si>
  <si>
    <t>OCULAR LUB15 OS</t>
  </si>
  <si>
    <t>0053302758</t>
  </si>
  <si>
    <t>ATROPINE 1% 2ML OS</t>
  </si>
  <si>
    <t>ATROPINE 2ML OS</t>
  </si>
  <si>
    <t>0053302824</t>
  </si>
  <si>
    <t>ATROPINE 1% 5ML OS</t>
  </si>
  <si>
    <t>ATROPINE 5ML OS</t>
  </si>
  <si>
    <t>0053303301</t>
  </si>
  <si>
    <t>AZELASTINE NASAL 30ML SP</t>
  </si>
  <si>
    <t>AZELASTIN30MLSP</t>
  </si>
  <si>
    <t>0053303848</t>
  </si>
  <si>
    <t>BECLOMETHASN40MCG8.7GMIH</t>
  </si>
  <si>
    <t>BECLOMETHA8.7IH</t>
  </si>
  <si>
    <t>0053304168</t>
  </si>
  <si>
    <t>BIMATOPROST.01% 2.5ML OS</t>
  </si>
  <si>
    <t>BIMATOPROS2.5OS</t>
  </si>
  <si>
    <t>0053304259</t>
  </si>
  <si>
    <t>BROMFENAC .09% 1.7ML OS</t>
  </si>
  <si>
    <t>BROMFENAC 1.7OS</t>
  </si>
  <si>
    <t>0053304275</t>
  </si>
  <si>
    <t>BRIMONIDINE .1% 5ML OS</t>
  </si>
  <si>
    <t>BRIMONIDINE 5OS</t>
  </si>
  <si>
    <t>0053304374</t>
  </si>
  <si>
    <t>BRIMONIDINE .2% 5ML OS</t>
  </si>
  <si>
    <t>0053304382</t>
  </si>
  <si>
    <t>BRIMONIDINE .2% 10ML OS</t>
  </si>
  <si>
    <t>BRIMONIDINE10OS</t>
  </si>
  <si>
    <t>0053304432</t>
  </si>
  <si>
    <t>BRINZOLAMIDE 1% 5ML OS</t>
  </si>
  <si>
    <t>BRINZOLAMIDE5OS</t>
  </si>
  <si>
    <t>0053304457</t>
  </si>
  <si>
    <t>CALCITONIN NS200U/2ML SP</t>
  </si>
  <si>
    <t>CALCIT NS2ML SP</t>
  </si>
  <si>
    <t>0053304481</t>
  </si>
  <si>
    <t>BUDESONIDE .5MG/2ML IS</t>
  </si>
  <si>
    <t>BUDESONIDE2MLIS</t>
  </si>
  <si>
    <t>0053304499</t>
  </si>
  <si>
    <t>CARBACHOL .01% 1.5ML OS</t>
  </si>
  <si>
    <t>CARBACHOL1.5 OS</t>
  </si>
  <si>
    <t>0053304515</t>
  </si>
  <si>
    <t>BRIMONIDINE .15% 5ML OS</t>
  </si>
  <si>
    <t>0053304564</t>
  </si>
  <si>
    <t>BROMFENAC .09% 2.5ML OS</t>
  </si>
  <si>
    <t>BROMFENAC 2.5OS</t>
  </si>
  <si>
    <t>0053304929</t>
  </si>
  <si>
    <t>CARBAMIDE PERX6.5%15MLOT</t>
  </si>
  <si>
    <t>CARBAM PERX15OT</t>
  </si>
  <si>
    <t>0053305439</t>
  </si>
  <si>
    <t>CIPROFLOX/DEXM 7.5ML OT</t>
  </si>
  <si>
    <t>CIPRO/DEXM7.5OT</t>
  </si>
  <si>
    <t>0053305462</t>
  </si>
  <si>
    <t>CIPROFLOXACIN.3%2.5MLOS</t>
  </si>
  <si>
    <t>CIPROFLOXA2.5OS</t>
  </si>
  <si>
    <t>0053305470</t>
  </si>
  <si>
    <t>CIPROFLOXACIN .3% 5ML OS</t>
  </si>
  <si>
    <t>CIPROFLOXACN5OS</t>
  </si>
  <si>
    <t>0053305512</t>
  </si>
  <si>
    <t>CROMOLYN 4% 10ML OS</t>
  </si>
  <si>
    <t>CROMOLYN 10MLOS</t>
  </si>
  <si>
    <t>0053305900</t>
  </si>
  <si>
    <t>CYCLOPENTOLATE 1% 2ML OS</t>
  </si>
  <si>
    <t>CYCLOPENTOL2 OS</t>
  </si>
  <si>
    <t>0053306106</t>
  </si>
  <si>
    <t>CYCLOSPORINE.05% .4ML OS</t>
  </si>
  <si>
    <t>CYCLOSPOR.4MLOS</t>
  </si>
  <si>
    <t>0053306411</t>
  </si>
  <si>
    <t>DESMOPRESSIN .01%5ML SP</t>
  </si>
  <si>
    <t>DESMOPRESS5MLSP</t>
  </si>
  <si>
    <t>0053307229</t>
  </si>
  <si>
    <t>DEXAMETH/NEO/POLY 5ML OS</t>
  </si>
  <si>
    <t>DEX/NEO/POLY5OS</t>
  </si>
  <si>
    <t>0053307518</t>
  </si>
  <si>
    <t>DEXAMETH/NEO/POLY3.5GMOO</t>
  </si>
  <si>
    <t>DEX/NEO/PO3.5OO</t>
  </si>
  <si>
    <t>0053307617</t>
  </si>
  <si>
    <t>DICLOFENAC .1% 2.5ML OS</t>
  </si>
  <si>
    <t>DICLOFENAC2.5OS</t>
  </si>
  <si>
    <t>0053307807</t>
  </si>
  <si>
    <t>DORNASE ALF2.5MG/2.5MLIS</t>
  </si>
  <si>
    <t>DORNASE AL2.5IS</t>
  </si>
  <si>
    <t>0053307856</t>
  </si>
  <si>
    <t>DORZOLAMIDE 2% 5ML OS</t>
  </si>
  <si>
    <t>DORZOLAMIDE5 OS</t>
  </si>
  <si>
    <t>0053307864</t>
  </si>
  <si>
    <t>DORZOLAMIDE 2% 10ML OS</t>
  </si>
  <si>
    <t>DORZOLAMIDE10OS</t>
  </si>
  <si>
    <t>0053307880</t>
  </si>
  <si>
    <t>DORZOLAMIDE/TIMOLO10MLOS</t>
  </si>
  <si>
    <t>DORZOL/TIMO10OS</t>
  </si>
  <si>
    <t>0053308656</t>
  </si>
  <si>
    <t>EPINEPHRINE 2.25%.5ML IS</t>
  </si>
  <si>
    <t xml:space="preserve">EPI .5ML IS    </t>
  </si>
  <si>
    <t>0053309233</t>
  </si>
  <si>
    <t>ERYTHROMYCIN .5% 1GM OO</t>
  </si>
  <si>
    <t>ERYTHROMYC1GMOO</t>
  </si>
  <si>
    <t>0053309266</t>
  </si>
  <si>
    <t>ERYTHROMYCIN .5%3.5GM OO</t>
  </si>
  <si>
    <t>ERYTHROMYC3.5OO</t>
  </si>
  <si>
    <t>0053309639</t>
  </si>
  <si>
    <t>FLUORES/PROPAR .25/.5 DOSE OS</t>
  </si>
  <si>
    <t>FLU/PROP .25/.5</t>
  </si>
  <si>
    <t>0053309688</t>
  </si>
  <si>
    <t>FLUORESCEIN STRIP 1 EACH</t>
  </si>
  <si>
    <t>FLUORESCE STRIP</t>
  </si>
  <si>
    <t>0053309787</t>
  </si>
  <si>
    <t>FLUTICASONE110MCG12GM IH</t>
  </si>
  <si>
    <t>FLUTICASONE12IH</t>
  </si>
  <si>
    <t>0053309837</t>
  </si>
  <si>
    <t>FLUOROMETHALONE.1%5MLOS</t>
  </si>
  <si>
    <t>FLUOROMETHAL5OS</t>
  </si>
  <si>
    <t>0053309951</t>
  </si>
  <si>
    <t>FLUTICASONE .05MG16GM SP</t>
  </si>
  <si>
    <t>FLUTICASONE16SP</t>
  </si>
  <si>
    <t>0053310173</t>
  </si>
  <si>
    <t>FORMOTEROL 20MCG/2ML IS</t>
  </si>
  <si>
    <t>FORMOTEROL2MLIS</t>
  </si>
  <si>
    <t>0053310314</t>
  </si>
  <si>
    <t>GENTAMICIN .3% 3.5GM OO</t>
  </si>
  <si>
    <t>GENTAMIC3.5GMOO</t>
  </si>
  <si>
    <t>0053310389</t>
  </si>
  <si>
    <t>GENTAMICIN .3% 5ML OS</t>
  </si>
  <si>
    <t>GENTAMICIN5MLOS</t>
  </si>
  <si>
    <t>0053311585</t>
  </si>
  <si>
    <t>HYALURON 14MG/1ML SGIJ</t>
  </si>
  <si>
    <t>HYALURN1MLSGIJ</t>
  </si>
  <si>
    <t>0053311734</t>
  </si>
  <si>
    <t>HYALURONA 18MG/ML 0.85ML SG IJ</t>
  </si>
  <si>
    <t>HYALUR18MG/ML .</t>
  </si>
  <si>
    <t>0053312310</t>
  </si>
  <si>
    <t>IPRATROPIUM .02%2.5ML IS</t>
  </si>
  <si>
    <t>IPRATROPIM2.5IS</t>
  </si>
  <si>
    <t>0053312336</t>
  </si>
  <si>
    <t>IPRATROPIUMNAS.03%30MLSP</t>
  </si>
  <si>
    <t>IPRATROPIUM30SP</t>
  </si>
  <si>
    <t>0053312393</t>
  </si>
  <si>
    <t>IPRATROPIUM17MCG12.9GMIH</t>
  </si>
  <si>
    <t>IPRATROPM12.9IH</t>
  </si>
  <si>
    <t>0053312450</t>
  </si>
  <si>
    <t>IRRIGANT OPHTH 120ML OS</t>
  </si>
  <si>
    <t>IRRG OPHTH120OS</t>
  </si>
  <si>
    <t>0053313524</t>
  </si>
  <si>
    <t>KETOROLAC .4% 5ML OS</t>
  </si>
  <si>
    <t>KETOROLAC 5MLOS</t>
  </si>
  <si>
    <t>0053313557</t>
  </si>
  <si>
    <t>KETOROLAC 0.5% 5ML OS</t>
  </si>
  <si>
    <t>KETOROLAC5ML OS</t>
  </si>
  <si>
    <t>0053313656</t>
  </si>
  <si>
    <t>LATANOPROST .005%2.5MLOS</t>
  </si>
  <si>
    <t>LATANOPROS2.5OS</t>
  </si>
  <si>
    <t>0053313706</t>
  </si>
  <si>
    <t>LEVOBUNOLOL .5% 5ML OS</t>
  </si>
  <si>
    <t>LEVOBUNOLOL5 OS</t>
  </si>
  <si>
    <t>0053313748</t>
  </si>
  <si>
    <t>LEVALBUTERL1.25MG/.5MLIS</t>
  </si>
  <si>
    <t>LEVALBUTERL.5IS</t>
  </si>
  <si>
    <t>0053313755</t>
  </si>
  <si>
    <t>LEVALBUTEROL.63MG/3ML IS</t>
  </si>
  <si>
    <t>LEVALBUTEROL3IS</t>
  </si>
  <si>
    <t>0053313763</t>
  </si>
  <si>
    <t>LEVALBUTEROL1.25MG/3MLIS</t>
  </si>
  <si>
    <t>0053313789</t>
  </si>
  <si>
    <t>LEVALBUTEROL45MCG/15GMIH</t>
  </si>
  <si>
    <t>LEVALBUTERL15IH</t>
  </si>
  <si>
    <t>0053314886</t>
  </si>
  <si>
    <t>MUPIROCIN 2% 22GM OI</t>
  </si>
  <si>
    <t>MUPIROCIN22GMOI</t>
  </si>
  <si>
    <t>0053314894</t>
  </si>
  <si>
    <t>MOMETASONE NASAL 17GM SP</t>
  </si>
  <si>
    <t>MOMETASONE 17SP</t>
  </si>
  <si>
    <t>0053314910</t>
  </si>
  <si>
    <t>MOXIFLOXACIN .5% 3ML OS</t>
  </si>
  <si>
    <t>MOXIFLOX 3ML OS</t>
  </si>
  <si>
    <t>0053315271</t>
  </si>
  <si>
    <t>NAPHAZOLINE-PHENIR15MLOS</t>
  </si>
  <si>
    <t>NAPHAZ/PHEN15OS</t>
  </si>
  <si>
    <t>0053315305</t>
  </si>
  <si>
    <t>MOXIFLOXACIN BSS 1ML OS</t>
  </si>
  <si>
    <t>MOXIFLOX 1ML OS</t>
  </si>
  <si>
    <t>0053316139</t>
  </si>
  <si>
    <t>NITROGLYCER .4MG 12GMSP</t>
  </si>
  <si>
    <t xml:space="preserve">NTG 12GM SP    </t>
  </si>
  <si>
    <t>0053316253</t>
  </si>
  <si>
    <t>NITROGLYCER .4MG13.8GMSP</t>
  </si>
  <si>
    <t xml:space="preserve">NTG 13.8GM SP  </t>
  </si>
  <si>
    <t>0053316352</t>
  </si>
  <si>
    <t>OCULAR LUB 3.5GM OO</t>
  </si>
  <si>
    <t>OCULAR LUB3.5OO</t>
  </si>
  <si>
    <t>0053316402</t>
  </si>
  <si>
    <t>OFLOXACIN .3% 5ML OS</t>
  </si>
  <si>
    <t xml:space="preserve">OFLOXACIN5MLOS </t>
  </si>
  <si>
    <t>0053316451</t>
  </si>
  <si>
    <t>OLOPATADINE .1% 5ML OS</t>
  </si>
  <si>
    <t>OLOPATADINE 5OS</t>
  </si>
  <si>
    <t>0053316824</t>
  </si>
  <si>
    <t>OXYMETAZOLN NS.05%15MLSP</t>
  </si>
  <si>
    <t>OXYMETZAOLN15SP</t>
  </si>
  <si>
    <t>0053317947</t>
  </si>
  <si>
    <t>PE NASAL .25% 15ML SP</t>
  </si>
  <si>
    <t xml:space="preserve">PE NS 15ML SP  </t>
  </si>
  <si>
    <t>0053318226</t>
  </si>
  <si>
    <t>PE 10% 5ML OS</t>
  </si>
  <si>
    <t>PE 5ML OS</t>
  </si>
  <si>
    <t>0053318283</t>
  </si>
  <si>
    <t>PE 2.5% 2ML OS</t>
  </si>
  <si>
    <t>PE 2ML OS</t>
  </si>
  <si>
    <t>0053318309</t>
  </si>
  <si>
    <t>PE 2.5% 3ML OS</t>
  </si>
  <si>
    <t>PE 3ML OS</t>
  </si>
  <si>
    <t>0053319067</t>
  </si>
  <si>
    <t>PILOCARPINE 1% 15ML OS</t>
  </si>
  <si>
    <t>PILOCARPINE15OS</t>
  </si>
  <si>
    <t>0053319273</t>
  </si>
  <si>
    <t>PILOCARPINE 2% 15ML OS</t>
  </si>
  <si>
    <t>0053320081</t>
  </si>
  <si>
    <t>FLUT/SALM 250/50 14DS IH</t>
  </si>
  <si>
    <t>FLUT/SALM 14 IH</t>
  </si>
  <si>
    <t>0053320362</t>
  </si>
  <si>
    <t>OCULAR LUB PF.4ML UD OS</t>
  </si>
  <si>
    <t>OCULAR LUB.4 OS</t>
  </si>
  <si>
    <t>0053320958</t>
  </si>
  <si>
    <t>POLY/NEO/HCTS 10ML OT</t>
  </si>
  <si>
    <t>POLY/NEO/HC10OT</t>
  </si>
  <si>
    <t>0053321451</t>
  </si>
  <si>
    <t>POVIDONE IODINE5%30ML OS</t>
  </si>
  <si>
    <t>POV IOD 30ML OS</t>
  </si>
  <si>
    <t>0053321923</t>
  </si>
  <si>
    <t>PREDNISOLONE 1% 1ML OS</t>
  </si>
  <si>
    <t>PREDNISOLONE1OS</t>
  </si>
  <si>
    <t>0053321931</t>
  </si>
  <si>
    <t>PREDNISOLONE 1% 5ML OS</t>
  </si>
  <si>
    <t>PREDNISOLONE5OS</t>
  </si>
  <si>
    <t>0053323051</t>
  </si>
  <si>
    <t>FLUT/VILA 100/25 14DS IH</t>
  </si>
  <si>
    <t>FLUT/VILA 14 IH</t>
  </si>
  <si>
    <t>0053323853</t>
  </si>
  <si>
    <t>NACL .65% 45ML NASAL SP</t>
  </si>
  <si>
    <t>NACL NAS 45MLSP</t>
  </si>
  <si>
    <t>0053323861</t>
  </si>
  <si>
    <t>NACL HYPERTONIC2%15ML OS</t>
  </si>
  <si>
    <t>NACL HYPERT15OS</t>
  </si>
  <si>
    <t>0053323911</t>
  </si>
  <si>
    <t>NACL 9% 3ML IS</t>
  </si>
  <si>
    <t xml:space="preserve">NACL 9% 3ML IS </t>
  </si>
  <si>
    <t>0053324018</t>
  </si>
  <si>
    <t>NACL 10% 15ML IS</t>
  </si>
  <si>
    <t>NACL 10%15ML IS</t>
  </si>
  <si>
    <t>0053324315</t>
  </si>
  <si>
    <t>SULFACETAMIDE10% 5ML OS</t>
  </si>
  <si>
    <t>SULFACETAM5MLOS</t>
  </si>
  <si>
    <t>0053324521</t>
  </si>
  <si>
    <t>BSS IRR 15ML OS</t>
  </si>
  <si>
    <t>BSS IRR15ML OS</t>
  </si>
  <si>
    <t>0053324570</t>
  </si>
  <si>
    <t>BSS PLUS IRR 500ML OS</t>
  </si>
  <si>
    <t>BSSPLUSIRR500OS</t>
  </si>
  <si>
    <t>0053325908</t>
  </si>
  <si>
    <t>TETRACAINE .5% 4ML OS</t>
  </si>
  <si>
    <t>TETRACAINE4MLOS</t>
  </si>
  <si>
    <t>0053325924</t>
  </si>
  <si>
    <t>TETRACAINE .5% 2ML OS</t>
  </si>
  <si>
    <t>TETRACAINE2MLOS</t>
  </si>
  <si>
    <t>0053326625</t>
  </si>
  <si>
    <t>TETRAHYDRAZOL.05%15ML OS</t>
  </si>
  <si>
    <t>TETRAHYDRAZ15OS</t>
  </si>
  <si>
    <t>0053326948</t>
  </si>
  <si>
    <t>TIMOLOL 0.5% 5ML OS</t>
  </si>
  <si>
    <t>TIMOLOL.5%5MLOS</t>
  </si>
  <si>
    <t>0053326971</t>
  </si>
  <si>
    <t>TIMOLOL .25% 5ML OS</t>
  </si>
  <si>
    <t xml:space="preserve">TIMOLOL 5ML OS </t>
  </si>
  <si>
    <t>0053327029</t>
  </si>
  <si>
    <t>TIMOLOL .5% 5ML GL</t>
  </si>
  <si>
    <t xml:space="preserve">TIMOLOL 5ML GL </t>
  </si>
  <si>
    <t>0053327110</t>
  </si>
  <si>
    <t>TIOTROPIUM CP18MCG6DS IH</t>
  </si>
  <si>
    <t>TIOTROP CP6DSIH</t>
  </si>
  <si>
    <t>0053327201</t>
  </si>
  <si>
    <t>TIOTROPIUM 2.5MCG 10DS IH</t>
  </si>
  <si>
    <t>TIOTROPIUM2.5MC</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</si>
  <si>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</si>
  <si>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</si>
  <si>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</si>
  <si>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</si>
  <si>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</si>
  <si>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</si>
  <si>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</si>
  <si>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</si>
  <si>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</si>
  <si>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</si>
  <si>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</si>
  <si>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</si>
  <si>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0053327342</t>
  </si>
  <si>
    <t>TOBRAMYC/DEXAMETH2.5MLOS</t>
  </si>
  <si>
    <t>TOBRM/DEXA2.5OS</t>
  </si>
  <si>
    <t>0053327375</t>
  </si>
  <si>
    <t>TRIAMCINOLONE 16.5GM SP</t>
  </si>
  <si>
    <t>TRIAMCINO16.5SP</t>
  </si>
  <si>
    <t>0053327458</t>
  </si>
  <si>
    <t>TRAVOPROST.004% 2.5ML OS</t>
  </si>
  <si>
    <t>TRAVOPROST2.5OS</t>
  </si>
  <si>
    <t>0053327607</t>
  </si>
  <si>
    <t>TRIMETHPRM/POLYMYX10MLOS</t>
  </si>
  <si>
    <t>TRIMETHP/PO10OS</t>
  </si>
  <si>
    <t>0053327813</t>
  </si>
  <si>
    <t>TROPICAMIDE 1% 15ML OS</t>
  </si>
  <si>
    <t>TROPICAMIDE15OS</t>
  </si>
  <si>
    <t>0053327904</t>
  </si>
  <si>
    <t>TRYPAN BLUE .06% .5ML OS</t>
  </si>
  <si>
    <t>TRYPAN BLUE.5OS</t>
  </si>
  <si>
    <t>0053328159</t>
  </si>
  <si>
    <t>VANCOMYCIN/BSS CMPD OS</t>
  </si>
  <si>
    <t>VANCOMY/BSS OS</t>
  </si>
  <si>
    <t>0053340378</t>
  </si>
  <si>
    <t>ACYCLOVIR 5% 15GM OI</t>
  </si>
  <si>
    <t>ACYCLOVIR15GMOI</t>
  </si>
  <si>
    <t>0053342036</t>
  </si>
  <si>
    <t>PETROLATUM AQUA 85GM OI</t>
  </si>
  <si>
    <t>PETROLATUM AQUA</t>
  </si>
  <si>
    <t>0053342051</t>
  </si>
  <si>
    <t>PETROLATUM AQUA 396GM OI</t>
  </si>
  <si>
    <t xml:space="preserve">PETROLATU396GM </t>
  </si>
  <si>
    <t>0053342911</t>
  </si>
  <si>
    <t>BACITRACIN500U/GM15GM OI</t>
  </si>
  <si>
    <t>BACITRACN15GMOI</t>
  </si>
  <si>
    <t>0053342937</t>
  </si>
  <si>
    <t>BACITRACIN 30GM OI</t>
  </si>
  <si>
    <t>BACITRACIN 30OI</t>
  </si>
  <si>
    <t>0053342945</t>
  </si>
  <si>
    <t>BACITRACIN500U/1GM OI</t>
  </si>
  <si>
    <t>BACITRANCN1GMOI</t>
  </si>
  <si>
    <t>0053343000</t>
  </si>
  <si>
    <t>BACITRACIN/POLYB.9GM OI</t>
  </si>
  <si>
    <t>BAC/POLYB.9GMOI</t>
  </si>
  <si>
    <t>0053343257</t>
  </si>
  <si>
    <t>VITAMIN A&amp;D 60GM OI</t>
  </si>
  <si>
    <t>VIT A&amp;D 60GM OI</t>
  </si>
  <si>
    <t>0053344107</t>
  </si>
  <si>
    <t>BENZOCAINE 20% 0.5ML TS</t>
  </si>
  <si>
    <t>BENZOCA 0.5MLTS</t>
  </si>
  <si>
    <t>0053344289</t>
  </si>
  <si>
    <t>BENZOCAINE20%82.5ML SP</t>
  </si>
  <si>
    <t>BENZOCAIN82.5SP</t>
  </si>
  <si>
    <t>0053344370</t>
  </si>
  <si>
    <t>BENZOCAINE20% 5GM MMCR</t>
  </si>
  <si>
    <t>BENZOCAINE5MMCR</t>
  </si>
  <si>
    <t>0053346557</t>
  </si>
  <si>
    <t>CALAMINE 180ML LT</t>
  </si>
  <si>
    <t>CALAMINE180MLLT</t>
  </si>
  <si>
    <t>0053346888</t>
  </si>
  <si>
    <t>ZINC OX/MENTHOL 113GM OI</t>
  </si>
  <si>
    <t>ZN/MENTH113GMOI</t>
  </si>
  <si>
    <t>0053347308</t>
  </si>
  <si>
    <t>CAPSAICIN .025%42.5GM CR</t>
  </si>
  <si>
    <t>CAPSAICIN42.5CR</t>
  </si>
  <si>
    <t>0053347704</t>
  </si>
  <si>
    <t>CHLORHEXID.12%480ML MMTS</t>
  </si>
  <si>
    <t>CHLORHEX480MLTS</t>
  </si>
  <si>
    <t>0053347795</t>
  </si>
  <si>
    <t>CHLORHEXID.12%120ML MMTS</t>
  </si>
  <si>
    <t>CHLORHEX120MLTS</t>
  </si>
  <si>
    <t>0053348116</t>
  </si>
  <si>
    <t>NA HYPOCHL .5% 480ML TS</t>
  </si>
  <si>
    <t>NA HYPOCH 480ML</t>
  </si>
  <si>
    <t>0053348645</t>
  </si>
  <si>
    <t>CLINDAMYCIN 1% 30GM GL</t>
  </si>
  <si>
    <t>CLINDAMYCIN30GL</t>
  </si>
  <si>
    <t>0053348686</t>
  </si>
  <si>
    <t>CLOBETASOL .05% 15GM CR</t>
  </si>
  <si>
    <t>CLOBETASOL 15CR</t>
  </si>
  <si>
    <t>0053348710</t>
  </si>
  <si>
    <t>CLOTRIMAZOLE 1% 15GM CR</t>
  </si>
  <si>
    <t xml:space="preserve">CLOTRIMAZL15CR </t>
  </si>
  <si>
    <t>0053348744</t>
  </si>
  <si>
    <t>CLOTRIMAZOLE 1% 30GM CR</t>
  </si>
  <si>
    <t xml:space="preserve">CLOTRIMAZL30CR </t>
  </si>
  <si>
    <t>0053348777</t>
  </si>
  <si>
    <t>CLOBETASOL .05% 60GM CR</t>
  </si>
  <si>
    <t>CLOBETASOL 60CR</t>
  </si>
  <si>
    <t>0053348843</t>
  </si>
  <si>
    <t>CLOTRIMAZOLE 1%45GM VCR</t>
  </si>
  <si>
    <t>CLOTRIMAZL45VCR</t>
  </si>
  <si>
    <t>0053348934</t>
  </si>
  <si>
    <t>CLOTRIMAZ/BETAMET 15GMCR</t>
  </si>
  <si>
    <t>CLOTR/BETAM15CR</t>
  </si>
  <si>
    <t>0053348959</t>
  </si>
  <si>
    <t>CLOTRIMAZ/BETAMET 45GMCR</t>
  </si>
  <si>
    <t>CLOTR/BETAM45CR</t>
  </si>
  <si>
    <t>0053348975</t>
  </si>
  <si>
    <t>CLONIDINE .1MG XR TD</t>
  </si>
  <si>
    <t>CLONIDINE.1XRTD</t>
  </si>
  <si>
    <t>0053348991</t>
  </si>
  <si>
    <t>CLONIDINE .2MG XR TD</t>
  </si>
  <si>
    <t>CLONIDINE.2XRTD</t>
  </si>
  <si>
    <t>0053349015</t>
  </si>
  <si>
    <t>CLONIDINE .3MG XR TD</t>
  </si>
  <si>
    <t>CLONIDINE.3XRTD</t>
  </si>
  <si>
    <t>0053349585</t>
  </si>
  <si>
    <t>COLLAGENASE250U/GM30GMOI</t>
  </si>
  <si>
    <t>COLLAGENASE30OI</t>
  </si>
  <si>
    <t>0053349981</t>
  </si>
  <si>
    <t>CONJUGAT ESTRGN 30GM VCR</t>
  </si>
  <si>
    <t>CONJ ESTR 30VCR</t>
  </si>
  <si>
    <t>0053349999</t>
  </si>
  <si>
    <t>CONJUGAT ESTRGN42.5GMVCR</t>
  </si>
  <si>
    <t>CONJESTR42.5VCR</t>
  </si>
  <si>
    <t>0053352126</t>
  </si>
  <si>
    <t>DICLOFENAC 1% 100GM GL</t>
  </si>
  <si>
    <t>DICLOFEN100G GL</t>
  </si>
  <si>
    <t>0053352696</t>
  </si>
  <si>
    <t>DIPHENHYD-ZINC 2% 30GMCR</t>
  </si>
  <si>
    <t>DIPHEN-ZINC30CR</t>
  </si>
  <si>
    <t>0053352704</t>
  </si>
  <si>
    <t>DIPHENHYDRA 2% 30GM CR</t>
  </si>
  <si>
    <t>DIPHENHYDRA30CR</t>
  </si>
  <si>
    <t>0053352902</t>
  </si>
  <si>
    <t>DOCOSANOL 10% 2GM CR</t>
  </si>
  <si>
    <t>DOCOSANOL 2GMCR</t>
  </si>
  <si>
    <t>0053353181</t>
  </si>
  <si>
    <t>EMOLLIENT 100GM OI</t>
  </si>
  <si>
    <t>EMOLLIENT 100OI</t>
  </si>
  <si>
    <t>0053353272</t>
  </si>
  <si>
    <t>EMOLLIENT 60GM CR</t>
  </si>
  <si>
    <t xml:space="preserve">EMOLLIENT 60CR </t>
  </si>
  <si>
    <t>0053353330</t>
  </si>
  <si>
    <t>EMOLLIENT 454GM OI</t>
  </si>
  <si>
    <t>EMOLLIENT 454OI</t>
  </si>
  <si>
    <t>0053353587</t>
  </si>
  <si>
    <t>ESTRADIOL .025WEEK EA TD</t>
  </si>
  <si>
    <t>ESTRADL .025 TD</t>
  </si>
  <si>
    <t>0053353603</t>
  </si>
  <si>
    <t>ESTRADIOL .05BIWK EA TD</t>
  </si>
  <si>
    <t xml:space="preserve">ESTRADL .05 TD </t>
  </si>
  <si>
    <t>0053353611</t>
  </si>
  <si>
    <t>ESTRADIOL .1BIWK EA TD</t>
  </si>
  <si>
    <t>ESTRADIOL .1 TD</t>
  </si>
  <si>
    <t>0053353728</t>
  </si>
  <si>
    <t>ESTRADIOL .075WEEK EA TD</t>
  </si>
  <si>
    <t>ESTRADL .075 TD</t>
  </si>
  <si>
    <t>0053353744</t>
  </si>
  <si>
    <t>ETHYL CHLORIDE 105ML SP</t>
  </si>
  <si>
    <t>ETHYL CL105MLSP</t>
  </si>
  <si>
    <t>0053353785</t>
  </si>
  <si>
    <t>EMOLLIENT 454GM CR</t>
  </si>
  <si>
    <t>EMOLLIENT 454CR</t>
  </si>
  <si>
    <t>0053353827</t>
  </si>
  <si>
    <t>FERRIC SUBSULF 8GM TS</t>
  </si>
  <si>
    <t>FERRICSUBSLF8TS</t>
  </si>
  <si>
    <t>0053354379</t>
  </si>
  <si>
    <t>FLUOCINOLONE ACET 0.01% 15 GM</t>
  </si>
  <si>
    <t>FLUOCINOLON 0.0</t>
  </si>
  <si>
    <t>0053354981</t>
  </si>
  <si>
    <t>FLUOCINONIDE .05%15GM CR</t>
  </si>
  <si>
    <t>FLUOCINONID15CR</t>
  </si>
  <si>
    <t>0053355723</t>
  </si>
  <si>
    <t>FLUOROURACIL 5% 40GM CR</t>
  </si>
  <si>
    <t>FLUOROURA40G CR</t>
  </si>
  <si>
    <t>0053356952</t>
  </si>
  <si>
    <t>GELATIN SPONGE ABS50SZEA</t>
  </si>
  <si>
    <t>GEL SPONG50SZEA</t>
  </si>
  <si>
    <t>0053356986</t>
  </si>
  <si>
    <t>GELATIN SPONG ABS100SZEA</t>
  </si>
  <si>
    <t>GEL SPNG100SZEA</t>
  </si>
  <si>
    <t>0053357034</t>
  </si>
  <si>
    <t>GELATIN SPONGE ABS12X7EA</t>
  </si>
  <si>
    <t>GEL SPONG12X7EA</t>
  </si>
  <si>
    <t>0053357299</t>
  </si>
  <si>
    <t>GENTAMICIN .1% 15GM OI</t>
  </si>
  <si>
    <t>GENTAMICIN 15OI</t>
  </si>
  <si>
    <t>0053358511</t>
  </si>
  <si>
    <t>HYALURON/CHONDR.5MLKTIJ</t>
  </si>
  <si>
    <t>HYAL/CHON.5KTIJ</t>
  </si>
  <si>
    <t>0053358529</t>
  </si>
  <si>
    <t>NA CHONDR/HYALUR 1ML EA</t>
  </si>
  <si>
    <t>NACHON/HYALR1EA</t>
  </si>
  <si>
    <t>0053358867</t>
  </si>
  <si>
    <t>HCTS .5% 30GM CR</t>
  </si>
  <si>
    <t xml:space="preserve">HCTS 30GM CR   </t>
  </si>
  <si>
    <t>0053358958</t>
  </si>
  <si>
    <t>HCTS 1% 30GM OI</t>
  </si>
  <si>
    <t xml:space="preserve">HCTS 30GM OI   </t>
  </si>
  <si>
    <t>0053359113</t>
  </si>
  <si>
    <t>HCTS 1% 30GM CR</t>
  </si>
  <si>
    <t>0053359139</t>
  </si>
  <si>
    <t>HCTS 2.5% 30GM CR</t>
  </si>
  <si>
    <t>0053359931</t>
  </si>
  <si>
    <t>IODINE TINCT 7% 30ML TS</t>
  </si>
  <si>
    <t>IODINE 7%30MLTS</t>
  </si>
  <si>
    <t>0053360848</t>
  </si>
  <si>
    <t>KETOCONAZOLE 2% 15GM CR</t>
  </si>
  <si>
    <t>KETOCONAZOL15CR</t>
  </si>
  <si>
    <t>0053360855</t>
  </si>
  <si>
    <t>KETOCONAZL SHMP2%120MLSH</t>
  </si>
  <si>
    <t>KETOCONSHM120SH</t>
  </si>
  <si>
    <t>0053360871</t>
  </si>
  <si>
    <t>AMMONIUM LACT12%225ML LT</t>
  </si>
  <si>
    <t>AMMON LACT225LT</t>
  </si>
  <si>
    <t>0053362018</t>
  </si>
  <si>
    <t>LIDOCAINE2%UROJET 10MLGL</t>
  </si>
  <si>
    <t>LIDOCUROJET10GL</t>
  </si>
  <si>
    <t>0053362026</t>
  </si>
  <si>
    <t>LIDOCAINE 2% 5ML GL</t>
  </si>
  <si>
    <t>LIDO 5ML GL</t>
  </si>
  <si>
    <t>0053362042</t>
  </si>
  <si>
    <t>LIDO/PRILOC 2.5% 5GM CR</t>
  </si>
  <si>
    <t>LIDO/PRILOC 5CR</t>
  </si>
  <si>
    <t>0053362075</t>
  </si>
  <si>
    <t>LIDO/EPI/TETRA 3ML TS</t>
  </si>
  <si>
    <t>LIDO/EPI/TET3TS</t>
  </si>
  <si>
    <t>0053362083</t>
  </si>
  <si>
    <t>LIDOCAINE 4% 50ML TS</t>
  </si>
  <si>
    <t>LIDO 50ML TS</t>
  </si>
  <si>
    <t>0053362125</t>
  </si>
  <si>
    <t>LIDOCAINE 5% 35GM OI</t>
  </si>
  <si>
    <t>LIDO 35GM OI</t>
  </si>
  <si>
    <t>0053362133</t>
  </si>
  <si>
    <t>LIDOCAINE 5% TD</t>
  </si>
  <si>
    <t>LIDO 5% TD</t>
  </si>
  <si>
    <t>0053362158</t>
  </si>
  <si>
    <t>METHYL SALICY 90GM CR</t>
  </si>
  <si>
    <t>METH SALIC 90CR</t>
  </si>
  <si>
    <t>0053362166</t>
  </si>
  <si>
    <t>LIDOCAINE 4% 4ML TS</t>
  </si>
  <si>
    <t>LIDO 4ML TS</t>
  </si>
  <si>
    <t>0053362349</t>
  </si>
  <si>
    <t>LIDOCAINE 2% 11ML GL</t>
  </si>
  <si>
    <t>LIDO 11ML GL</t>
  </si>
  <si>
    <t>0053362406</t>
  </si>
  <si>
    <t>LIDOCAINE 4% PATCH TD</t>
  </si>
  <si>
    <t>LIDOCAINE 4% PA</t>
  </si>
  <si>
    <t>0053363552</t>
  </si>
  <si>
    <t>MG SULFATE 480GM PW</t>
  </si>
  <si>
    <t xml:space="preserve">MG SULF480GMPW </t>
  </si>
  <si>
    <t>0053364709</t>
  </si>
  <si>
    <t>METHYL SAL MENTH 30GM OI</t>
  </si>
  <si>
    <t>METHYL SAL 30OI</t>
  </si>
  <si>
    <t>0053365607</t>
  </si>
  <si>
    <t>METRONIDAZOLE.75%70GMVGL</t>
  </si>
  <si>
    <t>METRONIDAZ70VGL</t>
  </si>
  <si>
    <t>0053365938</t>
  </si>
  <si>
    <t>MICONAZOLE 2% 15GM CR</t>
  </si>
  <si>
    <t>MICONAZOLE 15CR</t>
  </si>
  <si>
    <t>0053365953</t>
  </si>
  <si>
    <t>MICONAZOLE 2% 45GM VCR</t>
  </si>
  <si>
    <t>MICONAZOLE45VCR</t>
  </si>
  <si>
    <t>0053366449</t>
  </si>
  <si>
    <t>MINERAL OIL STER 10ML LQ</t>
  </si>
  <si>
    <t>MINERAL OIL10LQ</t>
  </si>
  <si>
    <t>0053366472</t>
  </si>
  <si>
    <t>MINERAL OIL LIGHT25ML TS</t>
  </si>
  <si>
    <t>MINERAL OIL25ML</t>
  </si>
  <si>
    <t>0053366803</t>
  </si>
  <si>
    <t>MOMETASONE .1% 15GM OI</t>
  </si>
  <si>
    <t>MOMETASONE 15OI</t>
  </si>
  <si>
    <t>0053366837</t>
  </si>
  <si>
    <t>MUPIROCIN 2% 1GM OI</t>
  </si>
  <si>
    <t>MUPIROCIN 1GMOI</t>
  </si>
  <si>
    <t>0053366852</t>
  </si>
  <si>
    <t>MUPIROCIN 2% 15GM CR</t>
  </si>
  <si>
    <t>MUPIROCIN15GMCR</t>
  </si>
  <si>
    <t>0053367751</t>
  </si>
  <si>
    <t>NEO/BAC/POLYB 30GM OI</t>
  </si>
  <si>
    <t>NEO/BAC/P30GMOI</t>
  </si>
  <si>
    <t>0053367777</t>
  </si>
  <si>
    <t>NEO/BAC/POLYB.9GM OI</t>
  </si>
  <si>
    <t>NEO/BAC/P.9GMOI</t>
  </si>
  <si>
    <t>0053367793</t>
  </si>
  <si>
    <t>NEOMYCIN/POLYMB IR 1MLTS</t>
  </si>
  <si>
    <t>NEO/POLYB IR1TS</t>
  </si>
  <si>
    <t>0053368106</t>
  </si>
  <si>
    <t>NICOTINE 7MG TD</t>
  </si>
  <si>
    <t xml:space="preserve">NICOTINE 7MGTD </t>
  </si>
  <si>
    <t>0053368114</t>
  </si>
  <si>
    <t>NICOTINE 14MG TD</t>
  </si>
  <si>
    <t>NICOTINE 14MGTD</t>
  </si>
  <si>
    <t>0053368122</t>
  </si>
  <si>
    <t>NICOTINE 21MG TD</t>
  </si>
  <si>
    <t>NICOTINE 21MGTD</t>
  </si>
  <si>
    <t>0053368353</t>
  </si>
  <si>
    <t>NITROGLYCERIN .1MG/HR TD</t>
  </si>
  <si>
    <t xml:space="preserve">NTG .1MG/HR TD </t>
  </si>
  <si>
    <t>0053368361</t>
  </si>
  <si>
    <t>NITROGLYCERIN .2MG/HR TD</t>
  </si>
  <si>
    <t xml:space="preserve">NTG .2MG/HR TD </t>
  </si>
  <si>
    <t>0053368387</t>
  </si>
  <si>
    <t>NITROGLYCERIN .4MG/HR TD</t>
  </si>
  <si>
    <t xml:space="preserve">NTG .4MG/HR TD </t>
  </si>
  <si>
    <t>0053368403</t>
  </si>
  <si>
    <t>NITROGLYCERIN .6MG/HR TD</t>
  </si>
  <si>
    <t xml:space="preserve">NTG .6MG/HR TD </t>
  </si>
  <si>
    <t>0053368882</t>
  </si>
  <si>
    <t>NITROGLYCERIN2% 1GM OI</t>
  </si>
  <si>
    <t xml:space="preserve">NTG 1GM OI     </t>
  </si>
  <si>
    <t>0053369096</t>
  </si>
  <si>
    <t>NYSTATIN 15GM CR</t>
  </si>
  <si>
    <t xml:space="preserve">NYSTATIN15GMCR </t>
  </si>
  <si>
    <t>0053369195</t>
  </si>
  <si>
    <t>NYSTATIN 15GM PW</t>
  </si>
  <si>
    <t xml:space="preserve">NYSTATIN15GMPW </t>
  </si>
  <si>
    <t>0053369963</t>
  </si>
  <si>
    <t>PERMETHRIN 1% 60ML TS</t>
  </si>
  <si>
    <t>PERMETHRIN 60TS</t>
  </si>
  <si>
    <t>0053369989</t>
  </si>
  <si>
    <t>PERMETHRIN 5% 60GM CR</t>
  </si>
  <si>
    <t>PERMETHRIN 60CR</t>
  </si>
  <si>
    <t>0053370193</t>
  </si>
  <si>
    <t>PETROLATUM 5GM UD OI</t>
  </si>
  <si>
    <t>PETROLATUM5GMOI</t>
  </si>
  <si>
    <t>0053370375</t>
  </si>
  <si>
    <t>PHENOL 89% SWAB EA</t>
  </si>
  <si>
    <t>PHENOL SWAB EA</t>
  </si>
  <si>
    <t>0053371076</t>
  </si>
  <si>
    <t>POVIDONE-IODINE10%30GMOI</t>
  </si>
  <si>
    <t>POV-IOD 30GM OI</t>
  </si>
  <si>
    <t>0053371225</t>
  </si>
  <si>
    <t>POVDN-IOD SKIN CLN 4OZTS</t>
  </si>
  <si>
    <t>POV-IODSKNCL4TS</t>
  </si>
  <si>
    <t>0053371233</t>
  </si>
  <si>
    <t>POVIDONE-IODINE10%15MLTS</t>
  </si>
  <si>
    <t xml:space="preserve">POV-IOD 15MLTS </t>
  </si>
  <si>
    <t>0053371241</t>
  </si>
  <si>
    <t>POVIDONE-IODINE10%8OZ TS</t>
  </si>
  <si>
    <t xml:space="preserve">POV-IOD 8OZ TS </t>
  </si>
  <si>
    <t>0053372470</t>
  </si>
  <si>
    <t>ADHESION BARRIER 5X6 EA</t>
  </si>
  <si>
    <t>ADH BARRIER 5X6</t>
  </si>
  <si>
    <t>0053372538</t>
  </si>
  <si>
    <t>SCOPOLAMINE1.5MG72HR TD</t>
  </si>
  <si>
    <t>SCOPOLAM1.5MGTD</t>
  </si>
  <si>
    <t>0053372710</t>
  </si>
  <si>
    <t>SILVER NITRATE APPL 10PK</t>
  </si>
  <si>
    <t>SILVER NIT 10PK</t>
  </si>
  <si>
    <t>0053372728</t>
  </si>
  <si>
    <t>SILVER SULFADIA 1%50GMCR</t>
  </si>
  <si>
    <t xml:space="preserve">SSD 50GM CR    </t>
  </si>
  <si>
    <t>0053372793</t>
  </si>
  <si>
    <t>SILVER SULFADIA 1%20GMCR</t>
  </si>
  <si>
    <t xml:space="preserve">SSD 20GM CR    </t>
  </si>
  <si>
    <t>0053373056</t>
  </si>
  <si>
    <t>NA HYPOCHL .25% 480ML TS</t>
  </si>
  <si>
    <t>0053373106</t>
  </si>
  <si>
    <t>NA HYPOCHL.125% 480ML TS</t>
  </si>
  <si>
    <t>0053373999</t>
  </si>
  <si>
    <t>NYSTATIN/TRIAMCIN 15GMOI</t>
  </si>
  <si>
    <t>NYSTA/TRIAM15OI</t>
  </si>
  <si>
    <t>0053374419</t>
  </si>
  <si>
    <t>TETRACAINE .5%15ML OS</t>
  </si>
  <si>
    <t>TETRACAINE 15OS</t>
  </si>
  <si>
    <t>0053374583</t>
  </si>
  <si>
    <t>THROMBIN 5000U RECOM KT</t>
  </si>
  <si>
    <t>THROMB 5000U KT</t>
  </si>
  <si>
    <t>0053374674</t>
  </si>
  <si>
    <t>THROMBIN 5000U PW</t>
  </si>
  <si>
    <t>THROMBIN5000UPW</t>
  </si>
  <si>
    <t>0053374708</t>
  </si>
  <si>
    <t>TOBRAMYCIN 1.2GM PW</t>
  </si>
  <si>
    <t>TOBRAMYC1.2GMPW</t>
  </si>
  <si>
    <t>0053375457</t>
  </si>
  <si>
    <t>TRIAMCINOLONE.025%15GMCR</t>
  </si>
  <si>
    <t>TRIAMCINOLN15CR</t>
  </si>
  <si>
    <t>0053375507</t>
  </si>
  <si>
    <t>TRIAMCINOLONE.025%15GMOI</t>
  </si>
  <si>
    <t>TRIAMCINOLN15OI</t>
  </si>
  <si>
    <t>0053375754</t>
  </si>
  <si>
    <t>TRIAMCINOLONE .1%15GM OI</t>
  </si>
  <si>
    <t>0053375952</t>
  </si>
  <si>
    <t>TRIAMCINOLONE .5%15GM CR</t>
  </si>
  <si>
    <t>0053376000</t>
  </si>
  <si>
    <t>TRIAMCINOLONE .5%15GM OI</t>
  </si>
  <si>
    <t>0053376158</t>
  </si>
  <si>
    <t>TRIAMCINOL-A .1%15GM CR</t>
  </si>
  <si>
    <t>TRIAMCIN-A 15CR</t>
  </si>
  <si>
    <t>0053376208</t>
  </si>
  <si>
    <t>TRIAMCIN-A .1% 5GM PASTE</t>
  </si>
  <si>
    <t xml:space="preserve">TRIAMC-A 5GM   </t>
  </si>
  <si>
    <t>0053377446</t>
  </si>
  <si>
    <t>GYLCER/WITCH HAZ PAD40EA</t>
  </si>
  <si>
    <t>GYLC/WH PAD40EA</t>
  </si>
  <si>
    <t>0053377560</t>
  </si>
  <si>
    <t>ZINC OXIDE 20% 30GM OI</t>
  </si>
  <si>
    <t>ZINC OXIDE 30OI</t>
  </si>
  <si>
    <t>0053380168</t>
  </si>
  <si>
    <t>APAP 120MG SU</t>
  </si>
  <si>
    <t xml:space="preserve">APAP 120MG SU  </t>
  </si>
  <si>
    <t>0053380200</t>
  </si>
  <si>
    <t>APAP 325MG SU</t>
  </si>
  <si>
    <t xml:space="preserve">APAP 325MG SU  </t>
  </si>
  <si>
    <t>0053380242</t>
  </si>
  <si>
    <t>APAP 650MG SU</t>
  </si>
  <si>
    <t xml:space="preserve">APAP 650MG SU  </t>
  </si>
  <si>
    <t>0053380952</t>
  </si>
  <si>
    <t>ASA 300MG SU</t>
  </si>
  <si>
    <t xml:space="preserve">ASA 300MG SU   </t>
  </si>
  <si>
    <t>0053381620</t>
  </si>
  <si>
    <t>BISACODYL 10MG SU</t>
  </si>
  <si>
    <t>BISACODY10MG SU</t>
  </si>
  <si>
    <t>0053384137</t>
  </si>
  <si>
    <t>GLYCERIN INFANT SU</t>
  </si>
  <si>
    <t>GLYCERIN INF SU</t>
  </si>
  <si>
    <t>0053384889</t>
  </si>
  <si>
    <t>HCTS 100MG/60ML RE</t>
  </si>
  <si>
    <t>HCTS 100MG/60ML</t>
  </si>
  <si>
    <t>0053384939</t>
  </si>
  <si>
    <t>HCTS 25MG SU</t>
  </si>
  <si>
    <t xml:space="preserve">HCTS 25MG SU   </t>
  </si>
  <si>
    <t>0053384970</t>
  </si>
  <si>
    <t>INDOMETHACIN 50MG SUPP</t>
  </si>
  <si>
    <t>INDOMETH50MG SU</t>
  </si>
  <si>
    <t>0053384988</t>
  </si>
  <si>
    <t>INDOMETHACIN 100MG SUPP</t>
  </si>
  <si>
    <t>INDOMETHACIN 10</t>
  </si>
  <si>
    <t>0053385050</t>
  </si>
  <si>
    <t>LACTULOSE CMPD RE</t>
  </si>
  <si>
    <t>LACTULOSE RE</t>
  </si>
  <si>
    <t>0053385100</t>
  </si>
  <si>
    <t>MESALAMINE 4G/60ML RE</t>
  </si>
  <si>
    <t>MESALAM 60ML RE</t>
  </si>
  <si>
    <t>0053385340</t>
  </si>
  <si>
    <t>MINERAL OIL 133ML RE</t>
  </si>
  <si>
    <t xml:space="preserve">MINERAL OIL RE </t>
  </si>
  <si>
    <t>0053385837</t>
  </si>
  <si>
    <t>PRAMOXINE PE 26GM RCR</t>
  </si>
  <si>
    <t>PRAMOX PE26GRCR</t>
  </si>
  <si>
    <t>0053386348</t>
  </si>
  <si>
    <t>PROMETHAZINE 12.5MG SU</t>
  </si>
  <si>
    <t>PROMETHA12MG SU</t>
  </si>
  <si>
    <t>0053386389</t>
  </si>
  <si>
    <t>PROMETHAZINE 25MG SU</t>
  </si>
  <si>
    <t>PROMETHA25MG SU</t>
  </si>
  <si>
    <t>0053387262</t>
  </si>
  <si>
    <t>NA BIPHOSPHATE ADULT RE</t>
  </si>
  <si>
    <t>NA BIPHO ADL RE</t>
  </si>
  <si>
    <t>0053397956</t>
  </si>
  <si>
    <t>LACTASE ENZYME</t>
  </si>
  <si>
    <t>LACTASE CAP/TAB</t>
  </si>
  <si>
    <t>0053561619</t>
  </si>
  <si>
    <t>GADOBENATE DIM PER1ML IJ</t>
  </si>
  <si>
    <t>GADOBENATE1MLIJ</t>
  </si>
  <si>
    <t>0053561643</t>
  </si>
  <si>
    <t>GADOTERATE MEG 0.1ML IJ</t>
  </si>
  <si>
    <t>GADOTERATE0.1ML</t>
  </si>
  <si>
    <t>0053561817</t>
  </si>
  <si>
    <t>HOCM &lt; = 149MG/ML ID 1ML</t>
  </si>
  <si>
    <t>HOCM 1ML</t>
  </si>
  <si>
    <t>0053561866</t>
  </si>
  <si>
    <t>HOCM 350-399MG/ML ID 1ML</t>
  </si>
  <si>
    <t>0053582078</t>
  </si>
  <si>
    <t>METHYLEN BLUE PER 1MG IJ</t>
  </si>
  <si>
    <t>METH BLUE 1MGIJ</t>
  </si>
  <si>
    <t>0053582094</t>
  </si>
  <si>
    <t>LOCM 300-399MG/ML ID 1ML</t>
  </si>
  <si>
    <t>LOCM 1ML</t>
  </si>
  <si>
    <t>0053582110</t>
  </si>
  <si>
    <t>LOCM 200-299MG/ML ID 1ML</t>
  </si>
  <si>
    <t>0053582441</t>
  </si>
  <si>
    <t>OCTAFLUOROPROP MIC 1MLIJ</t>
  </si>
  <si>
    <t>OCTAFLUOR 1MLIJ</t>
  </si>
  <si>
    <t>0054120035</t>
  </si>
  <si>
    <t>AA 5% D20 EL/CA 2L TPN</t>
  </si>
  <si>
    <t>AA5%D20 EL/CA2L</t>
  </si>
  <si>
    <t>0054120043</t>
  </si>
  <si>
    <t>AA 5% D15 EL/CA 2L TPN</t>
  </si>
  <si>
    <t>AA5%D15 EL 2L</t>
  </si>
  <si>
    <t>0054120084</t>
  </si>
  <si>
    <t>AA 4.25% D10 2L TPN</t>
  </si>
  <si>
    <t>AA4.25%D10 2L</t>
  </si>
  <si>
    <t>0054120092</t>
  </si>
  <si>
    <t>AA 4.25% D10 EL/CA 2LTPN</t>
  </si>
  <si>
    <t>AA4.2D10EL/CA2L</t>
  </si>
  <si>
    <t>0054120183</t>
  </si>
  <si>
    <t>AA 4.25% D10 1L TPN</t>
  </si>
  <si>
    <t>AA4.25D101LTPN</t>
  </si>
  <si>
    <t>0054120217</t>
  </si>
  <si>
    <t>AA 5% D20 EL/CA 1L TPN</t>
  </si>
  <si>
    <t>AA5%D20 EL/CA1L</t>
  </si>
  <si>
    <t>0054120233</t>
  </si>
  <si>
    <t>AA 5% D15 2L TPN</t>
  </si>
  <si>
    <t>AA 5% D15 2LTPN</t>
  </si>
  <si>
    <t>0054120266</t>
  </si>
  <si>
    <t>AA 4.25% D10 ELEC 1L TPN</t>
  </si>
  <si>
    <t>AA4.25D10 EL 1L</t>
  </si>
  <si>
    <t>0054120381</t>
  </si>
  <si>
    <t>AA 5% D20 2L TPN</t>
  </si>
  <si>
    <t>AA 5% D20 2LTPN</t>
  </si>
  <si>
    <t>0054120399</t>
  </si>
  <si>
    <t>AA 5% D20 1L TPN</t>
  </si>
  <si>
    <t>AA 5%D20 1L TPN</t>
  </si>
  <si>
    <t>0054121702</t>
  </si>
  <si>
    <t>D5 L RINGERS 1000ML IVF</t>
  </si>
  <si>
    <t>D5 LR 1000MLIVF</t>
  </si>
  <si>
    <t>0054122155</t>
  </si>
  <si>
    <t>D5 NACL 0.2 1000ML IVF</t>
  </si>
  <si>
    <t>D5NACL.2 1L IVF</t>
  </si>
  <si>
    <t>0054122304</t>
  </si>
  <si>
    <t>D5 NACL.2 KCL20 1L IVF</t>
  </si>
  <si>
    <t>D5.2K20 1LIVF</t>
  </si>
  <si>
    <t>0054122858</t>
  </si>
  <si>
    <t>D5 NACL 0.45 500ML IVF</t>
  </si>
  <si>
    <t>D5NACL.45 .5IVF</t>
  </si>
  <si>
    <t>0054122908</t>
  </si>
  <si>
    <t>D5 NACL 0.45 1000ML IVF</t>
  </si>
  <si>
    <t>D5NACL.45 1LIVF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</si>
  <si>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</si>
  <si>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</si>
  <si>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</si>
  <si>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</si>
  <si>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</si>
  <si>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</si>
  <si>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</si>
  <si>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</si>
  <si>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</si>
  <si>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</si>
  <si>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</si>
  <si>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</si>
  <si>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0054123302</t>
  </si>
  <si>
    <t>D5 NACL 0.9 500ML IVF</t>
  </si>
  <si>
    <t>D5NACL.9 500IVF</t>
  </si>
  <si>
    <t>0054123351</t>
  </si>
  <si>
    <t>D5 NACL 0.9 1000ML IVF</t>
  </si>
  <si>
    <t>D5NACL.9 1L IVF</t>
  </si>
  <si>
    <t>0054123401</t>
  </si>
  <si>
    <t>D5 NACL.9 KCL20 1L IVF</t>
  </si>
  <si>
    <t>D5.9K20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</si>
  <si>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</si>
  <si>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</si>
  <si>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</si>
  <si>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</si>
  <si>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</si>
  <si>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</si>
  <si>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</si>
  <si>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</si>
  <si>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</si>
  <si>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</si>
  <si>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</si>
  <si>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</si>
  <si>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</si>
  <si>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</si>
  <si>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</si>
  <si>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</si>
  <si>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</si>
  <si>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</si>
  <si>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</si>
  <si>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</si>
  <si>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</si>
  <si>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</si>
  <si>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</si>
  <si>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0054124300</t>
  </si>
  <si>
    <t>D10W 250ML TPN</t>
  </si>
  <si>
    <t>D10%W 250ML TPN</t>
  </si>
  <si>
    <t>0054124359</t>
  </si>
  <si>
    <t>D10W 500ML TPN</t>
  </si>
  <si>
    <t>D10%W 500ML TPN</t>
  </si>
  <si>
    <t>0054124409</t>
  </si>
  <si>
    <t>D10W 1000ML TPN</t>
  </si>
  <si>
    <t>D10W 1L TPN</t>
  </si>
  <si>
    <t>0054125455</t>
  </si>
  <si>
    <t>L RINGERS 500ML IVF</t>
  </si>
  <si>
    <t>L RINGERS500IVF</t>
  </si>
  <si>
    <t>0054125505</t>
  </si>
  <si>
    <t>L RINGERS 1000ML IVF</t>
  </si>
  <si>
    <t>L RINGERS 1LIVF</t>
  </si>
  <si>
    <t>0054125851</t>
  </si>
  <si>
    <t>MANNITOL 20% 500ML IVF</t>
  </si>
  <si>
    <t>MANNIT20%500IVF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</si>
  <si>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</si>
  <si>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</si>
  <si>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</si>
  <si>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</si>
  <si>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</si>
  <si>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</si>
  <si>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</si>
  <si>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</si>
  <si>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</si>
  <si>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</si>
  <si>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</si>
  <si>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</si>
  <si>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</si>
  <si>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</si>
  <si>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</si>
  <si>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0054126404</t>
  </si>
  <si>
    <t>NACL 0.9 100ML IVF</t>
  </si>
  <si>
    <t>NACL .9 100IVF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</si>
  <si>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</si>
  <si>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</si>
  <si>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</si>
  <si>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</si>
  <si>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</si>
  <si>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</si>
  <si>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</si>
  <si>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</si>
  <si>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</si>
  <si>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</si>
  <si>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</si>
  <si>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</si>
  <si>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0054126909</t>
  </si>
  <si>
    <t>NACL 3% 500ML IVF</t>
  </si>
  <si>
    <t>NACL3% 500MLIVF</t>
  </si>
  <si>
    <t>0054127907</t>
  </si>
  <si>
    <t>WATER STERL INJ 1L IVF</t>
  </si>
  <si>
    <t>WATER ST 1L INJ</t>
  </si>
  <si>
    <t>0054130307</t>
  </si>
  <si>
    <t>AA 3% ELEC 1L TPN</t>
  </si>
  <si>
    <t>AA3%ELEC 1L</t>
  </si>
  <si>
    <t>0054134606</t>
  </si>
  <si>
    <t>FAT EMULS 20% 100ML TPN</t>
  </si>
  <si>
    <t>FAT 20% 100 TPN</t>
  </si>
  <si>
    <t>0054134705</t>
  </si>
  <si>
    <t>FAT EMULS 20% 250ML TPN</t>
  </si>
  <si>
    <t>FAT 20% 250 TPN</t>
  </si>
  <si>
    <t>0054140108</t>
  </si>
  <si>
    <t>ACETIC ACID.25% .5L IRR</t>
  </si>
  <si>
    <t>ACET AC .5L IRR</t>
  </si>
  <si>
    <t>0054140702</t>
  </si>
  <si>
    <t>L RINGERS 1000ML IRR</t>
  </si>
  <si>
    <t>L RING 1L IRR</t>
  </si>
  <si>
    <t>0054140801</t>
  </si>
  <si>
    <t>L RINGERS 3000ML IRR</t>
  </si>
  <si>
    <t>L RING 3L IRR</t>
  </si>
  <si>
    <t>0054142104</t>
  </si>
  <si>
    <t>SORBITOL 3% 3000ML IRR</t>
  </si>
  <si>
    <t>SORB3% 3L IRR</t>
  </si>
  <si>
    <t>0055000616</t>
  </si>
  <si>
    <t>OPTIFLOW HFOT INITIAL</t>
  </si>
  <si>
    <t>OPTIFLOW HFOT I</t>
  </si>
  <si>
    <t>0055000624</t>
  </si>
  <si>
    <t>OPTIFLOW HFOT MANAGEMENT DLY</t>
  </si>
  <si>
    <t>OPTIFLOW HFOT M</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</si>
  <si>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</si>
  <si>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</si>
  <si>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</si>
  <si>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</si>
  <si>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</si>
  <si>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</si>
  <si>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</si>
  <si>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</si>
  <si>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</si>
  <si>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</si>
  <si>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</si>
  <si>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</si>
  <si>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</si>
  <si>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</si>
  <si>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ABG ANALYSIS</t>
  </si>
  <si>
    <t>0055001705</t>
  </si>
  <si>
    <t>CARBOXYHGB QUANT</t>
  </si>
  <si>
    <t>CARBON MON ANAL</t>
  </si>
  <si>
    <t>0055002000</t>
  </si>
  <si>
    <t>0055002059</t>
  </si>
  <si>
    <t>INTUBATION</t>
  </si>
  <si>
    <t>0055005029</t>
  </si>
  <si>
    <t>IPPB TX</t>
  </si>
  <si>
    <t>0055005045</t>
  </si>
  <si>
    <t>IPPB TX DEMO AND/OR EVAL</t>
  </si>
  <si>
    <t>IPPB DEMO/EVAL</t>
  </si>
  <si>
    <t>0055006001</t>
  </si>
  <si>
    <t>CPAP INITIAL</t>
  </si>
  <si>
    <t>0055006100</t>
  </si>
  <si>
    <t>VENT &lt;12 HOURS</t>
  </si>
  <si>
    <t>0055006209</t>
  </si>
  <si>
    <t>VOLUME VENTILATOR INTL</t>
  </si>
  <si>
    <t>VOL VENT INIT</t>
  </si>
  <si>
    <t>0055006266</t>
  </si>
  <si>
    <t>VOLUME VENT SUBSQ/DLY</t>
  </si>
  <si>
    <t>VOLUME VENT SUB</t>
  </si>
  <si>
    <t>0055006555</t>
  </si>
  <si>
    <t>BRONCHOSCOPY DIAGNOSTIC</t>
  </si>
  <si>
    <t>BRONCHOSCOPY DX</t>
  </si>
  <si>
    <t>0055006969</t>
  </si>
  <si>
    <t>PENTAMIDINE TREATMENT</t>
  </si>
  <si>
    <t>PENTAMIDINE TRT</t>
  </si>
  <si>
    <t>0055011043</t>
  </si>
  <si>
    <t>BLOOD GAS ARTERIAL STICK</t>
  </si>
  <si>
    <t>BD GAS ART STCK</t>
  </si>
  <si>
    <t>0055011928</t>
  </si>
  <si>
    <t>SPIROMETRY</t>
  </si>
  <si>
    <t>0055012017</t>
  </si>
  <si>
    <t>BRONCHOSPASM EVAL PRE/PS</t>
  </si>
  <si>
    <t>BRONCHO EVAL</t>
  </si>
  <si>
    <t>0055012132</t>
  </si>
  <si>
    <t>VITAL CAPACITY</t>
  </si>
  <si>
    <t>0055018576</t>
  </si>
  <si>
    <t>BIPAP INITIAL</t>
  </si>
  <si>
    <t>BIPAP INIT</t>
  </si>
  <si>
    <t>0055021000</t>
  </si>
  <si>
    <t>MDI DEMO AND/OR EVAL</t>
  </si>
  <si>
    <t>MDI DEMO/EVAL</t>
  </si>
  <si>
    <t>0055021059</t>
  </si>
  <si>
    <t>MDI TREATMENT</t>
  </si>
  <si>
    <t>0055022057</t>
  </si>
  <si>
    <t>PULSE OX SINGLE</t>
  </si>
  <si>
    <t>0055030068</t>
  </si>
  <si>
    <t>0055046189</t>
  </si>
  <si>
    <t>PULMONARY STRESS TST</t>
  </si>
  <si>
    <t>PULMONARY STRES</t>
  </si>
  <si>
    <t>0055046445</t>
  </si>
  <si>
    <t>CONT AER MED OBSTR 1STHR</t>
  </si>
  <si>
    <t>AER MED 1ST HR</t>
  </si>
  <si>
    <t>0055046452</t>
  </si>
  <si>
    <t>CONT AER MED OBSTR ADDHR</t>
  </si>
  <si>
    <t>AER MED ADD HR</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</si>
  <si>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</si>
  <si>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</si>
  <si>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</si>
  <si>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</si>
  <si>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</si>
  <si>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</si>
  <si>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</si>
  <si>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</si>
  <si>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</si>
  <si>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</si>
  <si>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</si>
  <si>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</si>
  <si>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0055046635</t>
  </si>
  <si>
    <t>BIPAP LESS THAN 12HRS</t>
  </si>
  <si>
    <t>BIPAP &lt; 12HRS</t>
  </si>
  <si>
    <t>0055046676</t>
  </si>
  <si>
    <t>CHST WALL MANIPULATN INI</t>
  </si>
  <si>
    <t>CHST WALL MANIP</t>
  </si>
  <si>
    <t>0055046684</t>
  </si>
  <si>
    <t>CHST WALL MANIPULATN SUB</t>
  </si>
  <si>
    <t>0055047278</t>
  </si>
  <si>
    <t>LUNG VOL GAS DIL/WASHOUT</t>
  </si>
  <si>
    <t>LUNG VOLUMES</t>
  </si>
  <si>
    <t>0055047294</t>
  </si>
  <si>
    <t>DIFFUSING CAPACITY</t>
  </si>
  <si>
    <t>DIFFUSE CAPCTY</t>
  </si>
  <si>
    <t>0055047617</t>
  </si>
  <si>
    <t>PULSE OXIM MULT DETRM</t>
  </si>
  <si>
    <t>PULSE OX MULT</t>
  </si>
  <si>
    <t>0056002579</t>
  </si>
  <si>
    <t>UNSCHED DIAL ESRD PT</t>
  </si>
  <si>
    <t>UNSCH DIAL ESRD</t>
  </si>
  <si>
    <t>0056002587</t>
  </si>
  <si>
    <t>UNSCHED PERIT DIAL ESRD</t>
  </si>
  <si>
    <t>0056009046</t>
  </si>
  <si>
    <t>IP CAPD</t>
  </si>
  <si>
    <t>0056009103</t>
  </si>
  <si>
    <t>IP CCPD</t>
  </si>
  <si>
    <t>0056009624</t>
  </si>
  <si>
    <t>PERI DIAL ACUTE RNL FAIL</t>
  </si>
  <si>
    <t>PERITONEAL DIAL</t>
  </si>
  <si>
    <t>0056009707</t>
  </si>
  <si>
    <t>HEMODIAL RENL FAIL</t>
  </si>
  <si>
    <t>HEMODIALYS TRT</t>
  </si>
  <si>
    <t>0056009772</t>
  </si>
  <si>
    <t>DIALYSIS PLASMAPHERESIS</t>
  </si>
  <si>
    <t>PLASMAPHERESIS</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</si>
  <si>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</si>
  <si>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</si>
  <si>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</si>
  <si>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</si>
  <si>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</si>
  <si>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</si>
  <si>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</si>
  <si>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</si>
  <si>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</si>
  <si>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</si>
  <si>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</si>
  <si>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</si>
  <si>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0057052094</t>
  </si>
  <si>
    <t>PT RE-EVAL</t>
  </si>
  <si>
    <t>0057052961</t>
  </si>
  <si>
    <t>PT THER EX EA 15</t>
  </si>
  <si>
    <t>THERAPTC EXER15</t>
  </si>
  <si>
    <t>0057053001</t>
  </si>
  <si>
    <t>PT NEUROMUSC RE-ED EA15</t>
  </si>
  <si>
    <t>NEUROMUSC EA 15</t>
  </si>
  <si>
    <t>0057053126</t>
  </si>
  <si>
    <t>PT THERAPEUTC ACT EA 15</t>
  </si>
  <si>
    <t>THERPTC ACTEA15</t>
  </si>
  <si>
    <t>0057053142</t>
  </si>
  <si>
    <t>PT THERAPEUTC ACT EA15#2</t>
  </si>
  <si>
    <t>THERPTC ACT15#2</t>
  </si>
  <si>
    <t>0057053167</t>
  </si>
  <si>
    <t>PT SLF CR/HM MGMT EA 15</t>
  </si>
  <si>
    <t>SLF CARE EA 15</t>
  </si>
  <si>
    <t>0057056566</t>
  </si>
  <si>
    <t>PT GAIT/STR TRN EA 15</t>
  </si>
  <si>
    <t>GAIT/STR TRN 15</t>
  </si>
  <si>
    <t>0057070393</t>
  </si>
  <si>
    <t>PT CPM INIT APPL EA15MN</t>
  </si>
  <si>
    <t>CPM INIT APP15M</t>
  </si>
  <si>
    <t>0059005280</t>
  </si>
  <si>
    <t>SP EVAL LNG COM W/EXP COMPLEX</t>
  </si>
  <si>
    <t>SP EVAL LNG COM</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</si>
  <si>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</si>
  <si>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</si>
  <si>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</si>
  <si>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</si>
  <si>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</si>
  <si>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</si>
  <si>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</si>
  <si>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</si>
  <si>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</si>
  <si>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</si>
  <si>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</si>
  <si>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</si>
  <si>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</si>
  <si>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</si>
  <si>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</si>
  <si>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0059026179</t>
  </si>
  <si>
    <t>SP SWAL EVAL ORAL PHARYN INTRM</t>
  </si>
  <si>
    <t>EVAL ORAL/PHARY</t>
  </si>
  <si>
    <t>0059026187</t>
  </si>
  <si>
    <t>SP SWAL EVAL ORAL PHARYN COMP</t>
  </si>
  <si>
    <t xml:space="preserve">EVAL ORAL/PHAR </t>
  </si>
  <si>
    <t>0059026351</t>
  </si>
  <si>
    <t>SP EVAL CINE VIDEO CMPLX</t>
  </si>
  <si>
    <t>SP EVAL CINE VI</t>
  </si>
  <si>
    <t>0061000089</t>
  </si>
  <si>
    <t>INFLUENZA VACC ADMIN</t>
  </si>
  <si>
    <t>FLU VACCINE ADM</t>
  </si>
  <si>
    <t>0061000097</t>
  </si>
  <si>
    <t>PNEUMOCOCCAL VACC ADMIN</t>
  </si>
  <si>
    <t xml:space="preserve">PNEUM VACC ADM </t>
  </si>
  <si>
    <t>0061000105</t>
  </si>
  <si>
    <t>HEPATITIS B VACC ADMIN</t>
  </si>
  <si>
    <t xml:space="preserve">HEP B VACC ADM </t>
  </si>
  <si>
    <t>0061000113</t>
  </si>
  <si>
    <t>IV INF TOCILIZU COV19 1ST DOSE</t>
  </si>
  <si>
    <t>IV TOCILIZU COV</t>
  </si>
  <si>
    <t>0061000121</t>
  </si>
  <si>
    <t>IV INF TOCILIZU COV19 2ND DOSE</t>
  </si>
  <si>
    <t>0061004008</t>
  </si>
  <si>
    <t>SURG PROC LEVEL 1</t>
  </si>
  <si>
    <t>SURG LVL 1</t>
  </si>
  <si>
    <t>0061004024</t>
  </si>
  <si>
    <t>SURG PROC LEVEL 2</t>
  </si>
  <si>
    <t>SURG LVL 2</t>
  </si>
  <si>
    <t>0061004040</t>
  </si>
  <si>
    <t>SURG PROC LEVEL 3</t>
  </si>
  <si>
    <t>SURG LVL 3</t>
  </si>
  <si>
    <t>0061004958</t>
  </si>
  <si>
    <t>ER VISIT LVL 0</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</si>
  <si>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</si>
  <si>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</si>
  <si>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</si>
  <si>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</si>
  <si>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</si>
  <si>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</si>
  <si>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</si>
  <si>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</si>
  <si>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</si>
  <si>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</si>
  <si>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</si>
  <si>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</si>
  <si>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</si>
  <si>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</si>
  <si>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</si>
  <si>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</si>
  <si>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</si>
  <si>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0061006102</t>
  </si>
  <si>
    <t>TRANSCUTANEOUS PACING</t>
  </si>
  <si>
    <t>TRANSCUTN PACNG</t>
  </si>
  <si>
    <t>0061007605</t>
  </si>
  <si>
    <t>IV INF HYD INIT 31-60MIN</t>
  </si>
  <si>
    <t>IV HYD INT &gt;31M</t>
  </si>
  <si>
    <t>0061007613</t>
  </si>
  <si>
    <t>IV INF HYD EA ADD HR</t>
  </si>
  <si>
    <t>IV HYD ADD HR</t>
  </si>
  <si>
    <t>0061007654</t>
  </si>
  <si>
    <t>IV INF TX INIT &lt;=1 HR</t>
  </si>
  <si>
    <t>IV TX INIT 1 HR</t>
  </si>
  <si>
    <t>0061007662</t>
  </si>
  <si>
    <t>IV INF TX EA ADD HR</t>
  </si>
  <si>
    <t>IV INF TX ADD H</t>
  </si>
  <si>
    <t>0061007670</t>
  </si>
  <si>
    <t>IV INF SEQUENTL 1 HR</t>
  </si>
  <si>
    <t>IV SEQUENTL 1HR</t>
  </si>
  <si>
    <t>0061007688</t>
  </si>
  <si>
    <t>IV INF CONCURRENT</t>
  </si>
  <si>
    <t>IV CONCURRENT</t>
  </si>
  <si>
    <t>0061007746</t>
  </si>
  <si>
    <t>INJ TX/PRPH/DX IVP INT</t>
  </si>
  <si>
    <t>THER/PRPH/DX IV</t>
  </si>
  <si>
    <t>0061007753</t>
  </si>
  <si>
    <t>INJ ADD SEQUENTL IVP</t>
  </si>
  <si>
    <t>INJ ADD SEQ IVP</t>
  </si>
  <si>
    <t>0061007761</t>
  </si>
  <si>
    <t>INJ T/P/D IVP SAME SUBST</t>
  </si>
  <si>
    <t>TX/PRO/DX IVP S</t>
  </si>
  <si>
    <t>0061021200</t>
  </si>
  <si>
    <t>INJ TX/PROPH/DX SQ/IM</t>
  </si>
  <si>
    <t>INJ T/P/D SQ/IM</t>
  </si>
  <si>
    <t>0061029609</t>
  </si>
  <si>
    <t>CARDIOVERSION ELEC/SCHED</t>
  </si>
  <si>
    <t>CARDIO ELEC/SCH</t>
  </si>
  <si>
    <t>0061029773</t>
  </si>
  <si>
    <t>CORONARY THROMBLYSIS IV</t>
  </si>
  <si>
    <t>CORONARY THROMB</t>
  </si>
  <si>
    <t>0061030557</t>
  </si>
  <si>
    <t>CRITICAL CR E&amp;M ADDL 30</t>
  </si>
  <si>
    <t>CRIT CR ADDL 30</t>
  </si>
  <si>
    <t>0061039962</t>
  </si>
  <si>
    <t>IMM ADMIN SNGL/COMBO VAC</t>
  </si>
  <si>
    <t>ADM SNGL VACC</t>
  </si>
  <si>
    <t>0061039988</t>
  </si>
  <si>
    <t>IMM ADM EA ADDL VACCINE</t>
  </si>
  <si>
    <t>ADM EA ADD VACC</t>
  </si>
  <si>
    <t>0061050118</t>
  </si>
  <si>
    <t>TELEHEALTH FACILITY FEE</t>
  </si>
  <si>
    <t xml:space="preserve">TELEHEALTH FAC </t>
  </si>
  <si>
    <t>0061091518</t>
  </si>
  <si>
    <t>MOD SED SAME&lt;5YRS INIT15</t>
  </si>
  <si>
    <t>0061091526</t>
  </si>
  <si>
    <t>0061091534</t>
  </si>
  <si>
    <t>0061099008</t>
  </si>
  <si>
    <t>SURG PROC LEVEL 4</t>
  </si>
  <si>
    <t>SURG LVL 4</t>
  </si>
  <si>
    <t>0061099016</t>
  </si>
  <si>
    <t>SURG PROC LEVEL 5</t>
  </si>
  <si>
    <t>SURG LVL 5</t>
  </si>
  <si>
    <t>0061099024</t>
  </si>
  <si>
    <t>SURG PROC LEVEL 6</t>
  </si>
  <si>
    <t>SURG LVL 6</t>
  </si>
  <si>
    <t>0061099032</t>
  </si>
  <si>
    <t>SURG PROC LEVEL 7</t>
  </si>
  <si>
    <t>SURG LVL 7</t>
  </si>
  <si>
    <t>0061099040</t>
  </si>
  <si>
    <t>SURG PROC LEVEL 8</t>
  </si>
  <si>
    <t>SURG LVL 8</t>
  </si>
  <si>
    <t>0061099057</t>
  </si>
  <si>
    <t>SURG PROC LEVEL 9</t>
  </si>
  <si>
    <t>SURG LVL 9</t>
  </si>
  <si>
    <t>0061099065</t>
  </si>
  <si>
    <t>SURG PROC LEVEL 10</t>
  </si>
  <si>
    <t>SURG LVL 10</t>
  </si>
  <si>
    <t>0062404108</t>
  </si>
  <si>
    <t>OBS 201 ICC 1/HR</t>
  </si>
  <si>
    <t>OBS 201IC 1/HR</t>
  </si>
  <si>
    <t>0062404116</t>
  </si>
  <si>
    <t>OBS 201 ICC ADD HR</t>
  </si>
  <si>
    <t>OBS 201IC ADHR</t>
  </si>
  <si>
    <t>0062406186</t>
  </si>
  <si>
    <t>OBS 233 M/S ADD HR</t>
  </si>
  <si>
    <t>OBS 233MS AD HR</t>
  </si>
  <si>
    <t>0062406194</t>
  </si>
  <si>
    <t>OBS 233 M/S 1/HR</t>
  </si>
  <si>
    <t>OBS 233MS 1/HR</t>
  </si>
  <si>
    <t>0062406525</t>
  </si>
  <si>
    <t>OBS 215 DOU 1/HR</t>
  </si>
  <si>
    <t>OBS 215DO 1/HR</t>
  </si>
  <si>
    <t>0062406533</t>
  </si>
  <si>
    <t>OBS 215 DOU ADD HR</t>
  </si>
  <si>
    <t>OBS 215DO ADHR</t>
  </si>
  <si>
    <t>0062406541</t>
  </si>
  <si>
    <t>OBS 215 DOU DIR ADM</t>
  </si>
  <si>
    <t>OBS 215DO D AD</t>
  </si>
  <si>
    <t>0062416185</t>
  </si>
  <si>
    <t>OBS 233 M/S DIR ADM</t>
  </si>
  <si>
    <t>OBS 233MS D AD</t>
  </si>
  <si>
    <t>0062900089</t>
  </si>
  <si>
    <t>0062900097</t>
  </si>
  <si>
    <t>0062900105</t>
  </si>
  <si>
    <t xml:space="preserve">HEP B VAC ADM  </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</si>
  <si>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</si>
  <si>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</si>
  <si>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</si>
  <si>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</si>
  <si>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</si>
  <si>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</si>
  <si>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</si>
  <si>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</si>
  <si>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</si>
  <si>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</si>
  <si>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</si>
  <si>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</si>
  <si>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</si>
  <si>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</si>
  <si>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 xml:space="preserve">BLD ADMIN 9-10 </t>
  </si>
  <si>
    <t>0062900162</t>
  </si>
  <si>
    <t>BLOOD ADMINISTRATION &gt;10 UNITS</t>
  </si>
  <si>
    <t>BLD ADMIN &gt;10 U</t>
  </si>
  <si>
    <t>0062900188</t>
  </si>
  <si>
    <t>0062900196</t>
  </si>
  <si>
    <t>0062904719</t>
  </si>
  <si>
    <t>0062904727</t>
  </si>
  <si>
    <t>0062907605</t>
  </si>
  <si>
    <t>0062907613</t>
  </si>
  <si>
    <t>0062907654</t>
  </si>
  <si>
    <t>0062907662</t>
  </si>
  <si>
    <t>0062907670</t>
  </si>
  <si>
    <t>0062907688</t>
  </si>
  <si>
    <t>0062907746</t>
  </si>
  <si>
    <t>0062907753</t>
  </si>
  <si>
    <t>0062907761</t>
  </si>
  <si>
    <t>0062907829</t>
  </si>
  <si>
    <t>0062960000</t>
  </si>
  <si>
    <t>SURG PROC I</t>
  </si>
  <si>
    <t>0062960018</t>
  </si>
  <si>
    <t>SURG PROC II</t>
  </si>
  <si>
    <t>0062960026</t>
  </si>
  <si>
    <t>SURG PROC III</t>
  </si>
  <si>
    <t>0062964093</t>
  </si>
  <si>
    <t>INJ CHEMO INIT DRUG IVP</t>
  </si>
  <si>
    <t>CHEMO INIT IVP</t>
  </si>
  <si>
    <t>0062964119</t>
  </si>
  <si>
    <t>INJ CHEMO ADD DRUG IVP</t>
  </si>
  <si>
    <t>CHEMO ADD IVP</t>
  </si>
  <si>
    <t>0062964135</t>
  </si>
  <si>
    <t>CHEMO IV &lt;=1H INIT</t>
  </si>
  <si>
    <t>CHEMO IV 1H INT</t>
  </si>
  <si>
    <t>0062964150</t>
  </si>
  <si>
    <t>CHEMO INF EA ADD HR</t>
  </si>
  <si>
    <t>CHEMO INF ADD H</t>
  </si>
  <si>
    <t>0062964176</t>
  </si>
  <si>
    <t>CHEMO INF SEQ ADD DRUG</t>
  </si>
  <si>
    <t>CHEMO INF SEQ</t>
  </si>
  <si>
    <t>0062965108</t>
  </si>
  <si>
    <t>0062999990</t>
  </si>
  <si>
    <t>BLOOD ADMINSTRATION OE</t>
  </si>
  <si>
    <t>0069000206</t>
  </si>
  <si>
    <t>HB FUL BDY CHMBR P 30MIN</t>
  </si>
  <si>
    <t>HB PER 30 MIN</t>
  </si>
  <si>
    <t>0069000255</t>
  </si>
  <si>
    <t>APP SKNSUB GRFT T/A/L&lt;1ST 25SC</t>
  </si>
  <si>
    <t>APPLY SKIN SUB</t>
  </si>
  <si>
    <t>0069000297</t>
  </si>
  <si>
    <t>APP SKNSUB F/N/H/G 1ST 25SC</t>
  </si>
  <si>
    <t>0069000339</t>
  </si>
  <si>
    <t>REMOVE SINGLE NAIL PLATE</t>
  </si>
  <si>
    <t>REMOVE NAIL PLT</t>
  </si>
  <si>
    <t>0069000404</t>
  </si>
  <si>
    <t>DEBRID SQ 20 SQ</t>
  </si>
  <si>
    <t>0069000412</t>
  </si>
  <si>
    <t>DEBRIDE SUBQ EA ADD 20SQ</t>
  </si>
  <si>
    <t>DEBRIDE SQ EA +</t>
  </si>
  <si>
    <t>0069000420</t>
  </si>
  <si>
    <t>0069000438</t>
  </si>
  <si>
    <t>DEBRIDE MSCL/FSCA EA ADD</t>
  </si>
  <si>
    <t>DEB MSCL/FSCA +</t>
  </si>
  <si>
    <t>0069000446</t>
  </si>
  <si>
    <t>DEBRIDE BONE 20SQ CM/&lt;</t>
  </si>
  <si>
    <t>DBRD BONE 20SQ</t>
  </si>
  <si>
    <t>0069000453</t>
  </si>
  <si>
    <t>DEBRIDE BONE EA ADD 20SQ</t>
  </si>
  <si>
    <t>DBRD BONE EA +</t>
  </si>
  <si>
    <t>0069000461</t>
  </si>
  <si>
    <t>DRSG/DEBRIDE PT BURN SM</t>
  </si>
  <si>
    <t>DRSG/DB PT BURN</t>
  </si>
  <si>
    <t>0069000511</t>
  </si>
  <si>
    <t>I&amp;D ABSCESS SIM</t>
  </si>
  <si>
    <t>0069000909</t>
  </si>
  <si>
    <t>APPLY RIGID LEG CAST</t>
  </si>
  <si>
    <t>APPLY LEG CAST</t>
  </si>
  <si>
    <t>0069000917</t>
  </si>
  <si>
    <t>APPLY ML COMPRS LWR LEG</t>
  </si>
  <si>
    <t>APPLY ML/CW LL</t>
  </si>
  <si>
    <t>0069001337</t>
  </si>
  <si>
    <t>I&amp;D COMPLEX DRAIN WOUND</t>
  </si>
  <si>
    <t>I&amp;D CMPX DRN WD</t>
  </si>
  <si>
    <t>0069004026</t>
  </si>
  <si>
    <t>WDC SURG PROC LEVEL II</t>
  </si>
  <si>
    <t>WDC SURG LVL II</t>
  </si>
  <si>
    <t>0069004042</t>
  </si>
  <si>
    <t>WDC SURG PROC LEVEL III</t>
  </si>
  <si>
    <t>WDC SURG LVLIII</t>
  </si>
  <si>
    <t>0069004067</t>
  </si>
  <si>
    <t>WDC SURG PROC LEVEL IV</t>
  </si>
  <si>
    <t>WDC SURG LVL IV</t>
  </si>
  <si>
    <t>0069004083</t>
  </si>
  <si>
    <t>WDC SURG PROC LEVEL V</t>
  </si>
  <si>
    <t>WDC SURG LVL V</t>
  </si>
  <si>
    <t>0069004091</t>
  </si>
  <si>
    <t>WDC SURG PROC LEVEL VI</t>
  </si>
  <si>
    <t>WDC SURG LVL VI</t>
  </si>
  <si>
    <t>0069004562</t>
  </si>
  <si>
    <t>NEG PRESS TX MPD &lt;50CM</t>
  </si>
  <si>
    <t>NEG PRSS MPD&lt;50</t>
  </si>
  <si>
    <t>0069005015</t>
  </si>
  <si>
    <t>NEG PRESS THRPY &gt;50CM</t>
  </si>
  <si>
    <t>NEG PRESS THRPY</t>
  </si>
  <si>
    <t>0069010023</t>
  </si>
  <si>
    <t>E&amp;M-NEW PATIENT-LVL II</t>
  </si>
  <si>
    <t>E&amp;M-NP LVL II</t>
  </si>
  <si>
    <t>0069010031</t>
  </si>
  <si>
    <t>E&amp;M-NEW PATIENT-LVL III</t>
  </si>
  <si>
    <t>E&amp;M-NP LVL III</t>
  </si>
  <si>
    <t>0069010049</t>
  </si>
  <si>
    <t>E&amp;M-NEW PATIENT-LVL IV</t>
  </si>
  <si>
    <t>E&amp;M-NP LVL IV</t>
  </si>
  <si>
    <t>0069010056</t>
  </si>
  <si>
    <t>E&amp;M-NEW PATIENT-LVL V</t>
  </si>
  <si>
    <t>E&amp;M-NP LVL V</t>
  </si>
  <si>
    <t>0069010809</t>
  </si>
  <si>
    <t>I&amp;D PILONIDAL CYST SMPLE</t>
  </si>
  <si>
    <t>I&amp;D CYST SIMPL</t>
  </si>
  <si>
    <t>0069011088</t>
  </si>
  <si>
    <t>INCISIONAL BX SKIN SGL LES</t>
  </si>
  <si>
    <t>INCISION BX SKN</t>
  </si>
  <si>
    <t>0069016038</t>
  </si>
  <si>
    <t>E&amp;M-EST. PATIENT-LVL I</t>
  </si>
  <si>
    <t>E&amp;M-EP LVL I</t>
  </si>
  <si>
    <t>0069016046</t>
  </si>
  <si>
    <t>E&amp;M-EST. PATIENT-LVL II</t>
  </si>
  <si>
    <t>E&amp;M-EP LVL II</t>
  </si>
  <si>
    <t>0069016061</t>
  </si>
  <si>
    <t>EXC TR EXT MAL+MARG 3.1-4CM</t>
  </si>
  <si>
    <t>EXC TR EXT MAL+</t>
  </si>
  <si>
    <t>0069020410</t>
  </si>
  <si>
    <t>RPR INTMD N-HF/GENIT 2.5CM&lt;</t>
  </si>
  <si>
    <t>RPR INT N-HF/GN</t>
  </si>
  <si>
    <t>0069040103</t>
  </si>
  <si>
    <t>CHEM CAUTERY OF TISSUE</t>
  </si>
  <si>
    <t>CHEM CTRY TISS</t>
  </si>
  <si>
    <t>0069051209</t>
  </si>
  <si>
    <t>SKIN SPLT A-GRFT FAC/NCK/HF/G</t>
  </si>
  <si>
    <t>SKIN SPLT A-GRF</t>
  </si>
  <si>
    <t>0069060051</t>
  </si>
  <si>
    <t>E&amp;M-EST. PATIENT-LVL III</t>
  </si>
  <si>
    <t>E&amp;M-EP LVL III</t>
  </si>
  <si>
    <t>0069060069</t>
  </si>
  <si>
    <t>E&amp;M-EST. PATIENT-LVL IV</t>
  </si>
  <si>
    <t>E&amp;M-EP LVL IV</t>
  </si>
  <si>
    <t>0069060077</t>
  </si>
  <si>
    <t>E&amp;M-EST. PATIENT-LVL V</t>
  </si>
  <si>
    <t>E&amp;M-EP LVL V</t>
  </si>
  <si>
    <t>0069075976</t>
  </si>
  <si>
    <t>SEL DEB 1ST 20CM OR LESS</t>
  </si>
  <si>
    <t>SEL DEB 1ST 20</t>
  </si>
  <si>
    <t>0069075984</t>
  </si>
  <si>
    <t>SEL DEB EAADD UPTO 20CM</t>
  </si>
  <si>
    <t>SELDEBEAAD20</t>
  </si>
  <si>
    <t>0069076081</t>
  </si>
  <si>
    <t>NEG PRESS THRPY &lt;=50CM</t>
  </si>
  <si>
    <t>0069098960</t>
  </si>
  <si>
    <t>0070003314</t>
  </si>
  <si>
    <t>0070074810</t>
  </si>
  <si>
    <t>CANDIDA AMP PRB</t>
  </si>
  <si>
    <t>0070200092</t>
  </si>
  <si>
    <t>FLOW CYTO CEL FIRST MRKR</t>
  </si>
  <si>
    <t>FLOW FRST MARKR</t>
  </si>
  <si>
    <t>0070200746</t>
  </si>
  <si>
    <t>ACUTE HEPATITIS PANEL</t>
  </si>
  <si>
    <t>ACUTE HEP PANEL</t>
  </si>
  <si>
    <t>0070200761</t>
  </si>
  <si>
    <t>FLOW CYTO ADD MARKER</t>
  </si>
  <si>
    <t>FLOW CYT ADD MA</t>
  </si>
  <si>
    <t>0070201090</t>
  </si>
  <si>
    <t>0070203005</t>
  </si>
  <si>
    <t>LEVETIRACETAM</t>
  </si>
  <si>
    <t>0070221247</t>
  </si>
  <si>
    <t>AMIKACIN</t>
  </si>
  <si>
    <t>0070222765</t>
  </si>
  <si>
    <t>OCCULT BLD OTHR SOURCE</t>
  </si>
  <si>
    <t>OCC BLD OTH SRC</t>
  </si>
  <si>
    <t>0070225339</t>
  </si>
  <si>
    <t>0070229471</t>
  </si>
  <si>
    <t>0070230040</t>
  </si>
  <si>
    <t>GENTAMICIN</t>
  </si>
  <si>
    <t>0070235510</t>
  </si>
  <si>
    <t>0070237250</t>
  </si>
  <si>
    <t>LITHIUM</t>
  </si>
  <si>
    <t>0070240205</t>
  </si>
  <si>
    <t>PHENOBARBITAL</t>
  </si>
  <si>
    <t>0070242102</t>
  </si>
  <si>
    <t>PYRUVATE</t>
  </si>
  <si>
    <t>0070244017</t>
  </si>
  <si>
    <t>CARBAMAZEPINE</t>
  </si>
  <si>
    <t>0070244751</t>
  </si>
  <si>
    <t>0070245840</t>
  </si>
  <si>
    <t>VALPROIC ACID TOTAL</t>
  </si>
  <si>
    <t>VALPROIC TOTAL</t>
  </si>
  <si>
    <t>0070253620</t>
  </si>
  <si>
    <t>FDP FSP AGGLUTNATN SEMQTY</t>
  </si>
  <si>
    <t>FDP FSP AGGLUTN</t>
  </si>
  <si>
    <t>0070253794</t>
  </si>
  <si>
    <t>0070253810</t>
  </si>
  <si>
    <t>FDP D-DIMER SQNT OR QUAL</t>
  </si>
  <si>
    <t>FDP DDIM SQN/QL</t>
  </si>
  <si>
    <t>0070253844</t>
  </si>
  <si>
    <t>0070255773</t>
  </si>
  <si>
    <t>PLT AGGREGATION EA AGENT</t>
  </si>
  <si>
    <t>PLT AGGREG EA A</t>
  </si>
  <si>
    <t>0070255781</t>
  </si>
  <si>
    <t>PLT AGGREGATION EA AGENT/2</t>
  </si>
  <si>
    <t>0070256102</t>
  </si>
  <si>
    <t>0070257308</t>
  </si>
  <si>
    <t>PTT</t>
  </si>
  <si>
    <t>0070261995</t>
  </si>
  <si>
    <t>0070262878</t>
  </si>
  <si>
    <t>0070262894</t>
  </si>
  <si>
    <t>HEP B CORE AB TOTAL</t>
  </si>
  <si>
    <t>HBC AB TOTAL</t>
  </si>
  <si>
    <t>0070262928</t>
  </si>
  <si>
    <t>HEP B SURFACE AB</t>
  </si>
  <si>
    <t>HB SURF AB</t>
  </si>
  <si>
    <t>0070263041</t>
  </si>
  <si>
    <t>HEPATITIS C ANTIBODY</t>
  </si>
  <si>
    <t>HEPATITIS C AB</t>
  </si>
  <si>
    <t>0070267034</t>
  </si>
  <si>
    <t>HIV 1/HIV 2 SNGL RESULT</t>
  </si>
  <si>
    <t>HIV1/HIV2 SNG</t>
  </si>
  <si>
    <t>0070272356</t>
  </si>
  <si>
    <t>0070273412</t>
  </si>
  <si>
    <t>HBS NEUTRALIZATION IA</t>
  </si>
  <si>
    <t>HBS NEUTRAL IA</t>
  </si>
  <si>
    <t>0070273925</t>
  </si>
  <si>
    <t>HIV I IA/2</t>
  </si>
  <si>
    <t>0070283171</t>
  </si>
  <si>
    <t>HISTOCHEM STN W/FRZ SECT</t>
  </si>
  <si>
    <t>HISTO STN W/FRZ</t>
  </si>
  <si>
    <t>0070283338</t>
  </si>
  <si>
    <t>0070283452</t>
  </si>
  <si>
    <t>IMMUNOFLOR 1ST AB PER SPEC</t>
  </si>
  <si>
    <t>IMMUNOFLR EA AB</t>
  </si>
  <si>
    <t>0070283502</t>
  </si>
  <si>
    <t>IMMUNOFLR AB ADDL STAIN</t>
  </si>
  <si>
    <t>IMNFLR ADL STN</t>
  </si>
  <si>
    <t>0070283619</t>
  </si>
  <si>
    <t>ELECTRON MICROSCOPY DIAG</t>
  </si>
  <si>
    <t>ELECTRON MICROS</t>
  </si>
  <si>
    <t>0070284047</t>
  </si>
  <si>
    <t>SURGICAL PATH LEVEL IV/2</t>
  </si>
  <si>
    <t>0070288329</t>
  </si>
  <si>
    <t>COMPR REV MATERIAL</t>
  </si>
  <si>
    <t>COMP REV/RPT</t>
  </si>
  <si>
    <t>0070290622</t>
  </si>
  <si>
    <t>0070326608</t>
  </si>
  <si>
    <t>DRUG TEST PRSMV CHEM ANLYZR</t>
  </si>
  <si>
    <t>0070774815</t>
  </si>
  <si>
    <t>0070800123</t>
  </si>
  <si>
    <t>COVID 19 CDC</t>
  </si>
  <si>
    <t>0072500093</t>
  </si>
  <si>
    <t>0072500168</t>
  </si>
  <si>
    <t>0072500184</t>
  </si>
  <si>
    <t>NAT KILLER CELL TOT CNT</t>
  </si>
  <si>
    <t>NK CELLS T CNT</t>
  </si>
  <si>
    <t>0072500408</t>
  </si>
  <si>
    <t>LAMOTRIGINE QUANT</t>
  </si>
  <si>
    <t>LAMICTAL QUANT</t>
  </si>
  <si>
    <t>0072500432</t>
  </si>
  <si>
    <t>0072500473</t>
  </si>
  <si>
    <t>MAG ANTIBODY</t>
  </si>
  <si>
    <t>MAG AB</t>
  </si>
  <si>
    <t>0072500507</t>
  </si>
  <si>
    <t>HELMINTH AB NES</t>
  </si>
  <si>
    <t>0072500747</t>
  </si>
  <si>
    <t>0072500762</t>
  </si>
  <si>
    <t>FLOW CYTO ADD MARKER/2</t>
  </si>
  <si>
    <t>0072500986</t>
  </si>
  <si>
    <t>0072501141</t>
  </si>
  <si>
    <t>0072501513</t>
  </si>
  <si>
    <t>BENZODIAZEPINES 1-12</t>
  </si>
  <si>
    <t>BENZODIAZEPINES</t>
  </si>
  <si>
    <t>0072501828</t>
  </si>
  <si>
    <t>0072501844</t>
  </si>
  <si>
    <t>0072502255</t>
  </si>
  <si>
    <t>LYME DISEASE AB TEST</t>
  </si>
  <si>
    <t>LYME DISEASE AB</t>
  </si>
  <si>
    <t>0072502560</t>
  </si>
  <si>
    <t>SHIGA-TOXIN IA/2</t>
  </si>
  <si>
    <t>SHIGA-TOXIN IA/</t>
  </si>
  <si>
    <t>0072503204</t>
  </si>
  <si>
    <t>ALCOHOLS</t>
  </si>
  <si>
    <t>0072503311</t>
  </si>
  <si>
    <t>DRUG TEST PRSMV CHEM ANLYZR/27</t>
  </si>
  <si>
    <t>0072503451</t>
  </si>
  <si>
    <t>BARBITURATE</t>
  </si>
  <si>
    <t>0072503485</t>
  </si>
  <si>
    <t>TACROLIMUS/2</t>
  </si>
  <si>
    <t>0072504137</t>
  </si>
  <si>
    <t>NV ORTHOPOX VIR DNA AMP PROBE</t>
  </si>
  <si>
    <t>NV ORTHOPOX DNA</t>
  </si>
  <si>
    <t>0072504228</t>
  </si>
  <si>
    <t>0072505167</t>
  </si>
  <si>
    <t>ACTIN SMOOTH MUSCLE AB</t>
  </si>
  <si>
    <t>ACTIN SM MUS AB</t>
  </si>
  <si>
    <t>0072512338</t>
  </si>
  <si>
    <t>CALR EXON 9 VARIANTS/2</t>
  </si>
  <si>
    <t>CALR EXON 9 VAR</t>
  </si>
  <si>
    <t>0072512403</t>
  </si>
  <si>
    <t>F2 GENE ANLS VARIANT</t>
  </si>
  <si>
    <t>F2 VARIANT</t>
  </si>
  <si>
    <t>0072512791</t>
  </si>
  <si>
    <t>CULT STOOL ADD PATH EA</t>
  </si>
  <si>
    <t>CULT STOOL ADD</t>
  </si>
  <si>
    <t>0072513179</t>
  </si>
  <si>
    <t>PML/RARALPHA SNGL BRKPNT</t>
  </si>
  <si>
    <t>PML/RAR BRKPNT</t>
  </si>
  <si>
    <t>0072513401</t>
  </si>
  <si>
    <t>FENTANYL/2</t>
  </si>
  <si>
    <t>0072513997</t>
  </si>
  <si>
    <t>MOLECULAR PATH LEVEL 2/2</t>
  </si>
  <si>
    <t>MOLEC PATH LV2/</t>
  </si>
  <si>
    <t>0072514623</t>
  </si>
  <si>
    <t>SALICYLATE</t>
  </si>
  <si>
    <t>0072520158</t>
  </si>
  <si>
    <t>ACETONE QUANTITATIVE/2</t>
  </si>
  <si>
    <t>ACETONE QUAN/2</t>
  </si>
  <si>
    <t>0072520240</t>
  </si>
  <si>
    <t>ACTH</t>
  </si>
  <si>
    <t>0072520406</t>
  </si>
  <si>
    <t>0072520430</t>
  </si>
  <si>
    <t>MICRO ALBUMIN URINE QNT</t>
  </si>
  <si>
    <t>MICR ALBM UR QN</t>
  </si>
  <si>
    <t>0072520455</t>
  </si>
  <si>
    <t>ALBUMIN QUANT OTH SRC</t>
  </si>
  <si>
    <t>ALBUMIN QNT</t>
  </si>
  <si>
    <t>0072520471</t>
  </si>
  <si>
    <t>MICRO ALBUMIN URINE QNT/3</t>
  </si>
  <si>
    <t>0072520851</t>
  </si>
  <si>
    <t>ALDOLASE</t>
  </si>
  <si>
    <t>0072520877</t>
  </si>
  <si>
    <t>ALDOSTERONE</t>
  </si>
  <si>
    <t>0072521115</t>
  </si>
  <si>
    <t>ALBUMIN QUANT OTH SRC/2</t>
  </si>
  <si>
    <t>ALBUMIN QNT/2</t>
  </si>
  <si>
    <t>0072521149</t>
  </si>
  <si>
    <t>ALPHA FETO PROTEIN SERUM</t>
  </si>
  <si>
    <t>ALPH FET PRT SR</t>
  </si>
  <si>
    <t>0072521255</t>
  </si>
  <si>
    <t>ORGANIC ACID SNG QNT</t>
  </si>
  <si>
    <t>ORGNC ACD SDL Q</t>
  </si>
  <si>
    <t>0072521537</t>
  </si>
  <si>
    <t>AMYLASE/4</t>
  </si>
  <si>
    <t>0072521644</t>
  </si>
  <si>
    <t>ANGIOTENSIN CONV ENZYME</t>
  </si>
  <si>
    <t>ANGIOTNSN CN EN</t>
  </si>
  <si>
    <t>0072521743</t>
  </si>
  <si>
    <t>APOLIPOPROTEIN/3</t>
  </si>
  <si>
    <t>APOLIPOPROTEIN/</t>
  </si>
  <si>
    <t>0072521750</t>
  </si>
  <si>
    <t>ARSENIC/3</t>
  </si>
  <si>
    <t>0072521768</t>
  </si>
  <si>
    <t>APOLIPOPROTEIN/4</t>
  </si>
  <si>
    <t>0072521800</t>
  </si>
  <si>
    <t>ASCORBIC ACID</t>
  </si>
  <si>
    <t>0072522329</t>
  </si>
  <si>
    <t>BETA-2-MICROGLOBLN/2</t>
  </si>
  <si>
    <t>B-2-MICROGLOB/2</t>
  </si>
  <si>
    <t>0072522758</t>
  </si>
  <si>
    <t>0072523061</t>
  </si>
  <si>
    <t>VITAMIN D/25 HYDROXY</t>
  </si>
  <si>
    <t>VITAMIN D/25 HY</t>
  </si>
  <si>
    <t>0072523087</t>
  </si>
  <si>
    <t>CALCITONIN</t>
  </si>
  <si>
    <t>0072523103</t>
  </si>
  <si>
    <t>CALCIUM/2</t>
  </si>
  <si>
    <t>0072523228</t>
  </si>
  <si>
    <t>ANTI-GLOMERULAR BSMNT</t>
  </si>
  <si>
    <t>ANTI GLOM BSMNT</t>
  </si>
  <si>
    <t>0072523301</t>
  </si>
  <si>
    <t>CALCIUM IONIZED</t>
  </si>
  <si>
    <t>0072523657</t>
  </si>
  <si>
    <t>CALCULUS INFRARED SPCTRO</t>
  </si>
  <si>
    <t>CALCULS INFRSPC</t>
  </si>
  <si>
    <t>0072523855</t>
  </si>
  <si>
    <t>CATECHOLAMINES FRAC/2</t>
  </si>
  <si>
    <t>CATCHOL FRAC/2</t>
  </si>
  <si>
    <t>0072523905</t>
  </si>
  <si>
    <t>CERULOPLASMIN</t>
  </si>
  <si>
    <t>CERULOPLSMN</t>
  </si>
  <si>
    <t>0072523970</t>
  </si>
  <si>
    <t>CHEMILUMINESCENT ASY/2</t>
  </si>
  <si>
    <t>CHMLUMNSCNT ASY</t>
  </si>
  <si>
    <t>0072523996</t>
  </si>
  <si>
    <t>IA TUMOR AG NES QUAN</t>
  </si>
  <si>
    <t>IA TUMOR NES QN</t>
  </si>
  <si>
    <t>0072524820</t>
  </si>
  <si>
    <t>CHOLINESTERASE RBC</t>
  </si>
  <si>
    <t>CHOLINESTER RBC</t>
  </si>
  <si>
    <t>0072524952</t>
  </si>
  <si>
    <t>CHROMIUM/2</t>
  </si>
  <si>
    <t>0072525249</t>
  </si>
  <si>
    <t>COLLAGEN CROSS LINKS/2</t>
  </si>
  <si>
    <t>COLLGN CRSS LNK</t>
  </si>
  <si>
    <t>0072525256</t>
  </si>
  <si>
    <t>COPPER/3</t>
  </si>
  <si>
    <t>0072525264</t>
  </si>
  <si>
    <t>COPPER/4</t>
  </si>
  <si>
    <t>0072525330</t>
  </si>
  <si>
    <t>CORTISOL TOTAL/4</t>
  </si>
  <si>
    <t>CORTISL TOTAL/4</t>
  </si>
  <si>
    <t>0072525454</t>
  </si>
  <si>
    <t>CREATINE/2</t>
  </si>
  <si>
    <t>0072525520</t>
  </si>
  <si>
    <t>CREATINE KINASE ISONZ</t>
  </si>
  <si>
    <t>CPK ISOENZYMES</t>
  </si>
  <si>
    <t>0072525538</t>
  </si>
  <si>
    <t>CK MB FRACTION</t>
  </si>
  <si>
    <t>CK MB FRAC</t>
  </si>
  <si>
    <t>0072525546</t>
  </si>
  <si>
    <t>LACOSAMIDE</t>
  </si>
  <si>
    <t>0072525553</t>
  </si>
  <si>
    <t>THIOPURINE/2</t>
  </si>
  <si>
    <t>0072525702</t>
  </si>
  <si>
    <t>CREATININE OTHR SRCE/2</t>
  </si>
  <si>
    <t>0072525744</t>
  </si>
  <si>
    <t>CREATININE OTHR SRCE/5</t>
  </si>
  <si>
    <t>0072525967</t>
  </si>
  <si>
    <t>CRYOCRIT QUAL/SEMI QNT/2</t>
  </si>
  <si>
    <t>CRYOCRT QL/SQNT</t>
  </si>
  <si>
    <t>0072526130</t>
  </si>
  <si>
    <t>CYCLOSPORINE/2</t>
  </si>
  <si>
    <t>0072526312</t>
  </si>
  <si>
    <t>DEHYDROEPIANDRST SULFATE</t>
  </si>
  <si>
    <t>DHEA-S</t>
  </si>
  <si>
    <t>0072526320</t>
  </si>
  <si>
    <t>DEHYDROEPIANDRSTRONE</t>
  </si>
  <si>
    <t>DHEA</t>
  </si>
  <si>
    <t>0072526544</t>
  </si>
  <si>
    <t>FECAL ELASTASE EL1 QN</t>
  </si>
  <si>
    <t>FECAL ELAST QN</t>
  </si>
  <si>
    <t>0072526643</t>
  </si>
  <si>
    <t>AMYLASE/5</t>
  </si>
  <si>
    <t>0072526668</t>
  </si>
  <si>
    <t>ALPHA SUBUNIT</t>
  </si>
  <si>
    <t>0072526684</t>
  </si>
  <si>
    <t>ERYTHROPOIETIN</t>
  </si>
  <si>
    <t>0072526700</t>
  </si>
  <si>
    <t>ESTRADIOL</t>
  </si>
  <si>
    <t>0072526726</t>
  </si>
  <si>
    <t>ESTROGENS TOTAL</t>
  </si>
  <si>
    <t>0072526775</t>
  </si>
  <si>
    <t>ESTRIOL</t>
  </si>
  <si>
    <t>0072526791</t>
  </si>
  <si>
    <t>ESTRONE/2</t>
  </si>
  <si>
    <t>0072527328</t>
  </si>
  <si>
    <t>PTT SUB EA FRACTION/2</t>
  </si>
  <si>
    <t>PTT SUB EA FRCT</t>
  </si>
  <si>
    <t>0072527849</t>
  </si>
  <si>
    <t>GAMMAGLOBULIN EA/3</t>
  </si>
  <si>
    <t>GAMAGLOB EA/3</t>
  </si>
  <si>
    <t>0072527856</t>
  </si>
  <si>
    <t>IMMUNOFIX ELECTRO SERUM</t>
  </si>
  <si>
    <t>I.F.E SERUM</t>
  </si>
  <si>
    <t>0072527864</t>
  </si>
  <si>
    <t>GAMMAGLOBULIN EA/4</t>
  </si>
  <si>
    <t>GAMAGLOB EA/4</t>
  </si>
  <si>
    <t>0072527880</t>
  </si>
  <si>
    <t>IMMUNOGLOB SUBCLASS EA</t>
  </si>
  <si>
    <t>IMMUNGLOB SUBCL</t>
  </si>
  <si>
    <t>0072529340</t>
  </si>
  <si>
    <t>GIARDIA IA</t>
  </si>
  <si>
    <t>0072529415</t>
  </si>
  <si>
    <t>GASTRIN</t>
  </si>
  <si>
    <t>0072529456</t>
  </si>
  <si>
    <t>GLUCOSE BODY FLUID</t>
  </si>
  <si>
    <t>0072529803</t>
  </si>
  <si>
    <t>0072529852</t>
  </si>
  <si>
    <t>GLYCATED PROTEIN</t>
  </si>
  <si>
    <t>GLYCATED PROTN</t>
  </si>
  <si>
    <t>0072529944</t>
  </si>
  <si>
    <t>0072530017</t>
  </si>
  <si>
    <t>FOLLICLE STIMLAT HORMONE</t>
  </si>
  <si>
    <t>FOLCL STIM HORM</t>
  </si>
  <si>
    <t>0072530025</t>
  </si>
  <si>
    <t>LUTEINING HORMONE</t>
  </si>
  <si>
    <t>LUTEINING HORMN</t>
  </si>
  <si>
    <t>0072530033</t>
  </si>
  <si>
    <t>GROWTH HORMONE(HGH)</t>
  </si>
  <si>
    <t>HGH</t>
  </si>
  <si>
    <t>0072530074</t>
  </si>
  <si>
    <t>H PYLORI BRTH TST</t>
  </si>
  <si>
    <t>H PYLORI B TST</t>
  </si>
  <si>
    <t>0072530108</t>
  </si>
  <si>
    <t>HAPTOGLOBIN QUANT</t>
  </si>
  <si>
    <t>HAPTOGLOBIN QN</t>
  </si>
  <si>
    <t>0072530140</t>
  </si>
  <si>
    <t>0072530215</t>
  </si>
  <si>
    <t>HEMOGLOBIN FRAC &amp; QNT</t>
  </si>
  <si>
    <t>HEMOGLBN FRC&amp;QN</t>
  </si>
  <si>
    <t>0072530280</t>
  </si>
  <si>
    <t>HEAVY METAL QUAN/9</t>
  </si>
  <si>
    <t>HEAVY METAL QN/</t>
  </si>
  <si>
    <t>0072530892</t>
  </si>
  <si>
    <t>HOMOCYSTEINE QUANT/2</t>
  </si>
  <si>
    <t>HOMOCYSTEIN QNT</t>
  </si>
  <si>
    <t>0072534795</t>
  </si>
  <si>
    <t>VASC ENDO GROWTH FACTOR</t>
  </si>
  <si>
    <t>VEGF</t>
  </si>
  <si>
    <t>0072535016</t>
  </si>
  <si>
    <t>NEUROMYELITIS OPTICA</t>
  </si>
  <si>
    <t>NMO AB</t>
  </si>
  <si>
    <t>0072535073</t>
  </si>
  <si>
    <t>HISTOPLASMA IA/2</t>
  </si>
  <si>
    <t>HISTOPLASMA IA/</t>
  </si>
  <si>
    <t>0072535081</t>
  </si>
  <si>
    <t>GLIADIN AB</t>
  </si>
  <si>
    <t>0072535123</t>
  </si>
  <si>
    <t>GAMMAGLOBULIN EA/6</t>
  </si>
  <si>
    <t>GAMAGLOB EA/6</t>
  </si>
  <si>
    <t>0072535131</t>
  </si>
  <si>
    <t>IG-E SERUM/3</t>
  </si>
  <si>
    <t>0072535149</t>
  </si>
  <si>
    <t>GAMMAGLOBULIN EA/7</t>
  </si>
  <si>
    <t>GAMAGLOB EA/7</t>
  </si>
  <si>
    <t>0072535156</t>
  </si>
  <si>
    <t>GAMMAGLOBULIN EA/8</t>
  </si>
  <si>
    <t>GAMAGLOB EA/8</t>
  </si>
  <si>
    <t>0072535214</t>
  </si>
  <si>
    <t>GAMMAGLOBULIN EA/9</t>
  </si>
  <si>
    <t>GAMAGLOB EA/9</t>
  </si>
  <si>
    <t>0072535222</t>
  </si>
  <si>
    <t>MITCHONDRIAL ANTIBODY/2</t>
  </si>
  <si>
    <t>MITOCHONDRIL AB</t>
  </si>
  <si>
    <t>0072535255</t>
  </si>
  <si>
    <t>INSULIN TOTAL</t>
  </si>
  <si>
    <t>0072535263</t>
  </si>
  <si>
    <t>PRO-INSULIN</t>
  </si>
  <si>
    <t>0072535289</t>
  </si>
  <si>
    <t>THYROTROPIN RECEPTOR AB</t>
  </si>
  <si>
    <t>THYROROPIN AB</t>
  </si>
  <si>
    <t>0072535297</t>
  </si>
  <si>
    <t>TRYPTASE LEVEL</t>
  </si>
  <si>
    <t>0072535388</t>
  </si>
  <si>
    <t>GLUTAMIC ACID AB</t>
  </si>
  <si>
    <t>GLUTAMIC ACD AB</t>
  </si>
  <si>
    <t>0072535396</t>
  </si>
  <si>
    <t>0072535438</t>
  </si>
  <si>
    <t>SOMATOMEDIN</t>
  </si>
  <si>
    <t>0072535495</t>
  </si>
  <si>
    <t>INTERLEUKIN/4</t>
  </si>
  <si>
    <t>0072535545</t>
  </si>
  <si>
    <t>0072535628</t>
  </si>
  <si>
    <t>TISS TRANSGLUTAMINASE AB/2</t>
  </si>
  <si>
    <t>TRANSGLUTAMINAS</t>
  </si>
  <si>
    <t>0072535644</t>
  </si>
  <si>
    <t>GAMMAGLOBULIN EA/10</t>
  </si>
  <si>
    <t>GAMAGLOB EA/10</t>
  </si>
  <si>
    <t>0072535800</t>
  </si>
  <si>
    <t>ACHR ANTIBODY</t>
  </si>
  <si>
    <t>ACHR AB</t>
  </si>
  <si>
    <t>0072535966</t>
  </si>
  <si>
    <t>CYC CITRULLINATED PEP AB</t>
  </si>
  <si>
    <t>CYC CIT AB(CCP)</t>
  </si>
  <si>
    <t>0072536154</t>
  </si>
  <si>
    <t>0072536162</t>
  </si>
  <si>
    <t>LDH-LACTIC DEHYDROGENASE/2</t>
  </si>
  <si>
    <t>LDH/2</t>
  </si>
  <si>
    <t>0072536550</t>
  </si>
  <si>
    <t>LEAD QUANTITATIVE</t>
  </si>
  <si>
    <t>LEAD QUAN</t>
  </si>
  <si>
    <t>0072536915</t>
  </si>
  <si>
    <t>LIPASE/2</t>
  </si>
  <si>
    <t>0072537160</t>
  </si>
  <si>
    <t>LIPOPROTEIN (A)</t>
  </si>
  <si>
    <t>0072537210</t>
  </si>
  <si>
    <t>LDL CHOLESTOROL</t>
  </si>
  <si>
    <t>LDL CHOLEST</t>
  </si>
  <si>
    <t>0072537830</t>
  </si>
  <si>
    <t>MASS SPEC TNDM MS NES/2</t>
  </si>
  <si>
    <t>MASS SPEC QNT/Q</t>
  </si>
  <si>
    <t>0072538259</t>
  </si>
  <si>
    <t>MERCURY QUANTITATIVE</t>
  </si>
  <si>
    <t>MERCURY QUANT</t>
  </si>
  <si>
    <t>0072538291</t>
  </si>
  <si>
    <t>MERCURY QUANTITATIVE/5</t>
  </si>
  <si>
    <t>MERCURY QUANT/5</t>
  </si>
  <si>
    <t>0072538366</t>
  </si>
  <si>
    <t>METANEPHRINES</t>
  </si>
  <si>
    <t>0072538382</t>
  </si>
  <si>
    <t>METANEPHRINES/3</t>
  </si>
  <si>
    <t>0072538846</t>
  </si>
  <si>
    <t>KAPPA LAMBDA LT CHN QUAN</t>
  </si>
  <si>
    <t>KAPPA LAM LTCHN</t>
  </si>
  <si>
    <t>0072538887</t>
  </si>
  <si>
    <t>KAPPA LAMBDA LT CHN QUAN/2</t>
  </si>
  <si>
    <t>0072538895</t>
  </si>
  <si>
    <t>KAPPA LAMBDA LT CHN QUAN/3</t>
  </si>
  <si>
    <t>0072539026</t>
  </si>
  <si>
    <t>PARATHORMONE (PTH)</t>
  </si>
  <si>
    <t>PARATHORMNE</t>
  </si>
  <si>
    <t>0072539257</t>
  </si>
  <si>
    <t>OLIGOCLONAL BANDS</t>
  </si>
  <si>
    <t>OLIGOCLONL BAND</t>
  </si>
  <si>
    <t>0072539307</t>
  </si>
  <si>
    <t>OSMOLALITY BLOOD</t>
  </si>
  <si>
    <t>OSMOLALITY BLD</t>
  </si>
  <si>
    <t>0072539331</t>
  </si>
  <si>
    <t>HEP C QUANT</t>
  </si>
  <si>
    <t>0072539349</t>
  </si>
  <si>
    <t>HEP C QUANT/2</t>
  </si>
  <si>
    <t>0072539356</t>
  </si>
  <si>
    <t>OSMOLALITY URINE</t>
  </si>
  <si>
    <t>OSMOLALITY URIN</t>
  </si>
  <si>
    <t>0072539760</t>
  </si>
  <si>
    <t>C-PEPTIDE</t>
  </si>
  <si>
    <t>0072539794</t>
  </si>
  <si>
    <t>TISS TRANSGLUTAMINASE AB/5</t>
  </si>
  <si>
    <t>0072540016</t>
  </si>
  <si>
    <t>CALPROTECTIN FECAL</t>
  </si>
  <si>
    <t>CALPROTEC FECAL</t>
  </si>
  <si>
    <t>0072541402</t>
  </si>
  <si>
    <t>PREGNENOLONE</t>
  </si>
  <si>
    <t>0072541436</t>
  </si>
  <si>
    <t>N-ACETYL-PROCAINAMIDE</t>
  </si>
  <si>
    <t>NAPA</t>
  </si>
  <si>
    <t>0072541444</t>
  </si>
  <si>
    <t>PROGESTERONE</t>
  </si>
  <si>
    <t>0072541469</t>
  </si>
  <si>
    <t>PROLACTIN</t>
  </si>
  <si>
    <t>0072541543</t>
  </si>
  <si>
    <t>PROTEIN TOTAL OTHER SOURCE</t>
  </si>
  <si>
    <t>0072541550</t>
  </si>
  <si>
    <t>0072541568</t>
  </si>
  <si>
    <t>0072541576</t>
  </si>
  <si>
    <t>PROTEIN URINE/2</t>
  </si>
  <si>
    <t>0072541584</t>
  </si>
  <si>
    <t>0072541592</t>
  </si>
  <si>
    <t>0072541659</t>
  </si>
  <si>
    <t>PROTEIN ELCTRO SERUM</t>
  </si>
  <si>
    <t>PROTN ELCT SR</t>
  </si>
  <si>
    <t>0072541667</t>
  </si>
  <si>
    <t>PRE-ALBUMIN</t>
  </si>
  <si>
    <t>0072541675</t>
  </si>
  <si>
    <t>PROTEIN ELCTRO OTHER FLUIDS</t>
  </si>
  <si>
    <t>PROTN ELCT OTHR</t>
  </si>
  <si>
    <t>0072541691</t>
  </si>
  <si>
    <t>PROTEIN ELCTRO OTHER FLUIDS/3</t>
  </si>
  <si>
    <t>0072541832</t>
  </si>
  <si>
    <t>HELMINTH AB NES/2</t>
  </si>
  <si>
    <t>0072541931</t>
  </si>
  <si>
    <t>HU ANTIBODY SCREEN</t>
  </si>
  <si>
    <t>HU AB SCREEN</t>
  </si>
  <si>
    <t>0072541956</t>
  </si>
  <si>
    <t>PROTEIN TOTAL OTHER SOURCE/3</t>
  </si>
  <si>
    <t>0072542004</t>
  </si>
  <si>
    <t>PSA FREE</t>
  </si>
  <si>
    <t>0072542079</t>
  </si>
  <si>
    <t>PYRIDOXL PHOSPH VIT B6</t>
  </si>
  <si>
    <t>PYRIDOXL PHOSPH</t>
  </si>
  <si>
    <t>0072542137</t>
  </si>
  <si>
    <t>GLIADIN AB/2</t>
  </si>
  <si>
    <t>0072542152</t>
  </si>
  <si>
    <t>GLIADIN AB/3</t>
  </si>
  <si>
    <t>0072542558</t>
  </si>
  <si>
    <t>SELENIUM</t>
  </si>
  <si>
    <t>0072542707</t>
  </si>
  <si>
    <t>SEX HORMONE BIND GLOBULN</t>
  </si>
  <si>
    <t>SEX HRM BND GLB</t>
  </si>
  <si>
    <t>0072544034</t>
  </si>
  <si>
    <t>TESTOSTERONE TOTAL</t>
  </si>
  <si>
    <t>TESTOSTER TOTAL</t>
  </si>
  <si>
    <t>0072544075</t>
  </si>
  <si>
    <t>TESTOSTERONE FREE</t>
  </si>
  <si>
    <t>TESTOSTERN FREE</t>
  </si>
  <si>
    <t>0072544117</t>
  </si>
  <si>
    <t>BIOAVAILABLE TESTOSTERONE/2</t>
  </si>
  <si>
    <t>BIO TESTOST/2</t>
  </si>
  <si>
    <t>0072544299</t>
  </si>
  <si>
    <t>THIAMINE(VITAMIN B1)/2</t>
  </si>
  <si>
    <t>THIAMINE/2</t>
  </si>
  <si>
    <t>0072544323</t>
  </si>
  <si>
    <t>THYROGLOBULIN</t>
  </si>
  <si>
    <t>0072544463</t>
  </si>
  <si>
    <t>VITAMN E(TOCOPHRL ALPHA)</t>
  </si>
  <si>
    <t>VITAMIN E</t>
  </si>
  <si>
    <t>0072544513</t>
  </si>
  <si>
    <t>RECEPT ASSAY NON-ENDOCRN/2</t>
  </si>
  <si>
    <t>REC ASSY NONEND</t>
  </si>
  <si>
    <t>0072544620</t>
  </si>
  <si>
    <t>TRANSFERRIN</t>
  </si>
  <si>
    <t>0072544703</t>
  </si>
  <si>
    <t>TOPIRAMATE LVL</t>
  </si>
  <si>
    <t>0072544786</t>
  </si>
  <si>
    <t>TRIGLYCERIDES/3</t>
  </si>
  <si>
    <t>TRIGLYCER/3</t>
  </si>
  <si>
    <t>0072545841</t>
  </si>
  <si>
    <t>0072545858</t>
  </si>
  <si>
    <t>VMA URINE</t>
  </si>
  <si>
    <t>0072545908</t>
  </si>
  <si>
    <t>VITAMIN A</t>
  </si>
  <si>
    <t>VIT A</t>
  </si>
  <si>
    <t>0072545940</t>
  </si>
  <si>
    <t>VIT D1 25-DIHYDROXY</t>
  </si>
  <si>
    <t>VIT D1 25DIHYDR</t>
  </si>
  <si>
    <t>0072545957</t>
  </si>
  <si>
    <t>VITAMIN D/25 HYDROXY/2</t>
  </si>
  <si>
    <t>0072545973</t>
  </si>
  <si>
    <t>VITAMIN K</t>
  </si>
  <si>
    <t>VIT K</t>
  </si>
  <si>
    <t>0072546310</t>
  </si>
  <si>
    <t>ZINC/2</t>
  </si>
  <si>
    <t>0072549009</t>
  </si>
  <si>
    <t>IA TUMOR CA 19-9 QUAN</t>
  </si>
  <si>
    <t>IA TUMOR CA19-9</t>
  </si>
  <si>
    <t>0072549058</t>
  </si>
  <si>
    <t>REVERSE T3</t>
  </si>
  <si>
    <t>0072549983</t>
  </si>
  <si>
    <t>IA TUMOR CA 15-3 QUAN/2</t>
  </si>
  <si>
    <t>IA TUMOR CA15-3</t>
  </si>
  <si>
    <t>0072550064</t>
  </si>
  <si>
    <t>0072550288</t>
  </si>
  <si>
    <t>0072550452</t>
  </si>
  <si>
    <t>RETICULOCYTE COUNT AUTO</t>
  </si>
  <si>
    <t>RETIC COUNT AUT</t>
  </si>
  <si>
    <t>0072552201</t>
  </si>
  <si>
    <t>CLOT FACTOR V (LABILE)</t>
  </si>
  <si>
    <t>CLOT FACTOR V</t>
  </si>
  <si>
    <t>0072552318</t>
  </si>
  <si>
    <t>CLOT FCTR VIII(AHG)1 STG/2</t>
  </si>
  <si>
    <t>CLOT FCTOR VIII</t>
  </si>
  <si>
    <t>0072552409</t>
  </si>
  <si>
    <t>CLOT FCTR VIII(AHG)1 STG</t>
  </si>
  <si>
    <t>0072552466</t>
  </si>
  <si>
    <t>FACTR VIII VW AG CO-FCTR</t>
  </si>
  <si>
    <t>FACT VIII VW AG</t>
  </si>
  <si>
    <t>0072552482</t>
  </si>
  <si>
    <t>FACTR VIII RISTO CO-FCTR/2</t>
  </si>
  <si>
    <t>FACT VIII RISTO</t>
  </si>
  <si>
    <t>0072552607</t>
  </si>
  <si>
    <t>CLOT FCTR X(STUART-PRWR)</t>
  </si>
  <si>
    <t>CLOT FACTOR X</t>
  </si>
  <si>
    <t>0072553019</t>
  </si>
  <si>
    <t>ANTITHROMBIN III ANTIGEN</t>
  </si>
  <si>
    <t xml:space="preserve">ANTITHRMBN III </t>
  </si>
  <si>
    <t>0072553027</t>
  </si>
  <si>
    <t>PROTEIN C ANTIGEN</t>
  </si>
  <si>
    <t>PROTEIN C AG</t>
  </si>
  <si>
    <t>0072553035</t>
  </si>
  <si>
    <t>PROTEIN C ACTIVITY</t>
  </si>
  <si>
    <t>PROTEIN C ACTIV</t>
  </si>
  <si>
    <t>0072553043</t>
  </si>
  <si>
    <t>PROTEIN C ACTIVITY/2</t>
  </si>
  <si>
    <t>0072553050</t>
  </si>
  <si>
    <t>PROTEIN S TOTAL</t>
  </si>
  <si>
    <t>0072553076</t>
  </si>
  <si>
    <t>PROTEIN C RESIST</t>
  </si>
  <si>
    <t>PROTEIN C RES</t>
  </si>
  <si>
    <t>0072553084</t>
  </si>
  <si>
    <t>PROTEIN S FREE/3</t>
  </si>
  <si>
    <t>PROTEIN S FREE/</t>
  </si>
  <si>
    <t>0072553092</t>
  </si>
  <si>
    <t>ANTITHROMBIN III ACTIVITY/2</t>
  </si>
  <si>
    <t>0072553621</t>
  </si>
  <si>
    <t>0072554280</t>
  </si>
  <si>
    <t>CHROM/MASS SPEC NES QL/22</t>
  </si>
  <si>
    <t>CHRM/MASS NES/2</t>
  </si>
  <si>
    <t>0072555360</t>
  </si>
  <si>
    <t>INTRINSIC FACTOR ANTIBDY</t>
  </si>
  <si>
    <t>INTRNSC FCTR AB</t>
  </si>
  <si>
    <t>0072555592</t>
  </si>
  <si>
    <t>MICROSOMAL ANTIBODY EA</t>
  </si>
  <si>
    <t>MICROSOMAL AB E</t>
  </si>
  <si>
    <t>0072555980</t>
  </si>
  <si>
    <t>PHOSPHOLP NEUT HEXAGONAL</t>
  </si>
  <si>
    <t>NEUTRLZTN HEX</t>
  </si>
  <si>
    <t>0072556079</t>
  </si>
  <si>
    <t>CYSTATIN C</t>
  </si>
  <si>
    <t>0072556103</t>
  </si>
  <si>
    <t>0072556137</t>
  </si>
  <si>
    <t>RUSSL VIPR VEN TIME DIL</t>
  </si>
  <si>
    <t>RUS VIP TIME DI</t>
  </si>
  <si>
    <t>0072556145</t>
  </si>
  <si>
    <t>PROTHROMBIN TIME/2</t>
  </si>
  <si>
    <t>PROTHROM TIME/2</t>
  </si>
  <si>
    <t>0072556152</t>
  </si>
  <si>
    <t>RUSSL VIPR VEN TIME DIL/2</t>
  </si>
  <si>
    <t>0072556160</t>
  </si>
  <si>
    <t>THROMBIN TIME PLASMA</t>
  </si>
  <si>
    <t>THROMBIN PLASMA</t>
  </si>
  <si>
    <t>0072556178</t>
  </si>
  <si>
    <t>PTT SUB EA FRACTION/3</t>
  </si>
  <si>
    <t>0072556608</t>
  </si>
  <si>
    <t>SICKLING OF RBC</t>
  </si>
  <si>
    <t>0072557051</t>
  </si>
  <si>
    <t>THROMBOPLSTN INHIB TISS</t>
  </si>
  <si>
    <t>THROMBPLSTN TIS</t>
  </si>
  <si>
    <t>0072557317</t>
  </si>
  <si>
    <t>PTT/3</t>
  </si>
  <si>
    <t>0072557325</t>
  </si>
  <si>
    <t>PTT SUB EA FRACTION</t>
  </si>
  <si>
    <t>0072560022</t>
  </si>
  <si>
    <t>COCCIDIOIDES ANTIBODY</t>
  </si>
  <si>
    <t>COCCIDIOIDES AN</t>
  </si>
  <si>
    <t>0072560154</t>
  </si>
  <si>
    <t>COLD AGGLUTINATN TITER</t>
  </si>
  <si>
    <t>COLD AGGLUTINAT</t>
  </si>
  <si>
    <t>0072560170</t>
  </si>
  <si>
    <t>PLATELET AB/2</t>
  </si>
  <si>
    <t>0072560212</t>
  </si>
  <si>
    <t>0072560220</t>
  </si>
  <si>
    <t>PLATELET AB/3</t>
  </si>
  <si>
    <t>0072560436</t>
  </si>
  <si>
    <t>ANTINUCLEAR AB(ANA)/2</t>
  </si>
  <si>
    <t>ANTINUCL AB(ANA</t>
  </si>
  <si>
    <t>0072560535</t>
  </si>
  <si>
    <t>ALLRGN SPEC IGE EA/22</t>
  </si>
  <si>
    <t>ALLG IGE EA/22</t>
  </si>
  <si>
    <t>0072560600</t>
  </si>
  <si>
    <t>ANTI-STREPTOLYSN O TITER</t>
  </si>
  <si>
    <t>ASO TITER</t>
  </si>
  <si>
    <t>0072560618</t>
  </si>
  <si>
    <t>ANTI-STREPTOLYSN SCREEN</t>
  </si>
  <si>
    <t>ASO SCREEN</t>
  </si>
  <si>
    <t>0072560675</t>
  </si>
  <si>
    <t>ANTITRYPSIN ALPHA 1 TOTL</t>
  </si>
  <si>
    <t>ANTITRYPSN ALPH</t>
  </si>
  <si>
    <t>0072560741</t>
  </si>
  <si>
    <t>HELICOBACTER PYLORI AB/2</t>
  </si>
  <si>
    <t>HELICO PYLORI A</t>
  </si>
  <si>
    <t>0072561152</t>
  </si>
  <si>
    <t>BETA 2 GLYCOPROT I AB EA</t>
  </si>
  <si>
    <t xml:space="preserve">BETA 2 GLYCO I </t>
  </si>
  <si>
    <t>0072561160</t>
  </si>
  <si>
    <t>BETA 2 GLYCOPROT I AB EA/2</t>
  </si>
  <si>
    <t>0072561368</t>
  </si>
  <si>
    <t>COMPLEMENT AG EA</t>
  </si>
  <si>
    <t>COMPLEMNT AG EA</t>
  </si>
  <si>
    <t>0072561467</t>
  </si>
  <si>
    <t>BETA 2 GLYCOPROT I AB EA/4</t>
  </si>
  <si>
    <t>0072561517</t>
  </si>
  <si>
    <t>CARCINO-EMBRYONIC AG/2</t>
  </si>
  <si>
    <t>C E A/2</t>
  </si>
  <si>
    <t>0072561574</t>
  </si>
  <si>
    <t>COMPLEMENT AG EA/3</t>
  </si>
  <si>
    <t>0072561624</t>
  </si>
  <si>
    <t>COMPLEMENT TOTAL CH50</t>
  </si>
  <si>
    <t>COMPLMNT TOTAL</t>
  </si>
  <si>
    <t>0072561756</t>
  </si>
  <si>
    <t>THYROGLOBULIN AB</t>
  </si>
  <si>
    <t>THYROGLOBLN AB</t>
  </si>
  <si>
    <t>0072561764</t>
  </si>
  <si>
    <t>HISTOPLASMOSIS AB</t>
  </si>
  <si>
    <t>HISTOPLASMOS AB</t>
  </si>
  <si>
    <t>0072561988</t>
  </si>
  <si>
    <t>BLASTOMYCES AB</t>
  </si>
  <si>
    <t>0072562077</t>
  </si>
  <si>
    <t>INFLUENZA VIRUS AB/2</t>
  </si>
  <si>
    <t>INFLUENZA VIRAB</t>
  </si>
  <si>
    <t>0072562085</t>
  </si>
  <si>
    <t>INFLUENZA VIRUS AB/3</t>
  </si>
  <si>
    <t>0072562168</t>
  </si>
  <si>
    <t>INFECT AGNT NOS AMP PRB/12</t>
  </si>
  <si>
    <t>INFECT AGNT AMP</t>
  </si>
  <si>
    <t>0072562200</t>
  </si>
  <si>
    <t>DNA ANTIBODY DBL STRAND</t>
  </si>
  <si>
    <t>DNA AB DBL</t>
  </si>
  <si>
    <t>0072562242</t>
  </si>
  <si>
    <t>NUCLEAR ANTIGEN AB/4</t>
  </si>
  <si>
    <t>NUCLEAR AG AB/4</t>
  </si>
  <si>
    <t>0072562374</t>
  </si>
  <si>
    <t>NUCLEAR ANTIGEN AB/9</t>
  </si>
  <si>
    <t>NUCLEAR AG AB/9</t>
  </si>
  <si>
    <t>0072562390</t>
  </si>
  <si>
    <t>NUCLEAR ANTIGEN AB/11</t>
  </si>
  <si>
    <t>NUCLEAR AG AB/1</t>
  </si>
  <si>
    <t>0072562481</t>
  </si>
  <si>
    <t>PARVOVIRUS AB</t>
  </si>
  <si>
    <t>0072562556</t>
  </si>
  <si>
    <t>FLUORESCENT AB TITER EA/10</t>
  </si>
  <si>
    <t>FLRSCNT AB TITE</t>
  </si>
  <si>
    <t>0072562564</t>
  </si>
  <si>
    <t>FLUORESCENT AB TITER EA/11</t>
  </si>
  <si>
    <t>0072562663</t>
  </si>
  <si>
    <t>VARICELLA ZOSTER AB</t>
  </si>
  <si>
    <t>VARICEL ZSTR AB</t>
  </si>
  <si>
    <t>0072562713</t>
  </si>
  <si>
    <t>NUCLEAR ANTIGEN AB/15</t>
  </si>
  <si>
    <t>0072562739</t>
  </si>
  <si>
    <t>VARICELLA ZOSTER AB/2</t>
  </si>
  <si>
    <t>0072562754</t>
  </si>
  <si>
    <t>NUCLEAR ANTIGEN AB/17</t>
  </si>
  <si>
    <t>0072562879</t>
  </si>
  <si>
    <t>0072562911</t>
  </si>
  <si>
    <t>HEPATITIS A AB</t>
  </si>
  <si>
    <t>HEP A AB</t>
  </si>
  <si>
    <t>0072562937</t>
  </si>
  <si>
    <t>HEPATITIS BE IA</t>
  </si>
  <si>
    <t>HBE IA</t>
  </si>
  <si>
    <t>0072562945</t>
  </si>
  <si>
    <t>HEP B CORE AB IGM</t>
  </si>
  <si>
    <t>HBC AB IGM</t>
  </si>
  <si>
    <t>0072562960</t>
  </si>
  <si>
    <t>HEPATITIS BE ANTIBODY</t>
  </si>
  <si>
    <t>HEPATITIS BE AB</t>
  </si>
  <si>
    <t>0072562986</t>
  </si>
  <si>
    <t>HERPES AB SMPLX TYPE 1</t>
  </si>
  <si>
    <t xml:space="preserve">HERPES SMPLX 1 </t>
  </si>
  <si>
    <t>0072562994</t>
  </si>
  <si>
    <t>HERPES AB SMPLX TYPE 2/2</t>
  </si>
  <si>
    <t xml:space="preserve">HERPES SMPLX 2 </t>
  </si>
  <si>
    <t>0072563034</t>
  </si>
  <si>
    <t>HEPATITIS A AB IGM</t>
  </si>
  <si>
    <t>HEP A AB IGM</t>
  </si>
  <si>
    <t>0072563042</t>
  </si>
  <si>
    <t>0072563075</t>
  </si>
  <si>
    <t>H EPIDIDYMIS PROTEIN 4</t>
  </si>
  <si>
    <t>HE4 PROTEIN</t>
  </si>
  <si>
    <t>0072563166</t>
  </si>
  <si>
    <t>PSA TOTAL</t>
  </si>
  <si>
    <t>0072563174</t>
  </si>
  <si>
    <t>IA INFECT AGENT AB QN NOS/5</t>
  </si>
  <si>
    <t>IA INF AG AB QN</t>
  </si>
  <si>
    <t>0072563190</t>
  </si>
  <si>
    <t>IA INFECT AGENT AB QN NOS/6</t>
  </si>
  <si>
    <t>0072563240</t>
  </si>
  <si>
    <t>RUBELLA AB/2</t>
  </si>
  <si>
    <t>0072563323</t>
  </si>
  <si>
    <t>COMPLEMENT AG EA/10</t>
  </si>
  <si>
    <t>0072563331</t>
  </si>
  <si>
    <t>COMPLEMENT AG EA/11</t>
  </si>
  <si>
    <t>0072563406</t>
  </si>
  <si>
    <t>IMMUNOFIX ELECTRO SERUM/3</t>
  </si>
  <si>
    <t>I.F.E SERUM/3</t>
  </si>
  <si>
    <t>0072563414</t>
  </si>
  <si>
    <t>ISLET CELL ANTIBODY</t>
  </si>
  <si>
    <t>ISLET CELL AB</t>
  </si>
  <si>
    <t>0072563448</t>
  </si>
  <si>
    <t>IMMUNOFIX ELECTRO OTHER SR/4</t>
  </si>
  <si>
    <t>I.F.E OTH SR/4</t>
  </si>
  <si>
    <t>0072563596</t>
  </si>
  <si>
    <t>T CELLS TOTAL COUNT</t>
  </si>
  <si>
    <t>T CELLS TOT CNT</t>
  </si>
  <si>
    <t>0072563612</t>
  </si>
  <si>
    <t>T-CELLS ABSOLUTE CD4 CNT</t>
  </si>
  <si>
    <t>T-CELLS CD4 CNT</t>
  </si>
  <si>
    <t>0072563638</t>
  </si>
  <si>
    <t>0072563661</t>
  </si>
  <si>
    <t>ADENOSINE DEAMINASE</t>
  </si>
  <si>
    <t>ADENO DEAMINASE</t>
  </si>
  <si>
    <t>0072563679</t>
  </si>
  <si>
    <t>0072563745</t>
  </si>
  <si>
    <t>MICROSOMAL ANTIBODY EA/2</t>
  </si>
  <si>
    <t>0072563828</t>
  </si>
  <si>
    <t>CARDIOLIPIN AB EA IG/2</t>
  </si>
  <si>
    <t xml:space="preserve">CARDIOLIPIN AB </t>
  </si>
  <si>
    <t>0072563851</t>
  </si>
  <si>
    <t>CARDIOLIPIN AB EA IG/3</t>
  </si>
  <si>
    <t>0072563869</t>
  </si>
  <si>
    <t>CARDIOLIPIN AB EA IG/4</t>
  </si>
  <si>
    <t>0072564321</t>
  </si>
  <si>
    <t>RHEUMATOID FACTOR QUANT</t>
  </si>
  <si>
    <t>RA FACTOR QUANT</t>
  </si>
  <si>
    <t>0072564412</t>
  </si>
  <si>
    <t>RICKETTSIA AB/5</t>
  </si>
  <si>
    <t>0072564438</t>
  </si>
  <si>
    <t>RICKETTSIA AB/7</t>
  </si>
  <si>
    <t>0072565922</t>
  </si>
  <si>
    <t>SYPHILIS NONTREP QUAL</t>
  </si>
  <si>
    <t>SYPHILIS TST NT</t>
  </si>
  <si>
    <t>0072565948</t>
  </si>
  <si>
    <t>SYPHILIS NONTREP QUAL/2</t>
  </si>
  <si>
    <t>0072566219</t>
  </si>
  <si>
    <t>LYME DISEASE AB/5</t>
  </si>
  <si>
    <t>0072566284</t>
  </si>
  <si>
    <t>BRUCELLA AB/2</t>
  </si>
  <si>
    <t>0072566326</t>
  </si>
  <si>
    <t>CHLAMYDIA IGM/2</t>
  </si>
  <si>
    <t>0072566342</t>
  </si>
  <si>
    <t>SHIGA-TOXIN IA</t>
  </si>
  <si>
    <t>0072566458</t>
  </si>
  <si>
    <t>CYTOMEGALOVIRUS AB IGM</t>
  </si>
  <si>
    <t>CMV AB IGM</t>
  </si>
  <si>
    <t>0072566490</t>
  </si>
  <si>
    <t>EHRLICHIA AB/4</t>
  </si>
  <si>
    <t>0072566508</t>
  </si>
  <si>
    <t>TREPONEMA PALLIDUM AB</t>
  </si>
  <si>
    <t>TREP PALLIDUM</t>
  </si>
  <si>
    <t>0072566631</t>
  </si>
  <si>
    <t>EPSTEIN-BARR VIRUS NA AB</t>
  </si>
  <si>
    <t>EB VIRUS NA AB</t>
  </si>
  <si>
    <t>0072566714</t>
  </si>
  <si>
    <t>FUNGUS AB NES</t>
  </si>
  <si>
    <t>0072566722</t>
  </si>
  <si>
    <t>FUNGUS AB NES/2</t>
  </si>
  <si>
    <t>0072566847</t>
  </si>
  <si>
    <t>HELMINTH AB NES/8</t>
  </si>
  <si>
    <t>0072566953</t>
  </si>
  <si>
    <t>HERPES AB SMPLX/2</t>
  </si>
  <si>
    <t>HERPES AB SMPLX</t>
  </si>
  <si>
    <t>0072566979</t>
  </si>
  <si>
    <t>HERPES AB SMPLX TYPE 1/3</t>
  </si>
  <si>
    <t>0072567019</t>
  </si>
  <si>
    <t>HIV 1 AB</t>
  </si>
  <si>
    <t>0072567027</t>
  </si>
  <si>
    <t>HIV 2 AB</t>
  </si>
  <si>
    <t>0072567035</t>
  </si>
  <si>
    <t>0072567043</t>
  </si>
  <si>
    <t>HEP B CORE AB TOTAL/2</t>
  </si>
  <si>
    <t>HBC AB TOTAL/2</t>
  </si>
  <si>
    <t>0072567068</t>
  </si>
  <si>
    <t>0072567076</t>
  </si>
  <si>
    <t>HERPES AB SMPLX TYPE 2/4</t>
  </si>
  <si>
    <t>0072567126</t>
  </si>
  <si>
    <t>MUMPS AB</t>
  </si>
  <si>
    <t>0072567159</t>
  </si>
  <si>
    <t>RUBEOLA AB</t>
  </si>
  <si>
    <t>0072567217</t>
  </si>
  <si>
    <t>COCCIDIOIDES ANTIBODY/4</t>
  </si>
  <si>
    <t>0072567225</t>
  </si>
  <si>
    <t>COCCIDIOIDES ANTIBODY/5</t>
  </si>
  <si>
    <t>0072567340</t>
  </si>
  <si>
    <t>MUMPS AB/2</t>
  </si>
  <si>
    <t>0072567357</t>
  </si>
  <si>
    <t>MUMPS AB/3</t>
  </si>
  <si>
    <t>0072567399</t>
  </si>
  <si>
    <t>MYCOPLASMA AB/3</t>
  </si>
  <si>
    <t>0072567407</t>
  </si>
  <si>
    <t>MYCOPLASMA AB/4</t>
  </si>
  <si>
    <t>0072567480</t>
  </si>
  <si>
    <t>PARVOVIRUS AB/3</t>
  </si>
  <si>
    <t>0072567621</t>
  </si>
  <si>
    <t>RUBELLA AB/3</t>
  </si>
  <si>
    <t>0072567662</t>
  </si>
  <si>
    <t>RUBEOLA AB/3</t>
  </si>
  <si>
    <t>0072567753</t>
  </si>
  <si>
    <t>TOXOPLASMA AB/2</t>
  </si>
  <si>
    <t>0072567837</t>
  </si>
  <si>
    <t>WEST NILE VIRUS IGM</t>
  </si>
  <si>
    <t>W NILE VIRUS IG</t>
  </si>
  <si>
    <t>0072567845</t>
  </si>
  <si>
    <t>WEST NILE VIRUS</t>
  </si>
  <si>
    <t>W NILE VIRUS</t>
  </si>
  <si>
    <t>0072567852</t>
  </si>
  <si>
    <t>WEST NILE VIRUS/2</t>
  </si>
  <si>
    <t>W NILE VIRUS/2</t>
  </si>
  <si>
    <t>0072567860</t>
  </si>
  <si>
    <t>VARICELLA ZOSTER AB/3</t>
  </si>
  <si>
    <t>0072567886</t>
  </si>
  <si>
    <t>VARICELLA ZOSTER AB/4</t>
  </si>
  <si>
    <t>0072567894</t>
  </si>
  <si>
    <t>WEST NILE VIRUS IGM/2</t>
  </si>
  <si>
    <t>0072567910</t>
  </si>
  <si>
    <t>HTLV ANTIBODY/2</t>
  </si>
  <si>
    <t>HTLV AB/2</t>
  </si>
  <si>
    <t>0072568983</t>
  </si>
  <si>
    <t>PROTEIN S FREE/4</t>
  </si>
  <si>
    <t>0072569007</t>
  </si>
  <si>
    <t>IA TUMOR CA 125 QUAN</t>
  </si>
  <si>
    <t xml:space="preserve">IA TUMOR CA125 </t>
  </si>
  <si>
    <t>0072569031</t>
  </si>
  <si>
    <t>CHLAMYDIA AB/5</t>
  </si>
  <si>
    <t>0072569155</t>
  </si>
  <si>
    <t>CYTOMEGALOVIRUS AB/2</t>
  </si>
  <si>
    <t>CMV AB/2</t>
  </si>
  <si>
    <t>0072569247</t>
  </si>
  <si>
    <t>BORDETELLA AB</t>
  </si>
  <si>
    <t>0072569288</t>
  </si>
  <si>
    <t>BORDETELLA AB/2</t>
  </si>
  <si>
    <t>0072569296</t>
  </si>
  <si>
    <t>BORDETELLA AB/3</t>
  </si>
  <si>
    <t>0072569312</t>
  </si>
  <si>
    <t>ASPERGILLUS AB/3</t>
  </si>
  <si>
    <t>ASPERGILLUS AB/</t>
  </si>
  <si>
    <t>0072569452</t>
  </si>
  <si>
    <t>CHLAMYDIA IGM/3</t>
  </si>
  <si>
    <t>0072570245</t>
  </si>
  <si>
    <t>CULTURE BACT OTH SOURCE</t>
  </si>
  <si>
    <t>0072570302</t>
  </si>
  <si>
    <t>0072570385</t>
  </si>
  <si>
    <t>CULTURE BACTERIAL SCREEN</t>
  </si>
  <si>
    <t>0072570401</t>
  </si>
  <si>
    <t>0072570450</t>
  </si>
  <si>
    <t>0072570583</t>
  </si>
  <si>
    <t>CULT ANAEROBIC ANY EX BLD</t>
  </si>
  <si>
    <t>0072570708</t>
  </si>
  <si>
    <t>0072570757</t>
  </si>
  <si>
    <t>0072570864</t>
  </si>
  <si>
    <t>0072570906</t>
  </si>
  <si>
    <t>CULTURE BACT OTH SOURCE/7</t>
  </si>
  <si>
    <t>0072571011</t>
  </si>
  <si>
    <t>C FUNGI SKIN HAIR NAIL</t>
  </si>
  <si>
    <t>C FUNGUS</t>
  </si>
  <si>
    <t>0072571029</t>
  </si>
  <si>
    <t>C FUNGI SKIN HAIR NAIL/2</t>
  </si>
  <si>
    <t>C FUNGUS/2</t>
  </si>
  <si>
    <t>0072571102</t>
  </si>
  <si>
    <t>CULTURE CHLAMYDIA</t>
  </si>
  <si>
    <t>CHLAMYDIA CULT</t>
  </si>
  <si>
    <t>0072571169</t>
  </si>
  <si>
    <t>CULTURE AFB</t>
  </si>
  <si>
    <t>CULT AFB</t>
  </si>
  <si>
    <t>0072571409</t>
  </si>
  <si>
    <t>CULTURE TYPNG FLUORO EA</t>
  </si>
  <si>
    <t>CULT TYPING FM</t>
  </si>
  <si>
    <t>0072571771</t>
  </si>
  <si>
    <t>OVA &amp; PARASITES SMEARS/2</t>
  </si>
  <si>
    <t>OVA/PARAS SMEAR</t>
  </si>
  <si>
    <t>0072571920</t>
  </si>
  <si>
    <t>VISCOSITY</t>
  </si>
  <si>
    <t>0072572100</t>
  </si>
  <si>
    <t>SMEAR FLUORESCENT/AFS/3</t>
  </si>
  <si>
    <t>SMEAR FLUOR/AFS</t>
  </si>
  <si>
    <t>0072572274</t>
  </si>
  <si>
    <t>TISS CULT INOC/OBSERV</t>
  </si>
  <si>
    <t>OTHR VIRUS CULT</t>
  </si>
  <si>
    <t>0072572548</t>
  </si>
  <si>
    <t>VIRUS INOC SHELL EACH</t>
  </si>
  <si>
    <t>VIRUS INNOC EA</t>
  </si>
  <si>
    <t>0072572589</t>
  </si>
  <si>
    <t>VIRUS INOC SHELL EACH/7</t>
  </si>
  <si>
    <t>VIRUS INNOC EA/</t>
  </si>
  <si>
    <t>0072572605</t>
  </si>
  <si>
    <t>HSV CUL W/ID NON IMMUNO</t>
  </si>
  <si>
    <t>HSV CUL/ID NIMM</t>
  </si>
  <si>
    <t>0072572811</t>
  </si>
  <si>
    <t>PNEUMOCYST CARIN DFA</t>
  </si>
  <si>
    <t>PNEUM CARIN DFA</t>
  </si>
  <si>
    <t>0072573066</t>
  </si>
  <si>
    <t>ASPERGILLUS IA</t>
  </si>
  <si>
    <t>0072573306</t>
  </si>
  <si>
    <t>CRYPTOSPORIDIUM IA</t>
  </si>
  <si>
    <t>CRYPTOSPORIDIUM</t>
  </si>
  <si>
    <t>0072573397</t>
  </si>
  <si>
    <t>ENTAMOEB HIST GROUP IA</t>
  </si>
  <si>
    <t>E HISTOLYTICA I</t>
  </si>
  <si>
    <t>0072573868</t>
  </si>
  <si>
    <t>HISTOPLASMA IA</t>
  </si>
  <si>
    <t>0072573892</t>
  </si>
  <si>
    <t>HIV I AG HIV I HIV II AB/2</t>
  </si>
  <si>
    <t>HIV AG AB COMBO</t>
  </si>
  <si>
    <t>0072574544</t>
  </si>
  <si>
    <t>COCCIDIOIDES ANTIBODY/7</t>
  </si>
  <si>
    <t>0072574841</t>
  </si>
  <si>
    <t>CNS PATHOGENS 12-25/2</t>
  </si>
  <si>
    <t>CNS PATHOGENS 1</t>
  </si>
  <si>
    <t>0072574916</t>
  </si>
  <si>
    <t>CHLAMYDIA AMP PROBE/3</t>
  </si>
  <si>
    <t>CHLAMYD AMP PRB</t>
  </si>
  <si>
    <t>0072574924</t>
  </si>
  <si>
    <t>CHLAMYDIA AMP PROBE/2</t>
  </si>
  <si>
    <t>0072574973</t>
  </si>
  <si>
    <t>CMV QUANT/2</t>
  </si>
  <si>
    <t>0072575004</t>
  </si>
  <si>
    <t>CYTOMEGALOVIRUS AMP PRB</t>
  </si>
  <si>
    <t>CMV AMP PRB</t>
  </si>
  <si>
    <t>0072575236</t>
  </si>
  <si>
    <t>HCV GENOTYPE</t>
  </si>
  <si>
    <t>0072575293</t>
  </si>
  <si>
    <t>HERPES SIMPLX AMP PRB/3</t>
  </si>
  <si>
    <t>HERPES SMPLX AM</t>
  </si>
  <si>
    <t>0072575301</t>
  </si>
  <si>
    <t>HERPES SIMPLX AMP PRB/2</t>
  </si>
  <si>
    <t>0072575350</t>
  </si>
  <si>
    <t>HIV 1 AMP PROBE/2</t>
  </si>
  <si>
    <t>HIV 1 AMP PRB/2</t>
  </si>
  <si>
    <t>0072575368</t>
  </si>
  <si>
    <t>HIV-1 QUANT</t>
  </si>
  <si>
    <t>HIV-1 QNT</t>
  </si>
  <si>
    <t>0072575376</t>
  </si>
  <si>
    <t>HIV-1 QUANT/5</t>
  </si>
  <si>
    <t>HIV-1 QNT/5</t>
  </si>
  <si>
    <t>0072575566</t>
  </si>
  <si>
    <t>MTB AMP PROBE</t>
  </si>
  <si>
    <t>MTB AMP PRB</t>
  </si>
  <si>
    <t>0072575921</t>
  </si>
  <si>
    <t>GC DNA AMP PROBE</t>
  </si>
  <si>
    <t>GC DNA AMP PRB</t>
  </si>
  <si>
    <t>0072576242</t>
  </si>
  <si>
    <t>INFECT AGNT NOS AMP PRB/11</t>
  </si>
  <si>
    <t>0072576333</t>
  </si>
  <si>
    <t>RESP VIRUS 12-25 AMP PROBE</t>
  </si>
  <si>
    <t xml:space="preserve">RESP VIR 12-25 </t>
  </si>
  <si>
    <t>0072576614</t>
  </si>
  <si>
    <t>TRICHOMONAS AMP PROBE</t>
  </si>
  <si>
    <t>TRICH AMP PRB</t>
  </si>
  <si>
    <t>0072577968</t>
  </si>
  <si>
    <t>INFECT AGNT NOS AMP PRB/48</t>
  </si>
  <si>
    <t>0072577992</t>
  </si>
  <si>
    <t>INFECT AGNT NOS AMP PRB/33</t>
  </si>
  <si>
    <t>0072578933</t>
  </si>
  <si>
    <t>INFECT AGNT NOS DIR OPT/13</t>
  </si>
  <si>
    <t>INFECT AGNT DIR</t>
  </si>
  <si>
    <t>0072579006</t>
  </si>
  <si>
    <t>INFECT AGNT NOS DIR OPT/2</t>
  </si>
  <si>
    <t>0072579022</t>
  </si>
  <si>
    <t>HIV GENO PROTEAS REGION</t>
  </si>
  <si>
    <t>HIV 1 GENO PRT</t>
  </si>
  <si>
    <t>0072579030</t>
  </si>
  <si>
    <t>HIV PHENOSENSE 1-10 DRU</t>
  </si>
  <si>
    <t>HIV PHENO 1-10</t>
  </si>
  <si>
    <t>0072579048</t>
  </si>
  <si>
    <t>HIV PHENOSEUSE ADD DRUGS</t>
  </si>
  <si>
    <t>HIV PHEN ADD DR</t>
  </si>
  <si>
    <t>0072579097</t>
  </si>
  <si>
    <t>INFECT AGNT DRUG SUSCEPT</t>
  </si>
  <si>
    <t>INFEC AGT PHENO</t>
  </si>
  <si>
    <t>0072579121</t>
  </si>
  <si>
    <t>INFECTIOUS AGNT NOS IA/5</t>
  </si>
  <si>
    <t>INF AGNT IA/5</t>
  </si>
  <si>
    <t>0072579204</t>
  </si>
  <si>
    <t>INFECT AGNT NOS DIR OPT/4</t>
  </si>
  <si>
    <t>0072580426</t>
  </si>
  <si>
    <t>0072581895</t>
  </si>
  <si>
    <t>FLOW CYTO INTERP 16+ MARK</t>
  </si>
  <si>
    <t>FLOW CYTO 16+ M</t>
  </si>
  <si>
    <t>0072582109</t>
  </si>
  <si>
    <t>AFP FRACTION AND TOTAL</t>
  </si>
  <si>
    <t>AFP FRC AND TL</t>
  </si>
  <si>
    <t>0072582273</t>
  </si>
  <si>
    <t>HGB FECAL IA</t>
  </si>
  <si>
    <t>0072582315</t>
  </si>
  <si>
    <t>CHRM ANAL 20-25 CELLS/2</t>
  </si>
  <si>
    <t>CHRM ANAL 20-25</t>
  </si>
  <si>
    <t>0072582380</t>
  </si>
  <si>
    <t>TISSUE CULT BONE MARROW</t>
  </si>
  <si>
    <t>TISS CULT F/BN</t>
  </si>
  <si>
    <t>0072582455</t>
  </si>
  <si>
    <t>CADMIUM/3</t>
  </si>
  <si>
    <t>0072582521</t>
  </si>
  <si>
    <t>COLLAGEN CROSS LINKS/6</t>
  </si>
  <si>
    <t>0072582679</t>
  </si>
  <si>
    <t>ESTRADIOL/2</t>
  </si>
  <si>
    <t>0072582802</t>
  </si>
  <si>
    <t>CHROMO ADD KARYOTYPES EA/2</t>
  </si>
  <si>
    <t>CHROMO ANALADD/</t>
  </si>
  <si>
    <t>0072582943</t>
  </si>
  <si>
    <t>CREATININE OTHR SRCE/6</t>
  </si>
  <si>
    <t>0072582968</t>
  </si>
  <si>
    <t>GAMMAGLOBULIN EA/13</t>
  </si>
  <si>
    <t>GAMAGLOB EA/13</t>
  </si>
  <si>
    <t>0072583024</t>
  </si>
  <si>
    <t>HEMOGLOBIN FRAC &amp; QNT/4</t>
  </si>
  <si>
    <t>0072583081</t>
  </si>
  <si>
    <t>COMPLEMNT FUNCT ACTIV EA</t>
  </si>
  <si>
    <t>COMP FNC ACT EA</t>
  </si>
  <si>
    <t>0072583131</t>
  </si>
  <si>
    <t>SPEC STAIN TRICH OVA/PARA</t>
  </si>
  <si>
    <t>SPEC STN TRICHR</t>
  </si>
  <si>
    <t>0072583545</t>
  </si>
  <si>
    <t>TISS TRANSGLUTAMINASE AB/6</t>
  </si>
  <si>
    <t>0072583743</t>
  </si>
  <si>
    <t>PROCALCITONIN</t>
  </si>
  <si>
    <t>0072583818</t>
  </si>
  <si>
    <t>INTERLEUKIN/9</t>
  </si>
  <si>
    <t>0072583826</t>
  </si>
  <si>
    <t>NOS IMMUNOASSAY NON-RIA/4</t>
  </si>
  <si>
    <t>NOS IMMUNASSY N</t>
  </si>
  <si>
    <t>0072583859</t>
  </si>
  <si>
    <t>ACHR ANTIBODY/3</t>
  </si>
  <si>
    <t>ACHR AB/3</t>
  </si>
  <si>
    <t>0072584246</t>
  </si>
  <si>
    <t>RENIN</t>
  </si>
  <si>
    <t>0072584477</t>
  </si>
  <si>
    <t>TRIGLYCERIDES/4</t>
  </si>
  <si>
    <t>TRIGLYCER/4</t>
  </si>
  <si>
    <t>0072585409</t>
  </si>
  <si>
    <t>ADAMTS 13 ACTIVITY/2</t>
  </si>
  <si>
    <t>ADAMTS 13 ACT/2</t>
  </si>
  <si>
    <t>0072585524</t>
  </si>
  <si>
    <t>HEPARIN ASSAY/3</t>
  </si>
  <si>
    <t>0072585623</t>
  </si>
  <si>
    <t>PT SUBST PLSMA FRCT EA</t>
  </si>
  <si>
    <t>PT SUB PLS FRCT</t>
  </si>
  <si>
    <t>0072585672</t>
  </si>
  <si>
    <t>THROMBIN TIME PLASMA/4</t>
  </si>
  <si>
    <t>0072586068</t>
  </si>
  <si>
    <t>B CELLS TOTAL COUNT</t>
  </si>
  <si>
    <t>B CELLS TOT CNT</t>
  </si>
  <si>
    <t>0072586183</t>
  </si>
  <si>
    <t>CMPLMNT FIXATION TEST EA AG/2</t>
  </si>
  <si>
    <t>CMPLMNT FIX TST</t>
  </si>
  <si>
    <t>0072586266</t>
  </si>
  <si>
    <t>NUCLEAR ANTIGEN AB/24</t>
  </si>
  <si>
    <t>NUCLEAR AG AB/2</t>
  </si>
  <si>
    <t>0072586332</t>
  </si>
  <si>
    <t>IMMUNODIFFUSION GEL QUAL/6</t>
  </si>
  <si>
    <t>IMMUNDIF GEL QL</t>
  </si>
  <si>
    <t>0072586340</t>
  </si>
  <si>
    <t>IMMUNOFIX ELECTRO SERUM/4</t>
  </si>
  <si>
    <t>I.F.E SERUM/4</t>
  </si>
  <si>
    <t>0072586365</t>
  </si>
  <si>
    <t>T CELLS T4/T8 INC RATIO/2</t>
  </si>
  <si>
    <t>T CELLS T4/T8/2</t>
  </si>
  <si>
    <t>0072586381</t>
  </si>
  <si>
    <t>FLUORESCENT AB TITER EA/20</t>
  </si>
  <si>
    <t>0072586480</t>
  </si>
  <si>
    <t>TB TEST CELL AG RESPONSE</t>
  </si>
  <si>
    <t>TB TEST CELL AG</t>
  </si>
  <si>
    <t>0072586589</t>
  </si>
  <si>
    <t>PARIETAL CELL AB</t>
  </si>
  <si>
    <t>PARIETL CELL AB</t>
  </si>
  <si>
    <t>0072586613</t>
  </si>
  <si>
    <t>SYPHILIS NONTREP QUAL/3</t>
  </si>
  <si>
    <t>0072586704</t>
  </si>
  <si>
    <t>RETICULIN AB/2</t>
  </si>
  <si>
    <t>0072586753</t>
  </si>
  <si>
    <t>HEPATITIS B QUANT/3</t>
  </si>
  <si>
    <t>HEP B QUANT/3</t>
  </si>
  <si>
    <t>0072586761</t>
  </si>
  <si>
    <t>ENDOMYSIAL AB</t>
  </si>
  <si>
    <t>ANTI ENDOMYSIAL</t>
  </si>
  <si>
    <t>0072586787</t>
  </si>
  <si>
    <t>EPSTEIN-BARR VIRUS VCA AB/4</t>
  </si>
  <si>
    <t>EB VIRUS VCA AB</t>
  </si>
  <si>
    <t>0072586803</t>
  </si>
  <si>
    <t>HERPES AB SMPLX TYPE 2/7</t>
  </si>
  <si>
    <t>0072586829</t>
  </si>
  <si>
    <t>COCCIDIOIDES ANTIBODY/9</t>
  </si>
  <si>
    <t>0072586845</t>
  </si>
  <si>
    <t>CHLAMYDIA AB/6</t>
  </si>
  <si>
    <t>0072586852</t>
  </si>
  <si>
    <t>CHLAMYDIA IGM/4</t>
  </si>
  <si>
    <t>0072586860</t>
  </si>
  <si>
    <t>HERPES AB SMPLX/5</t>
  </si>
  <si>
    <t>0072586894</t>
  </si>
  <si>
    <t>HELICOBACTER PYLORI AB/5</t>
  </si>
  <si>
    <t>0072586928</t>
  </si>
  <si>
    <t>HEPATITIS A AB IGM/2</t>
  </si>
  <si>
    <t>HEP A AB IGM/2</t>
  </si>
  <si>
    <t>0072586985</t>
  </si>
  <si>
    <t>LEPTOSPIRA AB/2</t>
  </si>
  <si>
    <t>0072587017</t>
  </si>
  <si>
    <t>HERPES AB SMPLX/6</t>
  </si>
  <si>
    <t>0072587207</t>
  </si>
  <si>
    <t>SPECIAL STAIN SMEAR/3</t>
  </si>
  <si>
    <t>SPEC STAIN/3</t>
  </si>
  <si>
    <t>0072587306</t>
  </si>
  <si>
    <t>ASPERGILLUS IA/2</t>
  </si>
  <si>
    <t>ASPERGILLUS IA/</t>
  </si>
  <si>
    <t>0072587447</t>
  </si>
  <si>
    <t>INFECTIOUS AGNT NOS IA/4</t>
  </si>
  <si>
    <t>INF AGNT IA/4</t>
  </si>
  <si>
    <t>0072587504</t>
  </si>
  <si>
    <t>ENTEROVIRUS AMP PROBE/2</t>
  </si>
  <si>
    <t>ENTERO AMP PRB/</t>
  </si>
  <si>
    <t>0072587546</t>
  </si>
  <si>
    <t>0072587553</t>
  </si>
  <si>
    <t>HEPATITIS B QUANT/2</t>
  </si>
  <si>
    <t>HEP B QUANT/2</t>
  </si>
  <si>
    <t>0072587983</t>
  </si>
  <si>
    <t>INFECT AGNT NOS AMP PRB/21</t>
  </si>
  <si>
    <t>0072592009</t>
  </si>
  <si>
    <t>HLA I AG EQUIV EACH LOW/2</t>
  </si>
  <si>
    <t>HLA I LOW/2</t>
  </si>
  <si>
    <t>0072592025</t>
  </si>
  <si>
    <t>BCR/ABL1 MAJOR BREAKPNT/2</t>
  </si>
  <si>
    <t>BCR/ABL1 MAJOR/</t>
  </si>
  <si>
    <t>0072592033</t>
  </si>
  <si>
    <t>BCR/ABL 1 MINOR BREAKPNT/2</t>
  </si>
  <si>
    <t>BCR/ABL 1 MINOR</t>
  </si>
  <si>
    <t>0072592041</t>
  </si>
  <si>
    <t>CFTR COMMON VARIANTS/2</t>
  </si>
  <si>
    <t>CFTR COMMON VAR</t>
  </si>
  <si>
    <t>0072592074</t>
  </si>
  <si>
    <t>F5 LEIDEN VARIANT</t>
  </si>
  <si>
    <t>F5 LEIDEN</t>
  </si>
  <si>
    <t>0072592082</t>
  </si>
  <si>
    <t>F2 GENE ANLS VARIANT/2</t>
  </si>
  <si>
    <t>F2 VARIANT/2</t>
  </si>
  <si>
    <t>0072592108</t>
  </si>
  <si>
    <t>MTHFR COMMON VARIANTS</t>
  </si>
  <si>
    <t>MTHFR VARIANT</t>
  </si>
  <si>
    <t>0072592116</t>
  </si>
  <si>
    <t>HEMOCHROM COMMON VARIANT/2</t>
  </si>
  <si>
    <t>HEMOCHROM VAR/2</t>
  </si>
  <si>
    <t>0072592132</t>
  </si>
  <si>
    <t>JAK2 VARIANT/2</t>
  </si>
  <si>
    <t>0072592140</t>
  </si>
  <si>
    <t>MOLECULAR PATH LEVEL 4/3</t>
  </si>
  <si>
    <t>MOLEC PATH LV4/</t>
  </si>
  <si>
    <t>0072592157</t>
  </si>
  <si>
    <t>JAK2 VARIANT/3</t>
  </si>
  <si>
    <t>0072593676</t>
  </si>
  <si>
    <t>0072593817</t>
  </si>
  <si>
    <t>PTH ANTIBODY/2</t>
  </si>
  <si>
    <t>0072594252</t>
  </si>
  <si>
    <t>CYTOMEGALOVIRUS AB/4</t>
  </si>
  <si>
    <t>CMV AB/4</t>
  </si>
  <si>
    <t>0072594336</t>
  </si>
  <si>
    <t>EPSTEIN-BARR VIRUS EA AB/2</t>
  </si>
  <si>
    <t>EB VIRUS EA AB/</t>
  </si>
  <si>
    <t>0080244114</t>
  </si>
  <si>
    <t>DRS DERMAL TEMPLT FEN</t>
  </si>
  <si>
    <t>DRS ENDOFORM</t>
  </si>
  <si>
    <t>0080245533</t>
  </si>
  <si>
    <t>DRS INTERCEED</t>
  </si>
  <si>
    <t>DRS INTERCD</t>
  </si>
  <si>
    <t>0080310295</t>
  </si>
  <si>
    <t>EMB MICROSPH 900-1200MIC</t>
  </si>
  <si>
    <t>EMB MICROSPHR</t>
  </si>
  <si>
    <t>0080313596</t>
  </si>
  <si>
    <t>BN GEL/PUTTY 2.5CC</t>
  </si>
  <si>
    <t>BN GEL/PUTTY</t>
  </si>
  <si>
    <t>0080313661</t>
  </si>
  <si>
    <t>BN GEL/PUTTY 5CC</t>
  </si>
  <si>
    <t>BN GEL/PTY 5CC</t>
  </si>
  <si>
    <t>0080313695</t>
  </si>
  <si>
    <t>BN GEL/PUTTY 10CC</t>
  </si>
  <si>
    <t>BN GEL/PTY 10CC</t>
  </si>
  <si>
    <t>0080316573</t>
  </si>
  <si>
    <t>BONE PUTTY</t>
  </si>
  <si>
    <t>0080321433</t>
  </si>
  <si>
    <t>EMB MICRSPHR BD BL RED 700-900</t>
  </si>
  <si>
    <t>EMB MICROSPHR B</t>
  </si>
  <si>
    <t>0080321441</t>
  </si>
  <si>
    <t>EMB MICRSPHR BD BL RED 500-700</t>
  </si>
  <si>
    <t>0080321466</t>
  </si>
  <si>
    <t>EMB MICROSPHR 500-700MIC</t>
  </si>
  <si>
    <t>0080321482</t>
  </si>
  <si>
    <t>EMB MICROSPHR250MIC</t>
  </si>
  <si>
    <t>0080321524</t>
  </si>
  <si>
    <t>EMB MICROSPHR 700-900MIC</t>
  </si>
  <si>
    <t>0080322936</t>
  </si>
  <si>
    <t>GEL VOICE INJ</t>
  </si>
  <si>
    <t>0080325731</t>
  </si>
  <si>
    <t>KT CATH CENT VEN DBL LUM</t>
  </si>
  <si>
    <t>KT VEN DBL LUM</t>
  </si>
  <si>
    <t>0080331457</t>
  </si>
  <si>
    <t>OST PASTE STMA</t>
  </si>
  <si>
    <t>0080340151</t>
  </si>
  <si>
    <t>SCRW INTERFEREN</t>
  </si>
  <si>
    <t>0080341878</t>
  </si>
  <si>
    <t>ST ACCESS LIVER TRNSJUG</t>
  </si>
  <si>
    <t>ST ACCESS LIVER</t>
  </si>
  <si>
    <t>0080345325</t>
  </si>
  <si>
    <t>SYS NEXPOWDER ENDO &gt;48 SQ INCH</t>
  </si>
  <si>
    <t>SYS NEXPOWDER E</t>
  </si>
  <si>
    <t>0080352214</t>
  </si>
  <si>
    <t>WR GDE SPHINCTER PRELOAD</t>
  </si>
  <si>
    <t>WR GDE SPHINCTR</t>
  </si>
  <si>
    <t>0080352222</t>
  </si>
  <si>
    <t>SPHINCTERTOME DREAMTOME RX</t>
  </si>
  <si>
    <t>SPHINCTERTME DR</t>
  </si>
  <si>
    <t>0080381437</t>
  </si>
  <si>
    <t>BN GEL/PUTTY 1CC</t>
  </si>
  <si>
    <t>BN GEL/PTY 1CC</t>
  </si>
  <si>
    <t>0080385966</t>
  </si>
  <si>
    <t>NDL CATH YEUH CENTESIS</t>
  </si>
  <si>
    <t>NDL CATH CENTES</t>
  </si>
  <si>
    <t>0080410285</t>
  </si>
  <si>
    <t>SHEATH URETERAL ACCESS</t>
  </si>
  <si>
    <t>SHEATH URETERA</t>
  </si>
  <si>
    <t>0080412455</t>
  </si>
  <si>
    <t>CATH URET FLEXT</t>
  </si>
  <si>
    <t>0080412505</t>
  </si>
  <si>
    <t>CATH URETERAL</t>
  </si>
  <si>
    <t>0080413198</t>
  </si>
  <si>
    <t>SHTH URETERAL ACCESS DL</t>
  </si>
  <si>
    <t>SHTH URETERAL</t>
  </si>
  <si>
    <t>0080500051</t>
  </si>
  <si>
    <t>CATH BLN IN.PACT AV DCB FISTUL</t>
  </si>
  <si>
    <t>CATH BLN INPACT</t>
  </si>
  <si>
    <t>0080500184</t>
  </si>
  <si>
    <t>CATH ASPIRATION LIGHTNING BOLT</t>
  </si>
  <si>
    <t>CATH ASPIR LIGH</t>
  </si>
  <si>
    <t>0080517220</t>
  </si>
  <si>
    <t>CATH BLN DIL ADV SERENITY 18</t>
  </si>
  <si>
    <t>0080517238</t>
  </si>
  <si>
    <t>CATH BLN DIL SERENITY 14</t>
  </si>
  <si>
    <t>0080517253</t>
  </si>
  <si>
    <t>CATH BLN DIL RX NC TREK</t>
  </si>
  <si>
    <t>0080517261</t>
  </si>
  <si>
    <t>CATH BLN DIL MINI TREK</t>
  </si>
  <si>
    <t>0080560121</t>
  </si>
  <si>
    <t>CATH ANGIO COBRA</t>
  </si>
  <si>
    <t>CATH ANGIO COBR</t>
  </si>
  <si>
    <t>0080560139</t>
  </si>
  <si>
    <t>CATH ANGIO OMNI FLUSH</t>
  </si>
  <si>
    <t>CATH ANGIO OMNI</t>
  </si>
  <si>
    <t>0080560378</t>
  </si>
  <si>
    <t>CATH GUIDING</t>
  </si>
  <si>
    <t>0080560527</t>
  </si>
  <si>
    <t>CATH ASPIRATION EXPORTAP</t>
  </si>
  <si>
    <t>CATH EXPORT AP</t>
  </si>
  <si>
    <t>0080560725</t>
  </si>
  <si>
    <t>CATH BLN DIL COYOTE OTW</t>
  </si>
  <si>
    <t>CATH COYOTE OTW</t>
  </si>
  <si>
    <t>0080560931</t>
  </si>
  <si>
    <t>CATH BLN DIL SC EUPHORA</t>
  </si>
  <si>
    <t>CATH SC EUPHORA</t>
  </si>
  <si>
    <t>0080560949</t>
  </si>
  <si>
    <t>CATH BLN DIL NC EUPHORA</t>
  </si>
  <si>
    <t>CATH NC EUPHORA</t>
  </si>
  <si>
    <t>0080561624</t>
  </si>
  <si>
    <t>CATH DIL PTA SABER</t>
  </si>
  <si>
    <t>CATH SABER</t>
  </si>
  <si>
    <t>0080563182</t>
  </si>
  <si>
    <t>CATH EMBOLECTOMY</t>
  </si>
  <si>
    <t>CATH EMBOLECT</t>
  </si>
  <si>
    <t>0080563240</t>
  </si>
  <si>
    <t>CATH CLOTTRIEVER</t>
  </si>
  <si>
    <t>CATH CLOTTRIEVE</t>
  </si>
  <si>
    <t>0080563596</t>
  </si>
  <si>
    <t>CATH CORONARY DIL TREK</t>
  </si>
  <si>
    <t>CATH C TREK RX</t>
  </si>
  <si>
    <t>0080563737</t>
  </si>
  <si>
    <t>CATH FGRTY EMBLA</t>
  </si>
  <si>
    <t>CATH FGRT EMBLA</t>
  </si>
  <si>
    <t>0080564347</t>
  </si>
  <si>
    <t>CATH GD COR HEARTRAILIII</t>
  </si>
  <si>
    <t>CATH GD CORONRY</t>
  </si>
  <si>
    <t>0080564396</t>
  </si>
  <si>
    <t>CATH GLIDE</t>
  </si>
  <si>
    <t>0080564438</t>
  </si>
  <si>
    <t>CATH GUIDE SELECTRA HOOK</t>
  </si>
  <si>
    <t>CATH SELECTRA</t>
  </si>
  <si>
    <t>0080564446</t>
  </si>
  <si>
    <t>CATH GUIDE RTSITE COR 7F 43CM</t>
  </si>
  <si>
    <t>CATH GUIDE RTSI</t>
  </si>
  <si>
    <t>0080564560</t>
  </si>
  <si>
    <t>CATH GUIDELNR NAVIAGT RX</t>
  </si>
  <si>
    <t>CATH GUIDELINER</t>
  </si>
  <si>
    <t>0080565385</t>
  </si>
  <si>
    <t>CATH IVUS GD PIONEER PLS</t>
  </si>
  <si>
    <t>CATH IVUS GUIDE</t>
  </si>
  <si>
    <t>0080565419</t>
  </si>
  <si>
    <t>CATH IVUS PLATINUM ST</t>
  </si>
  <si>
    <t>CATH EAGLE EYE</t>
  </si>
  <si>
    <t>0080565427</t>
  </si>
  <si>
    <t>CATHETER IVUS</t>
  </si>
  <si>
    <t>CATH IVUS</t>
  </si>
  <si>
    <t>0080565898</t>
  </si>
  <si>
    <t>CATH MICRO TELEPORT</t>
  </si>
  <si>
    <t>CATH MICRO TELE</t>
  </si>
  <si>
    <t>0080565906</t>
  </si>
  <si>
    <t>CATH MULT LUM CV</t>
  </si>
  <si>
    <t>CATH MLT LUM CV</t>
  </si>
  <si>
    <t>0080566151</t>
  </si>
  <si>
    <t>CATH NEPHROSTOMY</t>
  </si>
  <si>
    <t>CATH NEPHROSTMY</t>
  </si>
  <si>
    <t>0080566490</t>
  </si>
  <si>
    <t>CATH PTCA BLN MR EMERGE</t>
  </si>
  <si>
    <t>CATH EMERGE</t>
  </si>
  <si>
    <t>0080566631</t>
  </si>
  <si>
    <t>CATH PTA EVERCROSS BLN</t>
  </si>
  <si>
    <t>CATH PTA BLLN</t>
  </si>
  <si>
    <t>0080566649</t>
  </si>
  <si>
    <t>CATH PTA MUSTANG BLLN</t>
  </si>
  <si>
    <t>CATH PTA MUSTNG</t>
  </si>
  <si>
    <t>0080566698</t>
  </si>
  <si>
    <t>CATH PTA ADVANC35LP BLN</t>
  </si>
  <si>
    <t>CATH ADVANCE</t>
  </si>
  <si>
    <t>0080566714</t>
  </si>
  <si>
    <t>CATH PTA CHOCOLATE BLN</t>
  </si>
  <si>
    <t>CATH PTA OTW</t>
  </si>
  <si>
    <t>0080566896</t>
  </si>
  <si>
    <t>CATH REPERFUS ASPIRATION</t>
  </si>
  <si>
    <t>CATH INDIGO</t>
  </si>
  <si>
    <t>0080567084</t>
  </si>
  <si>
    <t>CATH PTCA EMERGE MR US BLN</t>
  </si>
  <si>
    <t>CATH PTCA EMERG</t>
  </si>
  <si>
    <t>0080567167</t>
  </si>
  <si>
    <t>CATH STENT GRAFT BLLN</t>
  </si>
  <si>
    <t>CATH Q50 PLUS</t>
  </si>
  <si>
    <t>0080567340</t>
  </si>
  <si>
    <t>CATH SUPPORT NAVICROSS</t>
  </si>
  <si>
    <t>CATH NAVICROSS</t>
  </si>
  <si>
    <t>0080567381</t>
  </si>
  <si>
    <t>CATH SUPPORT TRAILBLAZER</t>
  </si>
  <si>
    <t>CATH TRAILBLAZR</t>
  </si>
  <si>
    <t>0080567811</t>
  </si>
  <si>
    <t>CATH THORACIC W/TROCAR</t>
  </si>
  <si>
    <t>CATH THORACIC</t>
  </si>
  <si>
    <t>0080567837</t>
  </si>
  <si>
    <t>CATH THORACIC ANGLED</t>
  </si>
  <si>
    <t>0080568058</t>
  </si>
  <si>
    <t>CATH TRIP-LUMEN</t>
  </si>
  <si>
    <t>0080568868</t>
  </si>
  <si>
    <t>CATH PTA DRUG COATED BLN</t>
  </si>
  <si>
    <t>CATH STELLAREX</t>
  </si>
  <si>
    <t>0080568876</t>
  </si>
  <si>
    <t>CATH PTA NANOCRS ELT OTW</t>
  </si>
  <si>
    <t>CATH NANOCR ELT</t>
  </si>
  <si>
    <t>0080569197</t>
  </si>
  <si>
    <t>CATH SHOCKWAVE E8</t>
  </si>
  <si>
    <t xml:space="preserve">CATH SHOCKWAVE </t>
  </si>
  <si>
    <t>0080569569</t>
  </si>
  <si>
    <t>KT CATH BIOFL DURMX BAS DL VLV</t>
  </si>
  <si>
    <t xml:space="preserve">KT CATH BIOFLO </t>
  </si>
  <si>
    <t>0080569635</t>
  </si>
  <si>
    <t>KT CATH DIAL CHRN VASCPK</t>
  </si>
  <si>
    <t>KT CATH DURAMAX</t>
  </si>
  <si>
    <t>0080569676</t>
  </si>
  <si>
    <t>KT CATH THERMODILUTION</t>
  </si>
  <si>
    <t>KT CATH THERMO</t>
  </si>
  <si>
    <t>0080570260</t>
  </si>
  <si>
    <t>TRY CATH TL NRS MXBR PSS</t>
  </si>
  <si>
    <t>PWRPICC PROVENA</t>
  </si>
  <si>
    <t>0080570294</t>
  </si>
  <si>
    <t>TRY CATH PICC DL MXBAR SHRLCK</t>
  </si>
  <si>
    <t>TRY POWERPICC P</t>
  </si>
  <si>
    <t>0080570302</t>
  </si>
  <si>
    <t>TRY CATH CV PWRLIN DL MCROINTD</t>
  </si>
  <si>
    <t>TRY CATH CV POW</t>
  </si>
  <si>
    <t>0080570310</t>
  </si>
  <si>
    <t>TRY CATH PICC SL BIOPTCH SHRLK</t>
  </si>
  <si>
    <t>0080570328</t>
  </si>
  <si>
    <t>TRY CATH PWRGLIDE PRO RNFC TIP</t>
  </si>
  <si>
    <t xml:space="preserve">TRY PWRGLD PRO </t>
  </si>
  <si>
    <t>0080580459</t>
  </si>
  <si>
    <t>CATH COR DIAG OPTITORQUE</t>
  </si>
  <si>
    <t>CATH OPTITORQUE</t>
  </si>
  <si>
    <t>0080580491</t>
  </si>
  <si>
    <t>CATH CROSSING VIANCE</t>
  </si>
  <si>
    <t>CATH VIANCE</t>
  </si>
  <si>
    <t>0080582307</t>
  </si>
  <si>
    <t>CATH PTA BLN DIL OTW JADE</t>
  </si>
  <si>
    <t>CATH PTA BLN DI</t>
  </si>
  <si>
    <t>0080582596</t>
  </si>
  <si>
    <t>CATH PTA DIL ATLAS GOLD</t>
  </si>
  <si>
    <t>CATH PTA DILAT</t>
  </si>
  <si>
    <t>0080582604</t>
  </si>
  <si>
    <t>CATH PTA IN.PACT ADMIRAL</t>
  </si>
  <si>
    <t>CATH BLN PCLTXL</t>
  </si>
  <si>
    <t>0080582752</t>
  </si>
  <si>
    <t>CATH BLN IN.PACT DCB</t>
  </si>
  <si>
    <t>CATH BLN IN.PAC</t>
  </si>
  <si>
    <t>0080582786</t>
  </si>
  <si>
    <t>CATH SUPPORT VIPERCROSS CSI</t>
  </si>
  <si>
    <t>CATH SUPPORT VI</t>
  </si>
  <si>
    <t>0080582794</t>
  </si>
  <si>
    <t>CATH SUPPORT CXI</t>
  </si>
  <si>
    <t>CATH SUPPRT CXI</t>
  </si>
  <si>
    <t>0080582984</t>
  </si>
  <si>
    <t>DVC ATHERET DIRECTIONAL</t>
  </si>
  <si>
    <t>DVC HAWKONE S</t>
  </si>
  <si>
    <t>0080582992</t>
  </si>
  <si>
    <t>DVC ARTHERET DIRECTIONAL</t>
  </si>
  <si>
    <t>DVC HAWKONE M</t>
  </si>
  <si>
    <t>0080583008</t>
  </si>
  <si>
    <t>DVC ATHERECT DIRECTONAL</t>
  </si>
  <si>
    <t>DVC HAWKONE LS</t>
  </si>
  <si>
    <t>0080583016</t>
  </si>
  <si>
    <t>DVC ATHERECT DIRECTIONAL</t>
  </si>
  <si>
    <t>DVC HAWKONE LX</t>
  </si>
  <si>
    <t>0080583347</t>
  </si>
  <si>
    <t>KT CATH PROVENA MIDLN MAX BAR</t>
  </si>
  <si>
    <t>KT CATH PROVENA</t>
  </si>
  <si>
    <t>0080585029</t>
  </si>
  <si>
    <t>SYS ATHERECTOMY PHOENIX</t>
  </si>
  <si>
    <t>SYS ATHERECTOMY</t>
  </si>
  <si>
    <t>0080599012</t>
  </si>
  <si>
    <t>CATH BALLOON DCB SURVEIL</t>
  </si>
  <si>
    <t xml:space="preserve">CATH BALLN DCB </t>
  </si>
  <si>
    <t>0080599020</t>
  </si>
  <si>
    <t>KIT CATHETER JETI</t>
  </si>
  <si>
    <t>KIT CATHETER JE</t>
  </si>
  <si>
    <t>0080603004</t>
  </si>
  <si>
    <t>COIL EMBOLIC DETACH</t>
  </si>
  <si>
    <t>COIL EMB DETACH</t>
  </si>
  <si>
    <t>0080620560</t>
  </si>
  <si>
    <t>STNT B WALLFLEX RX CVR</t>
  </si>
  <si>
    <t>STNT WALLFLX RX</t>
  </si>
  <si>
    <t>0080620818</t>
  </si>
  <si>
    <t>STNT C REBEL MR BMS</t>
  </si>
  <si>
    <t>STNT C REBEL</t>
  </si>
  <si>
    <t>0080620834</t>
  </si>
  <si>
    <t>STNT COR RESOLUTE ONYX DES RX</t>
  </si>
  <si>
    <t>STNT RESOLUTE O</t>
  </si>
  <si>
    <t>0080621261</t>
  </si>
  <si>
    <t>STNT SYS TACK ENDOVASCULAR ATK</t>
  </si>
  <si>
    <t>STNT SYS TACK E</t>
  </si>
  <si>
    <t>0080621386</t>
  </si>
  <si>
    <t>STNT VASCULAR RADIANZ</t>
  </si>
  <si>
    <t>STNT VASCULAR R</t>
  </si>
  <si>
    <t>0080621550</t>
  </si>
  <si>
    <t>STNT URETERAL</t>
  </si>
  <si>
    <t>0080621626</t>
  </si>
  <si>
    <t>STNT PERIPH PTX 6X140 DES</t>
  </si>
  <si>
    <t>STNT PERPH PTX</t>
  </si>
  <si>
    <t>0080621634</t>
  </si>
  <si>
    <t>STNT PERIPH PTX 6X60 DES</t>
  </si>
  <si>
    <t>0080621717</t>
  </si>
  <si>
    <t>STNT PERIPH PTX 5X40 DES</t>
  </si>
  <si>
    <t>0080621725</t>
  </si>
  <si>
    <t>STNT PERIPH PTX 6X120 DES</t>
  </si>
  <si>
    <t>0080622038</t>
  </si>
  <si>
    <t>SYS STNT TRANSCAROTID</t>
  </si>
  <si>
    <t>SYS ENROUTE</t>
  </si>
  <si>
    <t>0080622053</t>
  </si>
  <si>
    <t>STNT COR XIENCE SIERRA EE RX</t>
  </si>
  <si>
    <t>STNT C XIENCE S</t>
  </si>
  <si>
    <t>0080622061</t>
  </si>
  <si>
    <t>STNT C SYNERGY DES MR</t>
  </si>
  <si>
    <t>STNT C SYNERGY</t>
  </si>
  <si>
    <t>0080622111</t>
  </si>
  <si>
    <t>STNT B PALMZ GENES TRNHP</t>
  </si>
  <si>
    <t>STNT B PALMAZ</t>
  </si>
  <si>
    <t>0080622665</t>
  </si>
  <si>
    <t>STNT NEPHROURETEROSTOMY COPE</t>
  </si>
  <si>
    <t>STNT NEPHROURET</t>
  </si>
  <si>
    <t>0080622715</t>
  </si>
  <si>
    <t>STNT PERIPH PTX DRG ELUT</t>
  </si>
  <si>
    <t>STNT ZILVER PTX</t>
  </si>
  <si>
    <t>0080622723</t>
  </si>
  <si>
    <t>STNT PERIPHERAL SUPERA</t>
  </si>
  <si>
    <t>STENT PERIPHERL</t>
  </si>
  <si>
    <t>0080622749</t>
  </si>
  <si>
    <t>STNT PERPH EVRFLX ENTRST</t>
  </si>
  <si>
    <t>STNT EVERFLEX</t>
  </si>
  <si>
    <t>0080675036</t>
  </si>
  <si>
    <t>SYS STNT VENOUS SLF EXP ABRE</t>
  </si>
  <si>
    <t>STNT VENOUS SLF</t>
  </si>
  <si>
    <t>0080675044</t>
  </si>
  <si>
    <t>SYS TACK ENDOVASCULAR</t>
  </si>
  <si>
    <t>SYS TACK ENDOVA</t>
  </si>
  <si>
    <t>0080699002</t>
  </si>
  <si>
    <t>STNT BILIARY TRANSHEPTIC SMART</t>
  </si>
  <si>
    <t>STNT BILIARY TR</t>
  </si>
  <si>
    <t>0080730260</t>
  </si>
  <si>
    <t>GDE PRESSURE OMNIWIRE</t>
  </si>
  <si>
    <t>GDE PRESSURE OM</t>
  </si>
  <si>
    <t>0080730328</t>
  </si>
  <si>
    <t>GW ASAHI SION BLACK</t>
  </si>
  <si>
    <t>GW SION BLACK</t>
  </si>
  <si>
    <t>0080730344</t>
  </si>
  <si>
    <t>GDE MICROWR APPROACH CTO</t>
  </si>
  <si>
    <t>GDE MICROWIRE</t>
  </si>
  <si>
    <t>0080730567</t>
  </si>
  <si>
    <t>GW TRANSCAROTID ENROUTE STRT</t>
  </si>
  <si>
    <t>GW TRANSCAROTID</t>
  </si>
  <si>
    <t>0080730609</t>
  </si>
  <si>
    <t>GW</t>
  </si>
  <si>
    <t>0080731003</t>
  </si>
  <si>
    <t>GW COOK</t>
  </si>
  <si>
    <t>0080731045</t>
  </si>
  <si>
    <t>GW CURVED TEFLON</t>
  </si>
  <si>
    <t>GW CURVE TEFLON</t>
  </si>
  <si>
    <t>0080731441</t>
  </si>
  <si>
    <t>GW DRILL TIP</t>
  </si>
  <si>
    <t>0080731508</t>
  </si>
  <si>
    <t>GW F/TIP</t>
  </si>
  <si>
    <t>0080731615</t>
  </si>
  <si>
    <t>GW HI-TRQ ADVANCE</t>
  </si>
  <si>
    <t>GW HI-TRQ ADVAN</t>
  </si>
  <si>
    <t>0080731656</t>
  </si>
  <si>
    <t>GW INTR</t>
  </si>
  <si>
    <t>0080732100</t>
  </si>
  <si>
    <t>GW ST/FT</t>
  </si>
  <si>
    <t>0080732449</t>
  </si>
  <si>
    <t>GW STRI FIX CORE ALL</t>
  </si>
  <si>
    <t>GW STRI FX CORE</t>
  </si>
  <si>
    <t>0080732506</t>
  </si>
  <si>
    <t>GW STTIP</t>
  </si>
  <si>
    <t>0080732571</t>
  </si>
  <si>
    <t>SHTH GUIDING ANSEL</t>
  </si>
  <si>
    <t>SHTH GUIDING</t>
  </si>
  <si>
    <t>0080735046</t>
  </si>
  <si>
    <t>GW PRESSURE VERRATA</t>
  </si>
  <si>
    <t>GW VERRATA</t>
  </si>
  <si>
    <t>0080735103</t>
  </si>
  <si>
    <t>GW PHOENIX SILI COAT NITL FLOP</t>
  </si>
  <si>
    <t>GW PHX SILI COA</t>
  </si>
  <si>
    <t>0080735277</t>
  </si>
  <si>
    <t>GW PERIPH FATHOM STEERABLE NIT</t>
  </si>
  <si>
    <t>GW PERIPH FATHO</t>
  </si>
  <si>
    <t>0080810195</t>
  </si>
  <si>
    <t>KT INSTR ACCESS INTRACEPT</t>
  </si>
  <si>
    <t>KT INS ACCESS I</t>
  </si>
  <si>
    <t>0080812019</t>
  </si>
  <si>
    <t>INST DUODENOSCOPE SINGLE USE</t>
  </si>
  <si>
    <t>DUODENOSCOPE EX</t>
  </si>
  <si>
    <t>0080818289</t>
  </si>
  <si>
    <t>KT ACCESSORY SELECTRA</t>
  </si>
  <si>
    <t>KT ACCESSORY</t>
  </si>
  <si>
    <t>0080818636</t>
  </si>
  <si>
    <t>KT ASPIRATION TB CAT RX INDIGO</t>
  </si>
  <si>
    <t>KT ASPIRATION C</t>
  </si>
  <si>
    <t>0080821572</t>
  </si>
  <si>
    <t>KT INTRO MICRO</t>
  </si>
  <si>
    <t>0080822166</t>
  </si>
  <si>
    <t>KT MICROPUNCT INTRO</t>
  </si>
  <si>
    <t>KT PUNCT INTRO</t>
  </si>
  <si>
    <t>0080822190</t>
  </si>
  <si>
    <t>KT INTRO MICRO TCAR ENROUTE</t>
  </si>
  <si>
    <t>KT INTRO TCAR E</t>
  </si>
  <si>
    <t>0080823628</t>
  </si>
  <si>
    <t>KT PERC THROM DVC</t>
  </si>
  <si>
    <t>KT PER THROM DV</t>
  </si>
  <si>
    <t>0080824519</t>
  </si>
  <si>
    <t>KT REPAIR SYNDESMOSIS</t>
  </si>
  <si>
    <t>KT REPAIR SYNDE</t>
  </si>
  <si>
    <t>0080824576</t>
  </si>
  <si>
    <t>KT REVISION INTRATH CATH</t>
  </si>
  <si>
    <t>KIT REVISION</t>
  </si>
  <si>
    <t>0080824741</t>
  </si>
  <si>
    <t>KT HUM ULNAR ARTICUL NEXEL ZIM</t>
  </si>
  <si>
    <t>KT HUM ULNAR AR</t>
  </si>
  <si>
    <t>0080827322</t>
  </si>
  <si>
    <t>ST MICROPUNCTURE INTROD W/GW</t>
  </si>
  <si>
    <t>ST MICROPNCT IN</t>
  </si>
  <si>
    <t>0080827496</t>
  </si>
  <si>
    <t>ST PERCUTN ACCESS NEFF</t>
  </si>
  <si>
    <t>ST PERCT ACCESS</t>
  </si>
  <si>
    <t>0080829880</t>
  </si>
  <si>
    <t>SYS SNARE ENDOVASCULAR</t>
  </si>
  <si>
    <t>SYS EN SNARE</t>
  </si>
  <si>
    <t>0080833155</t>
  </si>
  <si>
    <t>TRY CVP TRI LUM</t>
  </si>
  <si>
    <t>0080869787</t>
  </si>
  <si>
    <t>SYS SPINL CMNT DEL ZAVATION</t>
  </si>
  <si>
    <t xml:space="preserve">SYS SPINL CMNT </t>
  </si>
  <si>
    <t>0080869837</t>
  </si>
  <si>
    <t>ST ANCH GASTROINT W/FSTN</t>
  </si>
  <si>
    <t>ST ANCH GASTRO</t>
  </si>
  <si>
    <t>0080869894</t>
  </si>
  <si>
    <t>SYS FIBERTAK BICEPS IMPLANT</t>
  </si>
  <si>
    <t>FIBERTAK BICEPS</t>
  </si>
  <si>
    <t>0081020430</t>
  </si>
  <si>
    <t>SYS CAST TOTAL CONTACT</t>
  </si>
  <si>
    <t>SYS TOTL CONTCT</t>
  </si>
  <si>
    <t>0081210650</t>
  </si>
  <si>
    <t>EAR TUBE</t>
  </si>
  <si>
    <t>0081220279</t>
  </si>
  <si>
    <t>EYE GRFT HUMAN</t>
  </si>
  <si>
    <t>0081220394</t>
  </si>
  <si>
    <t>EYE IOL ASPHERIC</t>
  </si>
  <si>
    <t>EYE IOL ASPHERI</t>
  </si>
  <si>
    <t>0081220444</t>
  </si>
  <si>
    <t>IOL POSTERIOR CHMBR</t>
  </si>
  <si>
    <t>IOL POST CHMBR</t>
  </si>
  <si>
    <t>0081220642</t>
  </si>
  <si>
    <t>IOL ANTERIOR CHAMBER</t>
  </si>
  <si>
    <t>IOL ANT CHMBR</t>
  </si>
  <si>
    <t>0081229445</t>
  </si>
  <si>
    <t>IMP SINUS STEROID RELEAS</t>
  </si>
  <si>
    <t>IMP PROPEL</t>
  </si>
  <si>
    <t>0081237000</t>
  </si>
  <si>
    <t>RING CAPSULAR TENSION</t>
  </si>
  <si>
    <t>RING CAPSULAR</t>
  </si>
  <si>
    <t>0081300121</t>
  </si>
  <si>
    <t>PNEUMATC ANKL CNTR SPLNT</t>
  </si>
  <si>
    <t>PENUMTC ANK SPL</t>
  </si>
  <si>
    <t>0081300212</t>
  </si>
  <si>
    <t>WHFO WRST EXT NONMOLD</t>
  </si>
  <si>
    <t>WHFO WRST EXT</t>
  </si>
  <si>
    <t>0081300477</t>
  </si>
  <si>
    <t>KO ADJ JNT POS RIGD SPPT</t>
  </si>
  <si>
    <t>KO ADJ JT POS R</t>
  </si>
  <si>
    <t>0081300501</t>
  </si>
  <si>
    <t>SOFT INTERFC BLW KNEE SE</t>
  </si>
  <si>
    <t>SFT INTFC BLW K</t>
  </si>
  <si>
    <t>0081300618</t>
  </si>
  <si>
    <t>AFO ANKLE GAUNTLET</t>
  </si>
  <si>
    <t>AFO ANKLE GAUNT</t>
  </si>
  <si>
    <t>0081301095</t>
  </si>
  <si>
    <t>ORTH LSO SAG CTRL SAC-T9</t>
  </si>
  <si>
    <t>LSO SAG SAC-T9</t>
  </si>
  <si>
    <t>0081301368</t>
  </si>
  <si>
    <t>AFO ANT TIB SPIRAL</t>
  </si>
  <si>
    <t>AFO ANT TIB SPI</t>
  </si>
  <si>
    <t>0081301665</t>
  </si>
  <si>
    <t>ASCN PIP FNGR RPLCMNT</t>
  </si>
  <si>
    <t>ASCN PIP FNGR</t>
  </si>
  <si>
    <t>0081301673</t>
  </si>
  <si>
    <t>ASNCN SPIP JNT SPCR</t>
  </si>
  <si>
    <t>ASNCN SPIP JNT</t>
  </si>
  <si>
    <t>0081302366</t>
  </si>
  <si>
    <t>PROS RADIAL STEM</t>
  </si>
  <si>
    <t>PROS RADL STEM</t>
  </si>
  <si>
    <t>0081302374</t>
  </si>
  <si>
    <t>PROS ULNAR STEM</t>
  </si>
  <si>
    <t>0081302747</t>
  </si>
  <si>
    <t>SCRW MANDIBULAR</t>
  </si>
  <si>
    <t>SCRW MAND</t>
  </si>
  <si>
    <t>0081310005</t>
  </si>
  <si>
    <t>ACETABULR COMP</t>
  </si>
  <si>
    <t>0081310146</t>
  </si>
  <si>
    <t>ARTICULAR COMPONENT</t>
  </si>
  <si>
    <t>ARTICULR COMP</t>
  </si>
  <si>
    <t>0081310203</t>
  </si>
  <si>
    <t>ANCH SUT HEALICOIL KNOTLESS SN</t>
  </si>
  <si>
    <t>ANCH SUT HEALIC</t>
  </si>
  <si>
    <t>0081310211</t>
  </si>
  <si>
    <t>ANCHOR SELF-PUNCHING FIBERTAK</t>
  </si>
  <si>
    <t>ANCHOR FIBERTAK</t>
  </si>
  <si>
    <t>0081310229</t>
  </si>
  <si>
    <t>ANCHOR FLEXBAND EYELET W/DRIVR</t>
  </si>
  <si>
    <t>ANCHOR FLEXBAND</t>
  </si>
  <si>
    <t>0081312415</t>
  </si>
  <si>
    <t>SYS SHLDR ANAT OFFSET INHANCE</t>
  </si>
  <si>
    <t xml:space="preserve">SYS SHLDR ANAT </t>
  </si>
  <si>
    <t>0081312431</t>
  </si>
  <si>
    <t>HUMERL HEAD INHANCE</t>
  </si>
  <si>
    <t>HUMERL HD INHAN</t>
  </si>
  <si>
    <t>0081312449</t>
  </si>
  <si>
    <t>STEM STANDARD INHANCE</t>
  </si>
  <si>
    <t>STEM STANDARD I</t>
  </si>
  <si>
    <t>0081312464</t>
  </si>
  <si>
    <t>BASEPLATE MODULAR INHANCE</t>
  </si>
  <si>
    <t>BASEPLATE MOD I</t>
  </si>
  <si>
    <t>0081312555</t>
  </si>
  <si>
    <t>GLENOID ANATOMIC INHANCE</t>
  </si>
  <si>
    <t>GLENOID ANATOMI</t>
  </si>
  <si>
    <t>0081312704</t>
  </si>
  <si>
    <t>BN CARTILAGE</t>
  </si>
  <si>
    <t>0081312753</t>
  </si>
  <si>
    <t>BN CHIPS</t>
  </si>
  <si>
    <t>0081312761</t>
  </si>
  <si>
    <t>BN FILLER</t>
  </si>
  <si>
    <t>0081312811</t>
  </si>
  <si>
    <t>BN GRANUELS 10CC</t>
  </si>
  <si>
    <t>BN GRANUEL 10CC</t>
  </si>
  <si>
    <t>0081312852</t>
  </si>
  <si>
    <t>BN GRFT</t>
  </si>
  <si>
    <t>0081312894</t>
  </si>
  <si>
    <t>BN GRFT INJ 5CC</t>
  </si>
  <si>
    <t>0081312944</t>
  </si>
  <si>
    <t>BN GRFT INJ 10CC</t>
  </si>
  <si>
    <t>BN GRFT INJ 10</t>
  </si>
  <si>
    <t>0081312951</t>
  </si>
  <si>
    <t>BN INJECTABLE SUBSTI TACTOSET</t>
  </si>
  <si>
    <t>BN INJECT SUB T</t>
  </si>
  <si>
    <t>0081313017</t>
  </si>
  <si>
    <t>BN CEMENT INJ HYDROSET XT</t>
  </si>
  <si>
    <t>BN CEMENT HYDRO</t>
  </si>
  <si>
    <t>0081315137</t>
  </si>
  <si>
    <t>CBLE FIX BN</t>
  </si>
  <si>
    <t>0081315202</t>
  </si>
  <si>
    <t>CEMT BN</t>
  </si>
  <si>
    <t>0081315210</t>
  </si>
  <si>
    <t>CEMT BN 2</t>
  </si>
  <si>
    <t>0081315228</t>
  </si>
  <si>
    <t>CEMT BN W/ANTIBIOTIC</t>
  </si>
  <si>
    <t>CEMT W/ANTIBIOT</t>
  </si>
  <si>
    <t>0081315285</t>
  </si>
  <si>
    <t>CEMT MEDIUM VISCUS</t>
  </si>
  <si>
    <t>CEMT MEDIUM VIS</t>
  </si>
  <si>
    <t>0081315293</t>
  </si>
  <si>
    <t>CEMENT HIGH VISCOSITY</t>
  </si>
  <si>
    <t>CEMENT HIGH VIS</t>
  </si>
  <si>
    <t>0081315483</t>
  </si>
  <si>
    <t>COMPONENT ARTICULAR CAPITATE</t>
  </si>
  <si>
    <t>COMPONENT CAPIT</t>
  </si>
  <si>
    <t>0081315517</t>
  </si>
  <si>
    <t>CONNECTOR IMP ALL</t>
  </si>
  <si>
    <t>CONNECTOR IMP A</t>
  </si>
  <si>
    <t>0081315699</t>
  </si>
  <si>
    <t>DVC FIX TOGGLELOC PE ZIP</t>
  </si>
  <si>
    <t>DVC FEM FIX</t>
  </si>
  <si>
    <t>0081321259</t>
  </si>
  <si>
    <t>EXFX HOF CON ROD</t>
  </si>
  <si>
    <t>EXFX HOF CON RD</t>
  </si>
  <si>
    <t>0081321903</t>
  </si>
  <si>
    <t>EXFX WIRE BAYONT PT CORT</t>
  </si>
  <si>
    <t>EXFX WIRE BAYON</t>
  </si>
  <si>
    <t>0081323008</t>
  </si>
  <si>
    <t>IMP BALLOON INSPACE</t>
  </si>
  <si>
    <t>IMP BALLOON INS</t>
  </si>
  <si>
    <t>0081325003</t>
  </si>
  <si>
    <t>FEM COMPONENT</t>
  </si>
  <si>
    <t>0081325102</t>
  </si>
  <si>
    <t>FEM NAIL</t>
  </si>
  <si>
    <t>0081326100</t>
  </si>
  <si>
    <t>IMP FLEXIGRFT CANN RVSN DOWEL</t>
  </si>
  <si>
    <t>FLEXIGRFT REVIS</t>
  </si>
  <si>
    <t>0081326118</t>
  </si>
  <si>
    <t>IMP NAIL FIBULAR</t>
  </si>
  <si>
    <t>IMP NAIL FIBULA</t>
  </si>
  <si>
    <t>0081326126</t>
  </si>
  <si>
    <t>IMP NAIL LAPIDUS</t>
  </si>
  <si>
    <t>IMP NAIL LAPIDU</t>
  </si>
  <si>
    <t>0081326688</t>
  </si>
  <si>
    <t>IMP STEM PRESS FIT TSS</t>
  </si>
  <si>
    <t xml:space="preserve">IMP STEM PRESS </t>
  </si>
  <si>
    <t>0081328064</t>
  </si>
  <si>
    <t>SCRW HEADLESS</t>
  </si>
  <si>
    <t>0081328098</t>
  </si>
  <si>
    <t>HFO W/JOINTS CUSTOM FABRICATED</t>
  </si>
  <si>
    <t>HFO W/JOINTS CF</t>
  </si>
  <si>
    <t>0081328700</t>
  </si>
  <si>
    <t>IMP MENISCAL JUGGERSTITCH CRVD</t>
  </si>
  <si>
    <t>IMP MENISCAL JU</t>
  </si>
  <si>
    <t>0081329005</t>
  </si>
  <si>
    <t>IMP BN</t>
  </si>
  <si>
    <t>0081329047</t>
  </si>
  <si>
    <t>IMP BN CORTICAL</t>
  </si>
  <si>
    <t>0081329054</t>
  </si>
  <si>
    <t>IMP HIP SPACER</t>
  </si>
  <si>
    <t>0081329062</t>
  </si>
  <si>
    <t>IMP BN FIBULA</t>
  </si>
  <si>
    <t>0081329096</t>
  </si>
  <si>
    <t>IMP BN PATELLA TENDON</t>
  </si>
  <si>
    <t>IMP BN PATELLA</t>
  </si>
  <si>
    <t>0081329195</t>
  </si>
  <si>
    <t>IMP MENISCAL SYS</t>
  </si>
  <si>
    <t>IMP MENISCL SYS</t>
  </si>
  <si>
    <t>0081329245</t>
  </si>
  <si>
    <t>IMP HELICAL BLADE</t>
  </si>
  <si>
    <t>IMP HELICAL BLD</t>
  </si>
  <si>
    <t>0081329278</t>
  </si>
  <si>
    <t>IMP NAIL TROCHANTER</t>
  </si>
  <si>
    <t>IMP NAIL TROCHN</t>
  </si>
  <si>
    <t>0081329427</t>
  </si>
  <si>
    <t>IMP TENDON ACHILLES</t>
  </si>
  <si>
    <t>IMP TENDN ACHIL</t>
  </si>
  <si>
    <t>0081329468</t>
  </si>
  <si>
    <t>IMP NAIL CAP</t>
  </si>
  <si>
    <t>0081329484</t>
  </si>
  <si>
    <t>IMP TENDON TIBIALIS</t>
  </si>
  <si>
    <t>IMP TENDON TIB</t>
  </si>
  <si>
    <t>0081329500</t>
  </si>
  <si>
    <t>K WIRE</t>
  </si>
  <si>
    <t>0081329518</t>
  </si>
  <si>
    <t>IMP COUPLER OFFSET</t>
  </si>
  <si>
    <t>IMP COUPLER</t>
  </si>
  <si>
    <t>0081329583</t>
  </si>
  <si>
    <t>KT BN CEMT W MIXER</t>
  </si>
  <si>
    <t>KT BN CEMT/MIXR</t>
  </si>
  <si>
    <t>0081329666</t>
  </si>
  <si>
    <t>KT REPR MED PATL FEM LIG</t>
  </si>
  <si>
    <t>KIT REPR MPFL</t>
  </si>
  <si>
    <t>0081329732</t>
  </si>
  <si>
    <t>KT SCREW SYSTEM ARCPHIX</t>
  </si>
  <si>
    <t>KT SCREW SYSTEM</t>
  </si>
  <si>
    <t>0081329880</t>
  </si>
  <si>
    <t>IMP CABLE STAINLESS STEEL EVOS</t>
  </si>
  <si>
    <t>IMP CABLE SET E</t>
  </si>
  <si>
    <t>0081329898</t>
  </si>
  <si>
    <t>IMP CABLE SADDLE EVOS</t>
  </si>
  <si>
    <t>IMP CBLE SADDLE</t>
  </si>
  <si>
    <t>0081330011</t>
  </si>
  <si>
    <t>NAIL INTRAMEDULLARY TYP1</t>
  </si>
  <si>
    <t>NAIL INTRAMEDUL</t>
  </si>
  <si>
    <t>0081330250</t>
  </si>
  <si>
    <t>NAIL HUMERAL</t>
  </si>
  <si>
    <t>0081330755</t>
  </si>
  <si>
    <t>NAIL TIBIA</t>
  </si>
  <si>
    <t>0081331860</t>
  </si>
  <si>
    <t>PLATE ULNAR</t>
  </si>
  <si>
    <t>0081332579</t>
  </si>
  <si>
    <t>ORTH TLSO TRPLNR 4 RGD</t>
  </si>
  <si>
    <t>TLSO TRPLNR 4R</t>
  </si>
  <si>
    <t>0081335408</t>
  </si>
  <si>
    <t>PIN ABSORBABLE</t>
  </si>
  <si>
    <t>0081335424</t>
  </si>
  <si>
    <t>PIN FIXATION PROVISIONAL</t>
  </si>
  <si>
    <t>PIN FIXATION</t>
  </si>
  <si>
    <t>0081336356</t>
  </si>
  <si>
    <t>PIN STEINMAN PL</t>
  </si>
  <si>
    <t>0081336455</t>
  </si>
  <si>
    <t>PINS LG EXT FIX</t>
  </si>
  <si>
    <t>0081336638</t>
  </si>
  <si>
    <t>PLT ANT LAT DISTL TIBIA</t>
  </si>
  <si>
    <t>PLT ANTLAT TIB</t>
  </si>
  <si>
    <t>0081336752</t>
  </si>
  <si>
    <t>PLT BN MED</t>
  </si>
  <si>
    <t>0081336760</t>
  </si>
  <si>
    <t>PLT CARPAL VARIOUS SIZE</t>
  </si>
  <si>
    <t>PLT CARPAL VARI</t>
  </si>
  <si>
    <t>0081336844</t>
  </si>
  <si>
    <t>PLT CARPEL ARTHODESIS</t>
  </si>
  <si>
    <t>PLT CARPEL</t>
  </si>
  <si>
    <t>0081336851</t>
  </si>
  <si>
    <t>PLT CERV SPINE</t>
  </si>
  <si>
    <t>0081336885</t>
  </si>
  <si>
    <t>PLT CLAW FT/ANKL</t>
  </si>
  <si>
    <t>CLAW PLT</t>
  </si>
  <si>
    <t>0081336992</t>
  </si>
  <si>
    <t>PLT COMP LCP</t>
  </si>
  <si>
    <t>0081337008</t>
  </si>
  <si>
    <t>PLT COMPRESSION</t>
  </si>
  <si>
    <t>0081337099</t>
  </si>
  <si>
    <t>PLT DISTL FIBULA LCK</t>
  </si>
  <si>
    <t>PLT DSTL FIBULA</t>
  </si>
  <si>
    <t>0081337123</t>
  </si>
  <si>
    <t>PLT DISTAL LATERAL FEMUR</t>
  </si>
  <si>
    <t>PLT DST LAT FEM</t>
  </si>
  <si>
    <t>0081337149</t>
  </si>
  <si>
    <t>PLT DORSAL DR</t>
  </si>
  <si>
    <t>0081337172</t>
  </si>
  <si>
    <t>PLATE LCKG METACARPAL DORSAL</t>
  </si>
  <si>
    <t>PLT LCKG METACA</t>
  </si>
  <si>
    <t>0081337180</t>
  </si>
  <si>
    <t>PLATE LATERAL FIBULA ALL SIZES</t>
  </si>
  <si>
    <t xml:space="preserve">PLT LAT FIBULA </t>
  </si>
  <si>
    <t>0081337503</t>
  </si>
  <si>
    <t>PLT E CONDYLR</t>
  </si>
  <si>
    <t>0081338220</t>
  </si>
  <si>
    <t>PLT DORSAL ULNER PIN</t>
  </si>
  <si>
    <t>PLT DORSAL PIN</t>
  </si>
  <si>
    <t>0081338253</t>
  </si>
  <si>
    <t>PLT E 1/3 TUBE</t>
  </si>
  <si>
    <t>0081338295</t>
  </si>
  <si>
    <t>PLT FIBULA COMPOSITE</t>
  </si>
  <si>
    <t>PLT FIBULA</t>
  </si>
  <si>
    <t>0081338410</t>
  </si>
  <si>
    <t>PLT OLECRANON</t>
  </si>
  <si>
    <t>0081338451</t>
  </si>
  <si>
    <t>PLT RECONTSRCT</t>
  </si>
  <si>
    <t>0081338881</t>
  </si>
  <si>
    <t>PLT VOLAR RADIUS</t>
  </si>
  <si>
    <t>PLT VOLAR RAD</t>
  </si>
  <si>
    <t>0081338915</t>
  </si>
  <si>
    <t>PLT WRIST LCKNG</t>
  </si>
  <si>
    <t>0081338964</t>
  </si>
  <si>
    <t>PLT LC CLAVICLE TIT</t>
  </si>
  <si>
    <t>PLT LC CLAVICLE</t>
  </si>
  <si>
    <t>0081338972</t>
  </si>
  <si>
    <t>PLT LC LAT PROX HUMERAL</t>
  </si>
  <si>
    <t>PLT LC HUMERAL</t>
  </si>
  <si>
    <t>0081338980</t>
  </si>
  <si>
    <t>PLT PROX HUMERAL</t>
  </si>
  <si>
    <t>PLT PROX HUMERL</t>
  </si>
  <si>
    <t>0081338998</t>
  </si>
  <si>
    <t>PLT VOLAR DISTAL RADIUS</t>
  </si>
  <si>
    <t>0081340002</t>
  </si>
  <si>
    <t>PLT/TUBE E COM</t>
  </si>
  <si>
    <t>0081340010</t>
  </si>
  <si>
    <t>PEG LOCKING IMP</t>
  </si>
  <si>
    <t>PEG LOCKING</t>
  </si>
  <si>
    <t>0081340036</t>
  </si>
  <si>
    <t>POST TAPER</t>
  </si>
  <si>
    <t>0081340358</t>
  </si>
  <si>
    <t>PLT WRIST DORSAL HOOK</t>
  </si>
  <si>
    <t>PLT WRST DORSAL</t>
  </si>
  <si>
    <t>0081341505</t>
  </si>
  <si>
    <t>PROS ARTICULAR SURFACE</t>
  </si>
  <si>
    <t>PROS ARTIC SURF</t>
  </si>
  <si>
    <t>0081342511</t>
  </si>
  <si>
    <t>PROS ELBOW</t>
  </si>
  <si>
    <t>0081342800</t>
  </si>
  <si>
    <t>PROS FINGER JNT</t>
  </si>
  <si>
    <t>0081342826</t>
  </si>
  <si>
    <t>PROS GLENOSPH UNIV REVRS</t>
  </si>
  <si>
    <t>PROS GLENOSPHER</t>
  </si>
  <si>
    <t>0081342990</t>
  </si>
  <si>
    <t>PROS HIP ACET INSERT</t>
  </si>
  <si>
    <t>PROS HIP INSERT</t>
  </si>
  <si>
    <t>0081343105</t>
  </si>
  <si>
    <t>PROS HIP CENTRA</t>
  </si>
  <si>
    <t>0081343519</t>
  </si>
  <si>
    <t>PROS HUMERAL ASSEMBLY</t>
  </si>
  <si>
    <t>PROS HUMERAL</t>
  </si>
  <si>
    <t>0081343527</t>
  </si>
  <si>
    <t>PROS HUMERAL HD</t>
  </si>
  <si>
    <t>0081343543</t>
  </si>
  <si>
    <t>PROS HUMERAL STEM</t>
  </si>
  <si>
    <t>PROS HUMERL STM</t>
  </si>
  <si>
    <t>0081343808</t>
  </si>
  <si>
    <t>PROS KNE/INSERT</t>
  </si>
  <si>
    <t>0081344004</t>
  </si>
  <si>
    <t>PROS KNE/TIBIAL</t>
  </si>
  <si>
    <t>0081344335</t>
  </si>
  <si>
    <t>PROS METACARPOPHALANGEAL</t>
  </si>
  <si>
    <t>PROS METACARP</t>
  </si>
  <si>
    <t>0081344350</t>
  </si>
  <si>
    <t>PROS RADIAL HEAD</t>
  </si>
  <si>
    <t>PROS RADIAL HEA</t>
  </si>
  <si>
    <t>0081344608</t>
  </si>
  <si>
    <t>PROS TENDON RD</t>
  </si>
  <si>
    <t>0081344954</t>
  </si>
  <si>
    <t>PROS TOE HAMMER</t>
  </si>
  <si>
    <t>0081345001</t>
  </si>
  <si>
    <t>PROS TOE HINGE</t>
  </si>
  <si>
    <t>0081345092</t>
  </si>
  <si>
    <t>PROS ULNAR ASSEMBLY</t>
  </si>
  <si>
    <t>PROS ULNAR ASSM</t>
  </si>
  <si>
    <t>0081345100</t>
  </si>
  <si>
    <t>PROS ULNAR HEAD</t>
  </si>
  <si>
    <t>0081350308</t>
  </si>
  <si>
    <t>RD SPINAL</t>
  </si>
  <si>
    <t>0081359903</t>
  </si>
  <si>
    <t>SCRW ANTI-ROTATION</t>
  </si>
  <si>
    <t>SCRW ANTIROTATN</t>
  </si>
  <si>
    <t>0081360067</t>
  </si>
  <si>
    <t>SCRW BN</t>
  </si>
  <si>
    <t>0081360216</t>
  </si>
  <si>
    <t>SCRW CANCL</t>
  </si>
  <si>
    <t>0081360307</t>
  </si>
  <si>
    <t>SCRW CANN</t>
  </si>
  <si>
    <t>0081360554</t>
  </si>
  <si>
    <t>SCRW COMPRESS</t>
  </si>
  <si>
    <t>0081360653</t>
  </si>
  <si>
    <t>SCRW COMPRS/LAG</t>
  </si>
  <si>
    <t>0081360679</t>
  </si>
  <si>
    <t>SCRW CORTX</t>
  </si>
  <si>
    <t>0081360711</t>
  </si>
  <si>
    <t>SCRW CORTICAL</t>
  </si>
  <si>
    <t>0081360794</t>
  </si>
  <si>
    <t>SCRW CAGE ECLIPSE ANY SZ</t>
  </si>
  <si>
    <t>SCREW CAGE ECLI</t>
  </si>
  <si>
    <t>0081361156</t>
  </si>
  <si>
    <t>SCRW E SCHANZ</t>
  </si>
  <si>
    <t>0081361305</t>
  </si>
  <si>
    <t>SCRW F/X SPINE</t>
  </si>
  <si>
    <t>0081361404</t>
  </si>
  <si>
    <t>SCRW FIXATION</t>
  </si>
  <si>
    <t>0081361552</t>
  </si>
  <si>
    <t>SCRW HI-TORQUE</t>
  </si>
  <si>
    <t>0081361800</t>
  </si>
  <si>
    <t>SCRW HIP LAG</t>
  </si>
  <si>
    <t>0081361966</t>
  </si>
  <si>
    <t>SCRW LOCKING</t>
  </si>
  <si>
    <t>0081361990</t>
  </si>
  <si>
    <t>SCRW LCK SLF TAP</t>
  </si>
  <si>
    <t>SCRW LCK SLF TP</t>
  </si>
  <si>
    <t>0081362030</t>
  </si>
  <si>
    <t>SCRW METAPHYSEAL</t>
  </si>
  <si>
    <t>SCRW METAPHYSL</t>
  </si>
  <si>
    <t>0081362048</t>
  </si>
  <si>
    <t>SCRW MINI</t>
  </si>
  <si>
    <t>SCRW</t>
  </si>
  <si>
    <t>0081362113</t>
  </si>
  <si>
    <t>SCRW CENTRAL INHANCE</t>
  </si>
  <si>
    <t>SCRW CENTRAL IN</t>
  </si>
  <si>
    <t>0081362238</t>
  </si>
  <si>
    <t>SCRW POLYAXIAL</t>
  </si>
  <si>
    <t>0081362808</t>
  </si>
  <si>
    <t>SCRW TITAN</t>
  </si>
  <si>
    <t>0081362816</t>
  </si>
  <si>
    <t>SCRW TIT SLF DRILL</t>
  </si>
  <si>
    <t>SCRW TIT SLFDRL</t>
  </si>
  <si>
    <t>0081362915</t>
  </si>
  <si>
    <t>SCRW TWIST-OFF</t>
  </si>
  <si>
    <t>0081363129</t>
  </si>
  <si>
    <t>SO ACR/CLAV PREFAB</t>
  </si>
  <si>
    <t>SO ACR/CLAV</t>
  </si>
  <si>
    <t>0081364036</t>
  </si>
  <si>
    <t>IMP TIB PSN HLF BLK ZIM</t>
  </si>
  <si>
    <t>IMP TB PSN HLFB</t>
  </si>
  <si>
    <t>0081364077</t>
  </si>
  <si>
    <t>IMP SCRW COVER REFLECT THRD SN</t>
  </si>
  <si>
    <t xml:space="preserve">IMP SCRW COVER </t>
  </si>
  <si>
    <t>0081364176</t>
  </si>
  <si>
    <t>IMP PSN REV CCK ART SURFAC ZIM</t>
  </si>
  <si>
    <t>IMP PSN REV CCK</t>
  </si>
  <si>
    <t>0081364358</t>
  </si>
  <si>
    <t>IMP STEM DIST PARTL CTD AEQULS</t>
  </si>
  <si>
    <t>IMP STEM DIST P</t>
  </si>
  <si>
    <t>0081364374</t>
  </si>
  <si>
    <t>IMP LCKNG CAP AEQUALIX FLX REV</t>
  </si>
  <si>
    <t>IMP LCKNG CAP A</t>
  </si>
  <si>
    <t>0081364382</t>
  </si>
  <si>
    <t>IMP FEM JUNCTN BX REV ORTHODEV</t>
  </si>
  <si>
    <t xml:space="preserve">IMP FEM JUNCTN </t>
  </si>
  <si>
    <t>0081364390</t>
  </si>
  <si>
    <t>IMP SCRW ASSEMBLY AEQ FLX REV</t>
  </si>
  <si>
    <t>IMP SCRW ASSEMB</t>
  </si>
  <si>
    <t>0081364408</t>
  </si>
  <si>
    <t>SYS DELIVERY S-CORE IMPLANT</t>
  </si>
  <si>
    <t>SYS DELIVERY S-</t>
  </si>
  <si>
    <t>0081364424</t>
  </si>
  <si>
    <t>IMP MIDFT FX BEAM AXIS</t>
  </si>
  <si>
    <t>IMP MIDFT FX BE</t>
  </si>
  <si>
    <t>0081364515</t>
  </si>
  <si>
    <t>IMP SYS SPEED CAP</t>
  </si>
  <si>
    <t>IMP SYS SPEED C</t>
  </si>
  <si>
    <t>0081364572</t>
  </si>
  <si>
    <t>IMP PIP STRGHT/BENT DYNANITE</t>
  </si>
  <si>
    <t>IMP PIP STRGHT/</t>
  </si>
  <si>
    <t>0081364580</t>
  </si>
  <si>
    <t>IMP WRIST RADIAL ANY SIZE</t>
  </si>
  <si>
    <t>IMP WRIST RADIA</t>
  </si>
  <si>
    <t>0081364614</t>
  </si>
  <si>
    <t>IMP NAIL TRIMMABLE FIXATION</t>
  </si>
  <si>
    <t>IMP NAIL OSSIOF</t>
  </si>
  <si>
    <t>0081364622</t>
  </si>
  <si>
    <t>IMP GLENOID CORTILOC PEGGED</t>
  </si>
  <si>
    <t>IMP GLEN CORT A</t>
  </si>
  <si>
    <t>0081364648</t>
  </si>
  <si>
    <t>IMP NAIL MIDFOOT</t>
  </si>
  <si>
    <t>IMP NAIL MIDFOO</t>
  </si>
  <si>
    <t>0081364663</t>
  </si>
  <si>
    <t>IMP BEAM MIDFOOT</t>
  </si>
  <si>
    <t>IMP BEAM MIDFOO</t>
  </si>
  <si>
    <t>0081364762</t>
  </si>
  <si>
    <t>IMP PATELLA SUTUREPLATE II</t>
  </si>
  <si>
    <t>IMP PATELLA SUT</t>
  </si>
  <si>
    <t>0081364820</t>
  </si>
  <si>
    <t>IMP ATTUN CRS RP INS SZ 4 16MM</t>
  </si>
  <si>
    <t>IMP ATTUN CRS R</t>
  </si>
  <si>
    <t>0081364937</t>
  </si>
  <si>
    <t>IMP BASE TIB CEM BEARING DEPUY</t>
  </si>
  <si>
    <t>BASE TIB CEM BE</t>
  </si>
  <si>
    <t>0081364952</t>
  </si>
  <si>
    <t>IMP ATTUNE CRS FEMORAL DEPUY</t>
  </si>
  <si>
    <t>IMP ATTNE CRS F</t>
  </si>
  <si>
    <t>0081365041</t>
  </si>
  <si>
    <t>SPINAL CAGE</t>
  </si>
  <si>
    <t>0081365132</t>
  </si>
  <si>
    <t>IMP ANCHOR EYELT SOLO FLEXBAND</t>
  </si>
  <si>
    <t>IMP ANCHOR EYEL</t>
  </si>
  <si>
    <t>0081365173</t>
  </si>
  <si>
    <t>IMP FLEXBAND VARIOUS SZ</t>
  </si>
  <si>
    <t>IMP FLEXBAND VA</t>
  </si>
  <si>
    <t>0081365199</t>
  </si>
  <si>
    <t>IMP ANCHOR FLEXBAND TWIST</t>
  </si>
  <si>
    <t>IMP ANCH FLEXBA</t>
  </si>
  <si>
    <t>0081366064</t>
  </si>
  <si>
    <t>SPONGE COMPRESSABLE ALL SZS</t>
  </si>
  <si>
    <t>SPONGE COMP ALL</t>
  </si>
  <si>
    <t>0081366122</t>
  </si>
  <si>
    <t>IMP BONE STAPLE EXPRESS</t>
  </si>
  <si>
    <t>IMP BONE STAPLE</t>
  </si>
  <si>
    <t>0081366247</t>
  </si>
  <si>
    <t>STAPLE COMPRESSION</t>
  </si>
  <si>
    <t>STPL COMPRESS</t>
  </si>
  <si>
    <t>0081366403</t>
  </si>
  <si>
    <t>STPL FIXATION</t>
  </si>
  <si>
    <t>0081366718</t>
  </si>
  <si>
    <t>SYS CUFF ROTATOR AUGMENTATION</t>
  </si>
  <si>
    <t>SYS CUFF ROTATO</t>
  </si>
  <si>
    <t>0081366742</t>
  </si>
  <si>
    <t>SYS W/BONE ANCHOR ADV DEL SN</t>
  </si>
  <si>
    <t>SYS W/BONE ANCH</t>
  </si>
  <si>
    <t>0081366775</t>
  </si>
  <si>
    <t>SYS LAPIPLASTY ANATOM BIPLANAR</t>
  </si>
  <si>
    <t>SYS LAPIPLASTY</t>
  </si>
  <si>
    <t>0081366783</t>
  </si>
  <si>
    <t>SYS ACL TIGHTROPE BTB</t>
  </si>
  <si>
    <t>SYS TIGHTROPE</t>
  </si>
  <si>
    <t>0081366791</t>
  </si>
  <si>
    <t>SYS ELBOW IMPLANT FIXATN</t>
  </si>
  <si>
    <t>SYS ELBW IMPLNT</t>
  </si>
  <si>
    <t>0081366858</t>
  </si>
  <si>
    <t>SYS TENDON CITRELOCK XPRESS</t>
  </si>
  <si>
    <t>SYS TENDON CITR</t>
  </si>
  <si>
    <t>0081367195</t>
  </si>
  <si>
    <t>IMP SHOULDER REV LINER</t>
  </si>
  <si>
    <t>IMP SHOULDER RE</t>
  </si>
  <si>
    <t>0081367211</t>
  </si>
  <si>
    <t>IMP METAL BACK</t>
  </si>
  <si>
    <t>0081367229</t>
  </si>
  <si>
    <t>IMP BASEPLATE AUGMENTED 360</t>
  </si>
  <si>
    <t>IMP BASEPLATE A</t>
  </si>
  <si>
    <t>0081370017</t>
  </si>
  <si>
    <t>TIGHTROPE ABS NO BUTTON</t>
  </si>
  <si>
    <t>0081370033</t>
  </si>
  <si>
    <t>IMPLANT TIGHTROPE II ABS</t>
  </si>
  <si>
    <t>IMP TIGHTROPE I</t>
  </si>
  <si>
    <t>0081370041</t>
  </si>
  <si>
    <t>IMP BTB TGHTRPE II W/IB LIG AG</t>
  </si>
  <si>
    <t>BTB TR II W/ IB</t>
  </si>
  <si>
    <t>0081370652</t>
  </si>
  <si>
    <t>WASHER</t>
  </si>
  <si>
    <t>0081370801</t>
  </si>
  <si>
    <t>WASHER SPIKED</t>
  </si>
  <si>
    <t>0081370884</t>
  </si>
  <si>
    <t>WEDGE ALLOGRAFT</t>
  </si>
  <si>
    <t>WEDGE ALLOGRFT</t>
  </si>
  <si>
    <t>0081370959</t>
  </si>
  <si>
    <t>WIRE KIRCHNER PL</t>
  </si>
  <si>
    <t>WIRE KIRCHNR PL</t>
  </si>
  <si>
    <t>0081371007</t>
  </si>
  <si>
    <t>WIRE KIRCHNER TH</t>
  </si>
  <si>
    <t>WIRE KIRCHNR TH</t>
  </si>
  <si>
    <t>0081371114</t>
  </si>
  <si>
    <t>WRIST POLY CARPAL ANY SZ</t>
  </si>
  <si>
    <t>WRIST POLY CARP</t>
  </si>
  <si>
    <t>0081371304</t>
  </si>
  <si>
    <t>X-POST ALL SIZES</t>
  </si>
  <si>
    <t>X-POST ALL SIZE</t>
  </si>
  <si>
    <t>0081372914</t>
  </si>
  <si>
    <t>DVC FX SYNDESMOSIS SYNCH GRVTY</t>
  </si>
  <si>
    <t>DVC FX SYNDESMS</t>
  </si>
  <si>
    <t>0081374068</t>
  </si>
  <si>
    <t>IMP GLENOID UNIVERS VAULTLOCK</t>
  </si>
  <si>
    <t xml:space="preserve">GLENOID UNIVRS </t>
  </si>
  <si>
    <t>0081374563</t>
  </si>
  <si>
    <t>IMP HEAD HUMERAL ECLIPS ANY SZ</t>
  </si>
  <si>
    <t>HEAD HUMERAL EC</t>
  </si>
  <si>
    <t>0081375420</t>
  </si>
  <si>
    <t>IMP TIB FX NONPOROUS ZIM</t>
  </si>
  <si>
    <t>IMP TIB FX NONP</t>
  </si>
  <si>
    <t>0081375438</t>
  </si>
  <si>
    <t>IMP TIB TRABECULR CONE CNT LRG</t>
  </si>
  <si>
    <t>IMP TIB TRABECU</t>
  </si>
  <si>
    <t>0081375446</t>
  </si>
  <si>
    <t>IMP FEM DISTAL AUG PSN ZIMMER</t>
  </si>
  <si>
    <t xml:space="preserve">IMP FEM DISTAL </t>
  </si>
  <si>
    <t>0081375461</t>
  </si>
  <si>
    <t>IMP FEM POST AUG PSN ZIMMER</t>
  </si>
  <si>
    <t>IMP FEM PST AUG</t>
  </si>
  <si>
    <t>0081375479</t>
  </si>
  <si>
    <t>IMP TIB TRABECULR MTL CONE FXD</t>
  </si>
  <si>
    <t>0081375586</t>
  </si>
  <si>
    <t>IMP FEMORAL NECK BOLT FIX EXT</t>
  </si>
  <si>
    <t>IMP FEM NECK BO</t>
  </si>
  <si>
    <t>0081375651</t>
  </si>
  <si>
    <t>IMP FEM REV COMP CCR CMNTD</t>
  </si>
  <si>
    <t>IMP FEM REV COM</t>
  </si>
  <si>
    <t>0081375669</t>
  </si>
  <si>
    <t>IMP TIBIAL HLF BLK PSN ALL SZS</t>
  </si>
  <si>
    <t>IMP TIB HLF BLK</t>
  </si>
  <si>
    <t>0081375826</t>
  </si>
  <si>
    <t>PLT LAPIDUS</t>
  </si>
  <si>
    <t>0081375842</t>
  </si>
  <si>
    <t>IMP PLATE WEDGED PROFILE</t>
  </si>
  <si>
    <t>IMP PLATE WEDGE</t>
  </si>
  <si>
    <t>0081375917</t>
  </si>
  <si>
    <t>IMP PLATE WITH SCREWS PACK</t>
  </si>
  <si>
    <t>IMP PLATE W SCR</t>
  </si>
  <si>
    <t>0081376402</t>
  </si>
  <si>
    <t>IMP ALLOGRAFT ROBUST MAGNUS</t>
  </si>
  <si>
    <t>IMP ALLGRFT RBS</t>
  </si>
  <si>
    <t>0081376477</t>
  </si>
  <si>
    <t>IMP HUMERAL RVRSE BODY W/SCRW</t>
  </si>
  <si>
    <t>IMP HUM RVRS BD</t>
  </si>
  <si>
    <t>0081376535</t>
  </si>
  <si>
    <t>PLT FIBULA DISTL LATERL</t>
  </si>
  <si>
    <t>0081377061</t>
  </si>
  <si>
    <t>IMP TIBIAL COMP CEMNTLSS</t>
  </si>
  <si>
    <t>IMP TIBIAL COMP</t>
  </si>
  <si>
    <t>0081377087</t>
  </si>
  <si>
    <t>IMP TALAR TOTAL ANKLE</t>
  </si>
  <si>
    <t>IMP TALAR TOTAL</t>
  </si>
  <si>
    <t>0081377186</t>
  </si>
  <si>
    <t>INSERT PHALAGEAL</t>
  </si>
  <si>
    <t>INSRT PHALAGEAL</t>
  </si>
  <si>
    <t>0081377517</t>
  </si>
  <si>
    <t>IMP SYS STPLE JAWS NITINOL STR</t>
  </si>
  <si>
    <t>SYS STAPLE JAWS</t>
  </si>
  <si>
    <t>0081377582</t>
  </si>
  <si>
    <t>IMP SHLD ADAPT VERSA COMP STND</t>
  </si>
  <si>
    <t xml:space="preserve">IMP SHLD ADAPT </t>
  </si>
  <si>
    <t>0081377665</t>
  </si>
  <si>
    <t>IMP TIBIAL CNE LEGION SHRT LNG</t>
  </si>
  <si>
    <t>IMP TIBIAL CONE</t>
  </si>
  <si>
    <t>0081377673</t>
  </si>
  <si>
    <t>IMP FEMALE LONG TENOTAC</t>
  </si>
  <si>
    <t xml:space="preserve">IMP FEMALE LNG </t>
  </si>
  <si>
    <t>0081377681</t>
  </si>
  <si>
    <t>IMP KT TENO TAC STD STERI</t>
  </si>
  <si>
    <t>IMP KT TENO TAC</t>
  </si>
  <si>
    <t>0081377780</t>
  </si>
  <si>
    <t>IMP TENDON SYSTEM QUADLINK</t>
  </si>
  <si>
    <t xml:space="preserve">IMP TENDON SYS </t>
  </si>
  <si>
    <t>0081377814</t>
  </si>
  <si>
    <t>IMP HUMERUS ALLOGRT HD FROZEN</t>
  </si>
  <si>
    <t>IMP HUMERUS ALL</t>
  </si>
  <si>
    <t>0081377830</t>
  </si>
  <si>
    <t>IMP X-CLIP ALL SZS</t>
  </si>
  <si>
    <t xml:space="preserve">IMP X-CLIP ALL </t>
  </si>
  <si>
    <t>0081377889</t>
  </si>
  <si>
    <t>IMP HIP STEM INSIGNIA</t>
  </si>
  <si>
    <t>IMP HIP STEM IN</t>
  </si>
  <si>
    <t>0081377996</t>
  </si>
  <si>
    <t>PIN BUTTRESS</t>
  </si>
  <si>
    <t>0081378218</t>
  </si>
  <si>
    <t>PLT LCP CLAVICLE</t>
  </si>
  <si>
    <t>PLT CLAVICLE</t>
  </si>
  <si>
    <t>0081378226</t>
  </si>
  <si>
    <t>PLT LCP MED PROX TIBIA</t>
  </si>
  <si>
    <t>PLT MED PRX TIB</t>
  </si>
  <si>
    <t>0081378234</t>
  </si>
  <si>
    <t>PLT HUMERUS DSTL LAT</t>
  </si>
  <si>
    <t>PLT HUMERUS</t>
  </si>
  <si>
    <t>0081378291</t>
  </si>
  <si>
    <t>PLT LOCK MEDIAL HOOK</t>
  </si>
  <si>
    <t>PLT LCK MED HK</t>
  </si>
  <si>
    <t>0081378457</t>
  </si>
  <si>
    <t>PLT POSTERLAT DISTL HUM</t>
  </si>
  <si>
    <t>PLT POST LAT HU</t>
  </si>
  <si>
    <t>0081378887</t>
  </si>
  <si>
    <t>POST PIP ALL SIZES</t>
  </si>
  <si>
    <t>POST PIP ALL SI</t>
  </si>
  <si>
    <t>0081378929</t>
  </si>
  <si>
    <t>SPACER AEQUALIS FLEX REVIVE</t>
  </si>
  <si>
    <t>SPACER AEQUALIS</t>
  </si>
  <si>
    <t>0081399016</t>
  </si>
  <si>
    <t>NAIL METACARPAL</t>
  </si>
  <si>
    <t>0081399024</t>
  </si>
  <si>
    <t>IMP SHLDR AUG KICKSTND INHANCE</t>
  </si>
  <si>
    <t>IMP SHLDR AUG K</t>
  </si>
  <si>
    <t>0081399032</t>
  </si>
  <si>
    <t>IMP SCREW SPINAL</t>
  </si>
  <si>
    <t>IMP SCREW SPINA</t>
  </si>
  <si>
    <t>0081399040</t>
  </si>
  <si>
    <t>SYS KNTLESS LNT TENODESIS</t>
  </si>
  <si>
    <t>SYS KNTLESS LNT</t>
  </si>
  <si>
    <t>0081399156</t>
  </si>
  <si>
    <t>IMP LINER POLYETHYLN EMPHASYS</t>
  </si>
  <si>
    <t xml:space="preserve">IMP LINER POLY </t>
  </si>
  <si>
    <t>0081399206</t>
  </si>
  <si>
    <t>IMP SHELL ACETABULAR EMPHASYS</t>
  </si>
  <si>
    <t xml:space="preserve">IMP SHELL ACET </t>
  </si>
  <si>
    <t>0081421257</t>
  </si>
  <si>
    <t>GRFT PTCH</t>
  </si>
  <si>
    <t>0081421364</t>
  </si>
  <si>
    <t>GRAFT VASC ARTEGRAFT</t>
  </si>
  <si>
    <t>ARTEGRAFT</t>
  </si>
  <si>
    <t>0081450058</t>
  </si>
  <si>
    <t>SHNT CAROTD BYP</t>
  </si>
  <si>
    <t>0081450108</t>
  </si>
  <si>
    <t>SHNT CAROTID</t>
  </si>
  <si>
    <t>0081519936</t>
  </si>
  <si>
    <t>IMP CUFF URIN SPHINCTER</t>
  </si>
  <si>
    <t>IMP CUFF URIN</t>
  </si>
  <si>
    <t>0081520132</t>
  </si>
  <si>
    <t>IMP ORBITAL W CONFORMER</t>
  </si>
  <si>
    <t>IMP ORBTAL</t>
  </si>
  <si>
    <t>0081520256</t>
  </si>
  <si>
    <t>IMP WEDGE</t>
  </si>
  <si>
    <t>0081520322</t>
  </si>
  <si>
    <t>IMPL SLEEVE TYPE</t>
  </si>
  <si>
    <t>IMP SLEEVE TYP</t>
  </si>
  <si>
    <t>0081520389</t>
  </si>
  <si>
    <t>IMPL SUTURE ANCHOR</t>
  </si>
  <si>
    <t>IMP SUT ANCHOR</t>
  </si>
  <si>
    <t>0081540106</t>
  </si>
  <si>
    <t>PENILE PROS IMPL</t>
  </si>
  <si>
    <t>PENILE PROS</t>
  </si>
  <si>
    <t>0081540304</t>
  </si>
  <si>
    <t>PLT MAX FACL</t>
  </si>
  <si>
    <t>0081541559</t>
  </si>
  <si>
    <t>PROS PENILE PUM</t>
  </si>
  <si>
    <t>0081550303</t>
  </si>
  <si>
    <t>IMP RESER 65ML</t>
  </si>
  <si>
    <t>RESER 65ML</t>
  </si>
  <si>
    <t>0081700320</t>
  </si>
  <si>
    <t>ADAPTER LEAD HIGH VOLTAGE</t>
  </si>
  <si>
    <t>ADPTR LEAD HIGH</t>
  </si>
  <si>
    <t>0081725004</t>
  </si>
  <si>
    <t>IMP BLN PRES REG</t>
  </si>
  <si>
    <t>BLN PRES REG</t>
  </si>
  <si>
    <t>0081730004</t>
  </si>
  <si>
    <t>CABLE DALL MILE</t>
  </si>
  <si>
    <t>0081735086</t>
  </si>
  <si>
    <t>CEMT BN INJECT</t>
  </si>
  <si>
    <t>0081737157</t>
  </si>
  <si>
    <t>COIL EMB PACKING LP SHAPE</t>
  </si>
  <si>
    <t>COIL EMB PACKIN</t>
  </si>
  <si>
    <t>0081737181</t>
  </si>
  <si>
    <t>COIL EMB POD PACKNG J-SFT RUBY</t>
  </si>
  <si>
    <t>COIL EMB POD PA</t>
  </si>
  <si>
    <t>0081740144</t>
  </si>
  <si>
    <t>DVC EMBOLIC PROTECTION</t>
  </si>
  <si>
    <t>DVC SPIDERFX</t>
  </si>
  <si>
    <t>0081740227</t>
  </si>
  <si>
    <t>DVC UROLIFT SYS DELIVERY</t>
  </si>
  <si>
    <t>DVC UROLIFT</t>
  </si>
  <si>
    <t>0081740268</t>
  </si>
  <si>
    <t>DIL BLN ESPH/PYL/COL WG</t>
  </si>
  <si>
    <t>DIL CRE BLN</t>
  </si>
  <si>
    <t>0081741134</t>
  </si>
  <si>
    <t>DVC VAS CLSR MYNX</t>
  </si>
  <si>
    <t>DVC VAS CLSR</t>
  </si>
  <si>
    <t>0081746000</t>
  </si>
  <si>
    <t>FEM CEMENT REST</t>
  </si>
  <si>
    <t>0081746901</t>
  </si>
  <si>
    <t>FLTR VENA CAVA</t>
  </si>
  <si>
    <t>0081747156</t>
  </si>
  <si>
    <t>GRIPS DALL MILE</t>
  </si>
  <si>
    <t>0081749327</t>
  </si>
  <si>
    <t>INTRO CATH SHTH STD</t>
  </si>
  <si>
    <t>INTRO CATH SHTH</t>
  </si>
  <si>
    <t>0081749335</t>
  </si>
  <si>
    <t>INTROD LATERAL VEIN WORLEY ADV</t>
  </si>
  <si>
    <t>INTROD LAT VEIN</t>
  </si>
  <si>
    <t>0081749376</t>
  </si>
  <si>
    <t>INTROD SHTH SPLITTABL W/SDPRT</t>
  </si>
  <si>
    <t>INTROD SHTH PRE</t>
  </si>
  <si>
    <t>0081749384</t>
  </si>
  <si>
    <t>INTRO SAFESHEATH II CLS</t>
  </si>
  <si>
    <t>INTRO SAFESHTH2</t>
  </si>
  <si>
    <t>0081749459</t>
  </si>
  <si>
    <t>INTRO SHTH CATH BRITE TP</t>
  </si>
  <si>
    <t>INTRO SHEATH</t>
  </si>
  <si>
    <t>0081749970</t>
  </si>
  <si>
    <t>KIT FIRST FRACT STABILIT</t>
  </si>
  <si>
    <t>KT FIRST FRACT</t>
  </si>
  <si>
    <t>0081750820</t>
  </si>
  <si>
    <t>KT LUMBAR DECOMPRESSION</t>
  </si>
  <si>
    <t>KT LUMBAR DECOM</t>
  </si>
  <si>
    <t>0081759029</t>
  </si>
  <si>
    <t>OH PATCH PERICARDL BOVIN</t>
  </si>
  <si>
    <t>OH PATCH BOVINE</t>
  </si>
  <si>
    <t>0081761603</t>
  </si>
  <si>
    <t>PROBE RADIOFREQUENCY INTRACEPT</t>
  </si>
  <si>
    <t>PROBE RF INTRAC</t>
  </si>
  <si>
    <t>0081763161</t>
  </si>
  <si>
    <t>ROBOTIC SYS ACCESSORIES</t>
  </si>
  <si>
    <t>0081770240</t>
  </si>
  <si>
    <t>SEPARATOR INDIGO</t>
  </si>
  <si>
    <t>SEPARATR INDIGO</t>
  </si>
  <si>
    <t>0081770273</t>
  </si>
  <si>
    <t>CATH ASPIRATION XTORQ INDIGO</t>
  </si>
  <si>
    <t>CATH ASPIRATION</t>
  </si>
  <si>
    <t>0081770281</t>
  </si>
  <si>
    <t>SHEATH CLOTTRIEVER</t>
  </si>
  <si>
    <t>SHEATH CLOTTRIE</t>
  </si>
  <si>
    <t>0081770315</t>
  </si>
  <si>
    <t>CATH ASPIR XTORQ INDIGO CAT12</t>
  </si>
  <si>
    <t>0081771289</t>
  </si>
  <si>
    <t>SHEATH STEERABLE TOURGUIDE</t>
  </si>
  <si>
    <t>SHTH STEERABL T</t>
  </si>
  <si>
    <t>0081771339</t>
  </si>
  <si>
    <t>SHTH INTRO SLENDER KIT</t>
  </si>
  <si>
    <t>GLIDESHEATH</t>
  </si>
  <si>
    <t>0081772741</t>
  </si>
  <si>
    <t>ST VENA CAVA FLTR RETRVL</t>
  </si>
  <si>
    <t>ST GUNTHR TULIP</t>
  </si>
  <si>
    <t>0081776718</t>
  </si>
  <si>
    <t>TRY CATH PWRGLDPRO BIOPTCH CVR</t>
  </si>
  <si>
    <t>TRY CATH POWERG</t>
  </si>
  <si>
    <t>0081778177</t>
  </si>
  <si>
    <t>PLT HUMERUS MEDIAL</t>
  </si>
  <si>
    <t>PLT HUMRS MEDL</t>
  </si>
  <si>
    <t>0081779019</t>
  </si>
  <si>
    <t>VAS CLS ANGIOSEAL</t>
  </si>
  <si>
    <t>VAS CLS ANGSL</t>
  </si>
  <si>
    <t>0081779902</t>
  </si>
  <si>
    <t>WIREGDE AMPLTZ</t>
  </si>
  <si>
    <t>0081781122</t>
  </si>
  <si>
    <t>KT SPINEJACK EXPANSION</t>
  </si>
  <si>
    <t>KT SPINEJACK EX</t>
  </si>
  <si>
    <t>0081781130</t>
  </si>
  <si>
    <t>KT SPINAL CEMENT NDLSS</t>
  </si>
  <si>
    <t>KT CONFIDENCE</t>
  </si>
  <si>
    <t>0081781254</t>
  </si>
  <si>
    <t>ANCH LEAD SPINL STIM</t>
  </si>
  <si>
    <t>ANCH LEAD CLIK</t>
  </si>
  <si>
    <t>0081781718</t>
  </si>
  <si>
    <t>NDL CENTESIS YUEH</t>
  </si>
  <si>
    <t>NDL CENTESIS</t>
  </si>
  <si>
    <t>0081785974</t>
  </si>
  <si>
    <t>SHTH GUIDING DESTINATION</t>
  </si>
  <si>
    <t>SHTH GUIDING PI</t>
  </si>
  <si>
    <t>0081786915</t>
  </si>
  <si>
    <t>SYS SPINAL CEMT DELIVRY</t>
  </si>
  <si>
    <t>CONFIDENCE PLUS</t>
  </si>
  <si>
    <t>0081787111</t>
  </si>
  <si>
    <t>SYS CATH BALLOON AVAFLEX</t>
  </si>
  <si>
    <t>SYS CATH BALLOO</t>
  </si>
  <si>
    <t>0081787392</t>
  </si>
  <si>
    <t>SYS SHTH HEMO TEARWY VLV</t>
  </si>
  <si>
    <t>SAFESHTH WORLEY</t>
  </si>
  <si>
    <t>0081787434</t>
  </si>
  <si>
    <t>SYS THROMBECTOMY FLOWTREIVER</t>
  </si>
  <si>
    <t>SYS THROMB FLOW</t>
  </si>
  <si>
    <t>0081787442</t>
  </si>
  <si>
    <t>SYS TRNSCAR NEUROPROTECT</t>
  </si>
  <si>
    <t>0081826141</t>
  </si>
  <si>
    <t>INJECTABLE BULK AGENT</t>
  </si>
  <si>
    <t>INJECTABLE BULK</t>
  </si>
  <si>
    <t>0081851388</t>
  </si>
  <si>
    <t>STPL LINE REINFORCEMENT</t>
  </si>
  <si>
    <t>STPL LN REINFRC</t>
  </si>
  <si>
    <t>0081860991</t>
  </si>
  <si>
    <t>TISS REINFORCEMENT BIO-A</t>
  </si>
  <si>
    <t>TIS REINFORCEMN</t>
  </si>
  <si>
    <t>0081870263</t>
  </si>
  <si>
    <t>COIL EMB PERIPH COMPLEX</t>
  </si>
  <si>
    <t>COIL EMB RUBY</t>
  </si>
  <si>
    <t>0081870867</t>
  </si>
  <si>
    <t>KT NUR PICC MAX BAR PASV</t>
  </si>
  <si>
    <t>KT BIOFLO PICC</t>
  </si>
  <si>
    <t>0082400094</t>
  </si>
  <si>
    <t>BARRIER ADHESION</t>
  </si>
  <si>
    <t>BARRIER ADHESN</t>
  </si>
  <si>
    <t>0082400599</t>
  </si>
  <si>
    <t>CATH PTA DIL CONQUEST</t>
  </si>
  <si>
    <t>CATH PTA DIL</t>
  </si>
  <si>
    <t>0082400714</t>
  </si>
  <si>
    <t>CATH BLN DIL CRE FX WIRE</t>
  </si>
  <si>
    <t>0082400821</t>
  </si>
  <si>
    <t>0082400961</t>
  </si>
  <si>
    <t>0082400987</t>
  </si>
  <si>
    <t>CATH HEMODIAL LONG TERM</t>
  </si>
  <si>
    <t>CATH HEMODIAL</t>
  </si>
  <si>
    <t>0082401027</t>
  </si>
  <si>
    <t>CATH HEMODIAL SHORT TERM</t>
  </si>
  <si>
    <t>0082401191</t>
  </si>
  <si>
    <t>CATH SUPRAPUBC/CYSTOSCOP</t>
  </si>
  <si>
    <t>CATH SUPRPUB/CY</t>
  </si>
  <si>
    <t>0082401639</t>
  </si>
  <si>
    <t>GUIDEWIRE II</t>
  </si>
  <si>
    <t>0082401670</t>
  </si>
  <si>
    <t>GUIDEWIRE III</t>
  </si>
  <si>
    <t>0082401779</t>
  </si>
  <si>
    <t>GRFT VASCULAR</t>
  </si>
  <si>
    <t>0082401795</t>
  </si>
  <si>
    <t>GUIDEWIRE</t>
  </si>
  <si>
    <t>0082401860</t>
  </si>
  <si>
    <t>IMP GEN NSTIM N-RECHG</t>
  </si>
  <si>
    <t>0082401936</t>
  </si>
  <si>
    <t>IMP LD NSTIM</t>
  </si>
  <si>
    <t>0082401951</t>
  </si>
  <si>
    <t>IMP LD NSTIM TEST KT</t>
  </si>
  <si>
    <t>IMP LD NSTM TST</t>
  </si>
  <si>
    <t>0082401993</t>
  </si>
  <si>
    <t>IMP MESH</t>
  </si>
  <si>
    <t>0082402066</t>
  </si>
  <si>
    <t>IMP MARKER TISSUE</t>
  </si>
  <si>
    <t>IMP MARKER TISS</t>
  </si>
  <si>
    <t>0082402132</t>
  </si>
  <si>
    <t>IMP PLATE</t>
  </si>
  <si>
    <t>0082402298</t>
  </si>
  <si>
    <t>INTRO EP IC N-LSR N-GD 2</t>
  </si>
  <si>
    <t>INTRO EP IC NL2</t>
  </si>
  <si>
    <t>0082402587</t>
  </si>
  <si>
    <t>LD PM ADAPTOR</t>
  </si>
  <si>
    <t>0082402686</t>
  </si>
  <si>
    <t>NDL BRACHYTHERAPY</t>
  </si>
  <si>
    <t>NDL BRACHYTHRPY</t>
  </si>
  <si>
    <t>0082403577</t>
  </si>
  <si>
    <t>PROGRAMMER PT NEUROSTIM</t>
  </si>
  <si>
    <t>PROGRMR PT NSTM</t>
  </si>
  <si>
    <t>0082403601</t>
  </si>
  <si>
    <t>PROS PENILE AMS 700</t>
  </si>
  <si>
    <t>PROS PENILE AMS</t>
  </si>
  <si>
    <t>0082404070</t>
  </si>
  <si>
    <t>TISS CONNECTIVE HUMAN</t>
  </si>
  <si>
    <t>TISS CONN HUMAN</t>
  </si>
  <si>
    <t>0082404088</t>
  </si>
  <si>
    <t>VAS CLS ART PERCLOSE</t>
  </si>
  <si>
    <t>VAS CLS ART PER</t>
  </si>
  <si>
    <t>0082405119</t>
  </si>
  <si>
    <t>ANCH TISSUETAK ARTHREX</t>
  </si>
  <si>
    <t>ANCH TISSUETAK</t>
  </si>
  <si>
    <t>0082407867</t>
  </si>
  <si>
    <t>CATH PRPH DIL OTW VIATRC</t>
  </si>
  <si>
    <t>CATH PRPH VIATR</t>
  </si>
  <si>
    <t>0082408816</t>
  </si>
  <si>
    <t>CATH US IVAS ELITE BALLOON</t>
  </si>
  <si>
    <t>CATH US IVAS EL</t>
  </si>
  <si>
    <t>0082410697</t>
  </si>
  <si>
    <t>GCATH CRAGG-MCNAMARA</t>
  </si>
  <si>
    <t>GCATH INF</t>
  </si>
  <si>
    <t>0082410747</t>
  </si>
  <si>
    <t>GCATH CRDS VISTABRT TP 6</t>
  </si>
  <si>
    <t>GCATH CORDIS 6F</t>
  </si>
  <si>
    <t>0082410846</t>
  </si>
  <si>
    <t>CATH GUIDING LAUNCHER</t>
  </si>
  <si>
    <t>0082412107</t>
  </si>
  <si>
    <t>GW PTCA CHOICE 182/300</t>
  </si>
  <si>
    <t>GW PTCA CHOICE</t>
  </si>
  <si>
    <t>0082412487</t>
  </si>
  <si>
    <t>GW C HI-TORQ WHISPER</t>
  </si>
  <si>
    <t>GW HI-TORQ WHIS</t>
  </si>
  <si>
    <t>0082412545</t>
  </si>
  <si>
    <t>GW HI-TORQ BALANCE MW</t>
  </si>
  <si>
    <t>GW HI-TORQ MW</t>
  </si>
  <si>
    <t>0082412818</t>
  </si>
  <si>
    <t>GW HI-TORQ PILOT</t>
  </si>
  <si>
    <t>GW HI-TOR PILOT</t>
  </si>
  <si>
    <t>0082413154</t>
  </si>
  <si>
    <t>GW NITINOL PLATINUM TIP</t>
  </si>
  <si>
    <t>GW NITNL PLT TP</t>
  </si>
  <si>
    <t>0082413212</t>
  </si>
  <si>
    <t>GW TRANSEND</t>
  </si>
  <si>
    <t>0082414582</t>
  </si>
  <si>
    <t>IMP PEG THREAD/UNTHREADED</t>
  </si>
  <si>
    <t>IMP PEG THREAD/</t>
  </si>
  <si>
    <t>0082414590</t>
  </si>
  <si>
    <t>IMP PEG SMOOTH</t>
  </si>
  <si>
    <t>0082414681</t>
  </si>
  <si>
    <t>IMP PMP INF SYNCHROMED</t>
  </si>
  <si>
    <t>IMP PMP SYNCHRO</t>
  </si>
  <si>
    <t>0082415092</t>
  </si>
  <si>
    <t>INTRO FLEXOR CHECKFLO</t>
  </si>
  <si>
    <t>INTRO CHECKFLO</t>
  </si>
  <si>
    <t>0082418658</t>
  </si>
  <si>
    <t>LD PM CAPSURFX NOVUS5076</t>
  </si>
  <si>
    <t>LD PM CAPSURFIX</t>
  </si>
  <si>
    <t>0082418674</t>
  </si>
  <si>
    <t>LD PM CAPSURFX NOVUS4076</t>
  </si>
  <si>
    <t>0082419433</t>
  </si>
  <si>
    <t>LD PM SELECTSECURE 3830</t>
  </si>
  <si>
    <t>LD PM SELCTSECR</t>
  </si>
  <si>
    <t>0082420761</t>
  </si>
  <si>
    <t>MESH BARD 3DMAX LG</t>
  </si>
  <si>
    <t>0082420787</t>
  </si>
  <si>
    <t>MESH BARD 3DMAX MED</t>
  </si>
  <si>
    <t>0082428202</t>
  </si>
  <si>
    <t>PROGRAMMER PT NSTIM 2</t>
  </si>
  <si>
    <t>0082428715</t>
  </si>
  <si>
    <t>PROS BRST MENTR SALINE</t>
  </si>
  <si>
    <t>PROS BRST SALIN</t>
  </si>
  <si>
    <t>0082428764</t>
  </si>
  <si>
    <t>PROS BRST SMOOTHSURF GEL</t>
  </si>
  <si>
    <t>PROS BRST SMSRF</t>
  </si>
  <si>
    <t>0082428806</t>
  </si>
  <si>
    <t>PROS UR AMS SPHINCTER800</t>
  </si>
  <si>
    <t>PROS UR AMS SPH</t>
  </si>
  <si>
    <t>0082431107</t>
  </si>
  <si>
    <t>STNT B FLEXIMA SYS SNGL</t>
  </si>
  <si>
    <t>STNT FLEXMA SYS</t>
  </si>
  <si>
    <t>0082431545</t>
  </si>
  <si>
    <t>STNT B RAPD EXCH SGL USE</t>
  </si>
  <si>
    <t>STNT B RAP EXCH</t>
  </si>
  <si>
    <t>0082437914</t>
  </si>
  <si>
    <t>TISS MTRX ACEL DERM SQCM</t>
  </si>
  <si>
    <t>TISS MTRX ACELL</t>
  </si>
  <si>
    <t>0082437922</t>
  </si>
  <si>
    <t>TISS MATRIX ACELL DERM</t>
  </si>
  <si>
    <t>0082459611</t>
  </si>
  <si>
    <t>CATH PTA DIL ULTRAVERSE</t>
  </si>
  <si>
    <t>0082459660</t>
  </si>
  <si>
    <t>CATH PTA DIL SABERX RADIANZ</t>
  </si>
  <si>
    <t>0082460270</t>
  </si>
  <si>
    <t>CATH URETERAL DL</t>
  </si>
  <si>
    <t>CATH URETERL DL</t>
  </si>
  <si>
    <t>0082462011</t>
  </si>
  <si>
    <t>DIL TAP NOTTNGHM 1STP H+</t>
  </si>
  <si>
    <t>DIL TAP NOTTING</t>
  </si>
  <si>
    <t>0082465931</t>
  </si>
  <si>
    <t>GW AMPLATZ XSTIFF</t>
  </si>
  <si>
    <t>GW AMPLATZ STIF</t>
  </si>
  <si>
    <t>0082466640</t>
  </si>
  <si>
    <t>GW GLIDEWIRE STIFF ANG</t>
  </si>
  <si>
    <t>GW GLIDEWIRE</t>
  </si>
  <si>
    <t>0082466657</t>
  </si>
  <si>
    <t>GW GLIDEWIRE GOLD</t>
  </si>
  <si>
    <t>0082466665</t>
  </si>
  <si>
    <t>GW GLIDEWIRE STD ANGLE</t>
  </si>
  <si>
    <t>0082466699</t>
  </si>
  <si>
    <t>GW GLIDEWIRE STIFF</t>
  </si>
  <si>
    <t>0082466806</t>
  </si>
  <si>
    <t>GW HITORQ STD</t>
  </si>
  <si>
    <t>0082467259</t>
  </si>
  <si>
    <t>GW HP JAGWIRE SNGL USE</t>
  </si>
  <si>
    <t>GW HP JAGWIRE</t>
  </si>
  <si>
    <t>0082468802</t>
  </si>
  <si>
    <t>GW STOR Q CORDIS</t>
  </si>
  <si>
    <t>GW STOR Q CORD</t>
  </si>
  <si>
    <t>0082472507</t>
  </si>
  <si>
    <t>INTR HEMOSTASIS FASTCATH</t>
  </si>
  <si>
    <t>INTR HEMOSTASIS</t>
  </si>
  <si>
    <t>0082473489</t>
  </si>
  <si>
    <t>LD DFIB SUB-Q 6996SQ</t>
  </si>
  <si>
    <t>LD DFIB SUB-Q</t>
  </si>
  <si>
    <t>0082478603</t>
  </si>
  <si>
    <t>MESH PLUG PERFIX BARD</t>
  </si>
  <si>
    <t>MESH PLUG PERFX</t>
  </si>
  <si>
    <t>0082484106</t>
  </si>
  <si>
    <t>SCRW BIOINTERFER ARTHREX</t>
  </si>
  <si>
    <t>SCRW BIOINTERFR</t>
  </si>
  <si>
    <t>0082485509</t>
  </si>
  <si>
    <t>ST INTRO PEEL-AWAY</t>
  </si>
  <si>
    <t>ST INTR PEELAWY</t>
  </si>
  <si>
    <t>0082485517</t>
  </si>
  <si>
    <t>ST INTRO PEELAWAY W GW</t>
  </si>
  <si>
    <t>0082486754</t>
  </si>
  <si>
    <t>STNT DUODENAL WALLFLEX</t>
  </si>
  <si>
    <t>STNT DUODENAL</t>
  </si>
  <si>
    <t>0082490103</t>
  </si>
  <si>
    <t>VAS CLS ART CLOSER S</t>
  </si>
  <si>
    <t>VAS CLS ART CLS</t>
  </si>
  <si>
    <t>CDM as of 6/1/2025</t>
  </si>
  <si>
    <t>Evaluation &amp; Management Services (CPT Codes 99201-99499)</t>
  </si>
  <si>
    <t>2025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</si>
  <si>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</si>
  <si>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</si>
  <si>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</si>
  <si>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</si>
  <si>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</si>
  <si>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</si>
  <si>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</si>
  <si>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</si>
  <si>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</si>
  <si>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</si>
  <si>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</si>
  <si>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</si>
  <si>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</si>
  <si>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</si>
  <si>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</si>
  <si>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</si>
  <si>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</si>
  <si>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</si>
  <si>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</si>
  <si>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</si>
  <si>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</si>
  <si>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</si>
  <si>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</si>
  <si>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</si>
  <si>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</si>
  <si>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</si>
  <si>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</si>
  <si>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</si>
  <si>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</si>
  <si>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</si>
  <si>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</si>
  <si>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</si>
  <si>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</si>
  <si>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</si>
  <si>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</si>
  <si>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</si>
  <si>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</si>
  <si>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</si>
  <si>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</si>
  <si>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</si>
  <si>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</si>
  <si>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</si>
  <si>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</si>
  <si>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</si>
  <si>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</si>
  <si>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</si>
  <si>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</si>
  <si>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</si>
  <si>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</si>
  <si>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</si>
  <si>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</si>
  <si>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</si>
  <si>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</si>
  <si>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</si>
  <si>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</si>
  <si>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</si>
  <si>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</si>
  <si>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</si>
  <si>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</si>
  <si>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</si>
  <si>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</si>
  <si>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</si>
  <si>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</si>
  <si>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</si>
  <si>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</si>
  <si>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</si>
  <si>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</si>
  <si>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</si>
  <si>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</si>
  <si>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</si>
  <si>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</si>
  <si>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</si>
  <si>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</si>
  <si>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</si>
  <si>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</si>
  <si>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</si>
  <si>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</si>
  <si>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</si>
  <si>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</si>
  <si>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</si>
  <si>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</si>
  <si>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</si>
  <si>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</si>
  <si>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</si>
  <si>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</si>
  <si>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</si>
  <si>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</si>
  <si>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</si>
  <si>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</si>
  <si>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</si>
  <si>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</si>
  <si>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</si>
  <si>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</si>
  <si>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</si>
  <si>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</si>
  <si>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</si>
  <si>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</si>
  <si>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</si>
  <si>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</si>
  <si>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</si>
  <si>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</si>
  <si>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</si>
  <si>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</si>
  <si>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</si>
  <si>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</si>
  <si>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</si>
  <si>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</si>
  <si>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</si>
  <si>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</si>
  <si>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106301297</t>
  </si>
  <si>
    <t>Effective Date of Charges: 6/1/2025</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</si>
  <si>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</si>
  <si>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</si>
  <si>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</si>
  <si>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</si>
  <si>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</si>
  <si>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</si>
  <si>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</si>
  <si>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</si>
  <si>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</si>
  <si>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</si>
  <si>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</si>
  <si>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</si>
  <si>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</si>
  <si>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</si>
  <si>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</si>
  <si>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</si>
  <si>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97161</t>
  </si>
  <si>
    <t>TECHNICAL DESCRIPTION</t>
  </si>
  <si>
    <t>HCPCS</t>
  </si>
  <si>
    <t>2024 QTY</t>
  </si>
  <si>
    <t>2024 REV</t>
  </si>
  <si>
    <t>2025 QTY</t>
  </si>
  <si>
    <t>2025 REV</t>
  </si>
  <si>
    <t>2024 AVG RATE</t>
  </si>
  <si>
    <t>2025 AVG RATE</t>
  </si>
  <si>
    <t>AVG RATE CHANGE</t>
  </si>
  <si>
    <t>0232T</t>
  </si>
  <si>
    <t>C1721</t>
  </si>
  <si>
    <t>C1882</t>
  </si>
  <si>
    <t>C1764</t>
  </si>
  <si>
    <t>C1786</t>
  </si>
  <si>
    <t>C1785</t>
  </si>
  <si>
    <t>C2621</t>
  </si>
  <si>
    <t>Q4186</t>
  </si>
  <si>
    <t>C1722</t>
  </si>
  <si>
    <t>C1822</t>
  </si>
  <si>
    <t>C1820</t>
  </si>
  <si>
    <t>C1767</t>
  </si>
  <si>
    <t>C1897</t>
  </si>
  <si>
    <t>C1778</t>
  </si>
  <si>
    <t>C1900</t>
  </si>
  <si>
    <t>C1777</t>
  </si>
  <si>
    <t>C1896</t>
  </si>
  <si>
    <t>C1898</t>
  </si>
  <si>
    <t>0040089997</t>
  </si>
  <si>
    <t>C/S MISC IMPLANTS CV</t>
  </si>
  <si>
    <t>C1713</t>
  </si>
  <si>
    <t>C1776</t>
  </si>
  <si>
    <t>C1762</t>
  </si>
  <si>
    <t>C1889</t>
  </si>
  <si>
    <t>C9359</t>
  </si>
  <si>
    <t>Q4100</t>
  </si>
  <si>
    <t>Q4125</t>
  </si>
  <si>
    <t>C1781</t>
  </si>
  <si>
    <t>C1725</t>
  </si>
  <si>
    <t>C1763</t>
  </si>
  <si>
    <t>C1771</t>
  </si>
  <si>
    <t>C1880</t>
  </si>
  <si>
    <t>Q4158</t>
  </si>
  <si>
    <t>J3590</t>
  </si>
  <si>
    <t>Q4196</t>
  </si>
  <si>
    <t>A2004</t>
  </si>
  <si>
    <t>C2625</t>
  </si>
  <si>
    <t>C2617</t>
  </si>
  <si>
    <t>C1874</t>
  </si>
  <si>
    <t>C1788</t>
  </si>
  <si>
    <t>Q4133</t>
  </si>
  <si>
    <t>0040289993</t>
  </si>
  <si>
    <t>MISC-MESH/GRAFT</t>
  </si>
  <si>
    <t>C1724</t>
  </si>
  <si>
    <t>C1729</t>
  </si>
  <si>
    <t>C1757</t>
  </si>
  <si>
    <t>C1750</t>
  </si>
  <si>
    <t>C1769</t>
  </si>
  <si>
    <t>C1894</t>
  </si>
  <si>
    <t>C1887</t>
  </si>
  <si>
    <t>80202</t>
  </si>
  <si>
    <t>80076</t>
  </si>
  <si>
    <t>87426</t>
  </si>
  <si>
    <t>U0002</t>
  </si>
  <si>
    <t>80305</t>
  </si>
  <si>
    <t>81005</t>
  </si>
  <si>
    <t>80307</t>
  </si>
  <si>
    <t>82009</t>
  </si>
  <si>
    <t>82040</t>
  </si>
  <si>
    <t>82140</t>
  </si>
  <si>
    <t>82150</t>
  </si>
  <si>
    <t>82247</t>
  </si>
  <si>
    <t>82248</t>
  </si>
  <si>
    <t>82272</t>
  </si>
  <si>
    <t>82310</t>
  </si>
  <si>
    <t>82436</t>
  </si>
  <si>
    <t>82465</t>
  </si>
  <si>
    <t>82533</t>
  </si>
  <si>
    <t>82565</t>
  </si>
  <si>
    <t>82570</t>
  </si>
  <si>
    <t>82607</t>
  </si>
  <si>
    <t>80162</t>
  </si>
  <si>
    <t>80185</t>
  </si>
  <si>
    <t>82728</t>
  </si>
  <si>
    <t>82746</t>
  </si>
  <si>
    <t>82947</t>
  </si>
  <si>
    <t>82945</t>
  </si>
  <si>
    <t>82962</t>
  </si>
  <si>
    <t>82977</t>
  </si>
  <si>
    <t>83036</t>
  </si>
  <si>
    <t>84703</t>
  </si>
  <si>
    <t>84702</t>
  </si>
  <si>
    <t>83880</t>
  </si>
  <si>
    <t>84439</t>
  </si>
  <si>
    <t>84480</t>
  </si>
  <si>
    <t>83540</t>
  </si>
  <si>
    <t>83550</t>
  </si>
  <si>
    <t>83605</t>
  </si>
  <si>
    <t>83615</t>
  </si>
  <si>
    <t>83690</t>
  </si>
  <si>
    <t>83735</t>
  </si>
  <si>
    <t>83874</t>
  </si>
  <si>
    <t>84075</t>
  </si>
  <si>
    <t>84100</t>
  </si>
  <si>
    <t>84132</t>
  </si>
  <si>
    <t>84133</t>
  </si>
  <si>
    <t>84155</t>
  </si>
  <si>
    <t>84156</t>
  </si>
  <si>
    <t>84157</t>
  </si>
  <si>
    <t>84295</t>
  </si>
  <si>
    <t>84300</t>
  </si>
  <si>
    <t>84436</t>
  </si>
  <si>
    <t>84450</t>
  </si>
  <si>
    <t>84460</t>
  </si>
  <si>
    <t>84478</t>
  </si>
  <si>
    <t>84520</t>
  </si>
  <si>
    <t>84540</t>
  </si>
  <si>
    <t>84550</t>
  </si>
  <si>
    <t>87324</t>
  </si>
  <si>
    <t>85014</t>
  </si>
  <si>
    <t>85018</t>
  </si>
  <si>
    <t>85379</t>
  </si>
  <si>
    <t>85384</t>
  </si>
  <si>
    <t>85049</t>
  </si>
  <si>
    <t>85652</t>
  </si>
  <si>
    <t>86308</t>
  </si>
  <si>
    <t>86850</t>
  </si>
  <si>
    <t>86870</t>
  </si>
  <si>
    <t>86880</t>
  </si>
  <si>
    <t>86900</t>
  </si>
  <si>
    <t>86905</t>
  </si>
  <si>
    <t>86901</t>
  </si>
  <si>
    <t>86141</t>
  </si>
  <si>
    <t>86920</t>
  </si>
  <si>
    <t>86921</t>
  </si>
  <si>
    <t>86922</t>
  </si>
  <si>
    <t>87467</t>
  </si>
  <si>
    <t>87420</t>
  </si>
  <si>
    <t>87070</t>
  </si>
  <si>
    <t>87040</t>
  </si>
  <si>
    <t>87045</t>
  </si>
  <si>
    <t>87046</t>
  </si>
  <si>
    <t>87075</t>
  </si>
  <si>
    <t>87086</t>
  </si>
  <si>
    <t>87081</t>
  </si>
  <si>
    <t>87106</t>
  </si>
  <si>
    <t>87186</t>
  </si>
  <si>
    <t>89055</t>
  </si>
  <si>
    <t>87205</t>
  </si>
  <si>
    <t>87210</t>
  </si>
  <si>
    <t>87449</t>
  </si>
  <si>
    <t>87804</t>
  </si>
  <si>
    <t>87077</t>
  </si>
  <si>
    <t>87493</t>
  </si>
  <si>
    <t>89050</t>
  </si>
  <si>
    <t>89051</t>
  </si>
  <si>
    <t>89060</t>
  </si>
  <si>
    <t>84479</t>
  </si>
  <si>
    <t>86140</t>
  </si>
  <si>
    <t>36415</t>
  </si>
  <si>
    <t>99001</t>
  </si>
  <si>
    <t>88360</t>
  </si>
  <si>
    <t>88305</t>
  </si>
  <si>
    <t>88104</t>
  </si>
  <si>
    <t>88108</t>
  </si>
  <si>
    <t>88160</t>
  </si>
  <si>
    <t>88333</t>
  </si>
  <si>
    <t>88173</t>
  </si>
  <si>
    <t>88172</t>
  </si>
  <si>
    <t>88177</t>
  </si>
  <si>
    <t>88300</t>
  </si>
  <si>
    <t>88302</t>
  </si>
  <si>
    <t>88307</t>
  </si>
  <si>
    <t>88309</t>
  </si>
  <si>
    <t>88311</t>
  </si>
  <si>
    <t>88312</t>
  </si>
  <si>
    <t>88313</t>
  </si>
  <si>
    <t>88342</t>
  </si>
  <si>
    <t>88329</t>
  </si>
  <si>
    <t>88331</t>
  </si>
  <si>
    <t>88344</t>
  </si>
  <si>
    <t>88341</t>
  </si>
  <si>
    <t>88304</t>
  </si>
  <si>
    <t>P9016</t>
  </si>
  <si>
    <t>P9017</t>
  </si>
  <si>
    <t>P9035</t>
  </si>
  <si>
    <t>P9012</t>
  </si>
  <si>
    <t>P9040</t>
  </si>
  <si>
    <t>93005</t>
  </si>
  <si>
    <t>93017</t>
  </si>
  <si>
    <t>93229</t>
  </si>
  <si>
    <t>93306</t>
  </si>
  <si>
    <t>93308</t>
  </si>
  <si>
    <t>93350</t>
  </si>
  <si>
    <t>93312</t>
  </si>
  <si>
    <t>93799</t>
  </si>
  <si>
    <t>G0269</t>
  </si>
  <si>
    <t>93641</t>
  </si>
  <si>
    <t>92960</t>
  </si>
  <si>
    <t>92920</t>
  </si>
  <si>
    <t>92921</t>
  </si>
  <si>
    <t>92973</t>
  </si>
  <si>
    <t>93451</t>
  </si>
  <si>
    <t>93453</t>
  </si>
  <si>
    <t>93454</t>
  </si>
  <si>
    <t>93455</t>
  </si>
  <si>
    <t>93456</t>
  </si>
  <si>
    <t>93458</t>
  </si>
  <si>
    <t>93459</t>
  </si>
  <si>
    <t>93460</t>
  </si>
  <si>
    <t>93461</t>
  </si>
  <si>
    <t>93503</t>
  </si>
  <si>
    <t>93567</t>
  </si>
  <si>
    <t>85347</t>
  </si>
  <si>
    <t>74425</t>
  </si>
  <si>
    <t>75625</t>
  </si>
  <si>
    <t>75710</t>
  </si>
  <si>
    <t>75716</t>
  </si>
  <si>
    <t>75741</t>
  </si>
  <si>
    <t>75743</t>
  </si>
  <si>
    <t>75820</t>
  </si>
  <si>
    <t>75825</t>
  </si>
  <si>
    <t>75984</t>
  </si>
  <si>
    <t>75989</t>
  </si>
  <si>
    <t>77001</t>
  </si>
  <si>
    <t>77002</t>
  </si>
  <si>
    <t>75894</t>
  </si>
  <si>
    <t>77003</t>
  </si>
  <si>
    <t>76937</t>
  </si>
  <si>
    <t>76942</t>
  </si>
  <si>
    <t>99152</t>
  </si>
  <si>
    <t>99153</t>
  </si>
  <si>
    <t>C9600</t>
  </si>
  <si>
    <t>C9601</t>
  </si>
  <si>
    <t>95865</t>
  </si>
  <si>
    <t>95861</t>
  </si>
  <si>
    <t>95864</t>
  </si>
  <si>
    <t>95867</t>
  </si>
  <si>
    <t>95937</t>
  </si>
  <si>
    <t>95940</t>
  </si>
  <si>
    <t>95938</t>
  </si>
  <si>
    <t>95939</t>
  </si>
  <si>
    <t>95816</t>
  </si>
  <si>
    <t>95819</t>
  </si>
  <si>
    <t>95822</t>
  </si>
  <si>
    <t>70110</t>
  </si>
  <si>
    <t>70150</t>
  </si>
  <si>
    <t>70200</t>
  </si>
  <si>
    <t>70160</t>
  </si>
  <si>
    <t>70220</t>
  </si>
  <si>
    <t>70250</t>
  </si>
  <si>
    <t>70360</t>
  </si>
  <si>
    <t>71045</t>
  </si>
  <si>
    <t>71100</t>
  </si>
  <si>
    <t>71101</t>
  </si>
  <si>
    <t>71110</t>
  </si>
  <si>
    <t>71111</t>
  </si>
  <si>
    <t>71120</t>
  </si>
  <si>
    <t>72020</t>
  </si>
  <si>
    <t>72040</t>
  </si>
  <si>
    <t>72050</t>
  </si>
  <si>
    <t>72052</t>
  </si>
  <si>
    <t>72070</t>
  </si>
  <si>
    <t>72072</t>
  </si>
  <si>
    <t>72081</t>
  </si>
  <si>
    <t>72082</t>
  </si>
  <si>
    <t>72100</t>
  </si>
  <si>
    <t>72170</t>
  </si>
  <si>
    <t>72220</t>
  </si>
  <si>
    <t>72265</t>
  </si>
  <si>
    <t>73000</t>
  </si>
  <si>
    <t>73010</t>
  </si>
  <si>
    <t>73020</t>
  </si>
  <si>
    <t>73030</t>
  </si>
  <si>
    <t>73040</t>
  </si>
  <si>
    <t>73060</t>
  </si>
  <si>
    <t>73070</t>
  </si>
  <si>
    <t>73080</t>
  </si>
  <si>
    <t>73085</t>
  </si>
  <si>
    <t>73090</t>
  </si>
  <si>
    <t>73100</t>
  </si>
  <si>
    <t>73110</t>
  </si>
  <si>
    <t>73115</t>
  </si>
  <si>
    <t>73120</t>
  </si>
  <si>
    <t>73130</t>
  </si>
  <si>
    <t>73140</t>
  </si>
  <si>
    <t>73501</t>
  </si>
  <si>
    <t>73502</t>
  </si>
  <si>
    <t>73521</t>
  </si>
  <si>
    <t>73522</t>
  </si>
  <si>
    <t>73552</t>
  </si>
  <si>
    <t>73560</t>
  </si>
  <si>
    <t>73562</t>
  </si>
  <si>
    <t>73564</t>
  </si>
  <si>
    <t>73580</t>
  </si>
  <si>
    <t>73590</t>
  </si>
  <si>
    <t>73592</t>
  </si>
  <si>
    <t>73600</t>
  </si>
  <si>
    <t>73610</t>
  </si>
  <si>
    <t>73620</t>
  </si>
  <si>
    <t>73630</t>
  </si>
  <si>
    <t>73650</t>
  </si>
  <si>
    <t>73660</t>
  </si>
  <si>
    <t>74018</t>
  </si>
  <si>
    <t>74019</t>
  </si>
  <si>
    <t>74022</t>
  </si>
  <si>
    <t>74330</t>
  </si>
  <si>
    <t>74220</t>
  </si>
  <si>
    <t>74221</t>
  </si>
  <si>
    <t>74230</t>
  </si>
  <si>
    <t>74240</t>
  </si>
  <si>
    <t>74246</t>
  </si>
  <si>
    <t>74248</t>
  </si>
  <si>
    <t>74250</t>
  </si>
  <si>
    <t>74270</t>
  </si>
  <si>
    <t>74280</t>
  </si>
  <si>
    <t>74340</t>
  </si>
  <si>
    <t>74400</t>
  </si>
  <si>
    <t>74430</t>
  </si>
  <si>
    <t>74740</t>
  </si>
  <si>
    <t>77075</t>
  </si>
  <si>
    <t>76080</t>
  </si>
  <si>
    <t>70551</t>
  </si>
  <si>
    <t>71550</t>
  </si>
  <si>
    <t>73720</t>
  </si>
  <si>
    <t>70486</t>
  </si>
  <si>
    <t>70488</t>
  </si>
  <si>
    <t>77065</t>
  </si>
  <si>
    <t>70210</t>
  </si>
  <si>
    <t>73220</t>
  </si>
  <si>
    <t>77066</t>
  </si>
  <si>
    <t>72141</t>
  </si>
  <si>
    <t>72146</t>
  </si>
  <si>
    <t>72148</t>
  </si>
  <si>
    <t>72156</t>
  </si>
  <si>
    <t>72157</t>
  </si>
  <si>
    <t>72158</t>
  </si>
  <si>
    <t>70330</t>
  </si>
  <si>
    <t>76706</t>
  </si>
  <si>
    <t>73721</t>
  </si>
  <si>
    <t>73221</t>
  </si>
  <si>
    <t>70490</t>
  </si>
  <si>
    <t>70491</t>
  </si>
  <si>
    <t>70492</t>
  </si>
  <si>
    <t>70544</t>
  </si>
  <si>
    <t>70547</t>
  </si>
  <si>
    <t>70480</t>
  </si>
  <si>
    <t>70552</t>
  </si>
  <si>
    <t>70543</t>
  </si>
  <si>
    <t>73218</t>
  </si>
  <si>
    <t>73222</t>
  </si>
  <si>
    <t>73223</t>
  </si>
  <si>
    <t>72195</t>
  </si>
  <si>
    <t>72197</t>
  </si>
  <si>
    <t>74183</t>
  </si>
  <si>
    <t>73718</t>
  </si>
  <si>
    <t>73722</t>
  </si>
  <si>
    <t>73723</t>
  </si>
  <si>
    <t>70540</t>
  </si>
  <si>
    <t>70336</t>
  </si>
  <si>
    <t>74181</t>
  </si>
  <si>
    <t>71275</t>
  </si>
  <si>
    <t>72074</t>
  </si>
  <si>
    <t>72080</t>
  </si>
  <si>
    <t>72114</t>
  </si>
  <si>
    <t>72128</t>
  </si>
  <si>
    <t>72132</t>
  </si>
  <si>
    <t>72133</t>
  </si>
  <si>
    <t>72142</t>
  </si>
  <si>
    <t>72147</t>
  </si>
  <si>
    <t>72149</t>
  </si>
  <si>
    <t>71270</t>
  </si>
  <si>
    <t>72190</t>
  </si>
  <si>
    <t>72202</t>
  </si>
  <si>
    <t>73201</t>
  </si>
  <si>
    <t>73701</t>
  </si>
  <si>
    <t>73702</t>
  </si>
  <si>
    <t>74170</t>
  </si>
  <si>
    <t>74176</t>
  </si>
  <si>
    <t>74177</t>
  </si>
  <si>
    <t>74178</t>
  </si>
  <si>
    <t>77072</t>
  </si>
  <si>
    <t>77080</t>
  </si>
  <si>
    <t>76098</t>
  </si>
  <si>
    <t>93880</t>
  </si>
  <si>
    <t>93970</t>
  </si>
  <si>
    <t>93971</t>
  </si>
  <si>
    <t>76770</t>
  </si>
  <si>
    <t>76536</t>
  </si>
  <si>
    <t>76604</t>
  </si>
  <si>
    <t>76642</t>
  </si>
  <si>
    <t>76641</t>
  </si>
  <si>
    <t>76705</t>
  </si>
  <si>
    <t>76870</t>
  </si>
  <si>
    <t>76801</t>
  </si>
  <si>
    <t>76815</t>
  </si>
  <si>
    <t>76811</t>
  </si>
  <si>
    <t>76817</t>
  </si>
  <si>
    <t>76830</t>
  </si>
  <si>
    <t>76856</t>
  </si>
  <si>
    <t>76857</t>
  </si>
  <si>
    <t>76881</t>
  </si>
  <si>
    <t>76882</t>
  </si>
  <si>
    <t>70470</t>
  </si>
  <si>
    <t>77049</t>
  </si>
  <si>
    <t>77061</t>
  </si>
  <si>
    <t>77062</t>
  </si>
  <si>
    <t>77063</t>
  </si>
  <si>
    <t>71250</t>
  </si>
  <si>
    <t>71260</t>
  </si>
  <si>
    <t>72125</t>
  </si>
  <si>
    <t>72131</t>
  </si>
  <si>
    <t>72192</t>
  </si>
  <si>
    <t>73200</t>
  </si>
  <si>
    <t>73700</t>
  </si>
  <si>
    <t>74150</t>
  </si>
  <si>
    <t>70460</t>
  </si>
  <si>
    <t>70487</t>
  </si>
  <si>
    <t>70496</t>
  </si>
  <si>
    <t>74175</t>
  </si>
  <si>
    <t>70498</t>
  </si>
  <si>
    <t>70481</t>
  </si>
  <si>
    <t>72126</t>
  </si>
  <si>
    <t>72129</t>
  </si>
  <si>
    <t>72191</t>
  </si>
  <si>
    <t>73206</t>
  </si>
  <si>
    <t>73706</t>
  </si>
  <si>
    <t>74174</t>
  </si>
  <si>
    <t>75635</t>
  </si>
  <si>
    <t>77012</t>
  </si>
  <si>
    <t>76380</t>
  </si>
  <si>
    <t>93925</t>
  </si>
  <si>
    <t>93976</t>
  </si>
  <si>
    <t>76776</t>
  </si>
  <si>
    <t>76816</t>
  </si>
  <si>
    <t>76998</t>
  </si>
  <si>
    <t>93922</t>
  </si>
  <si>
    <t>93923</t>
  </si>
  <si>
    <t>93926</t>
  </si>
  <si>
    <t>91110</t>
  </si>
  <si>
    <t>91035</t>
  </si>
  <si>
    <t>G0500</t>
  </si>
  <si>
    <t>A9548</t>
  </si>
  <si>
    <t>A9503</t>
  </si>
  <si>
    <t>A9500</t>
  </si>
  <si>
    <t>A9558</t>
  </si>
  <si>
    <t>A9516</t>
  </si>
  <si>
    <t>A9517</t>
  </si>
  <si>
    <t>A9537</t>
  </si>
  <si>
    <t>A9538</t>
  </si>
  <si>
    <t>A9540</t>
  </si>
  <si>
    <t>A9541</t>
  </si>
  <si>
    <t>A9562</t>
  </si>
  <si>
    <t>78800</t>
  </si>
  <si>
    <t>78452</t>
  </si>
  <si>
    <t>78012</t>
  </si>
  <si>
    <t>78018</t>
  </si>
  <si>
    <t>78070</t>
  </si>
  <si>
    <t>78195</t>
  </si>
  <si>
    <t>78202</t>
  </si>
  <si>
    <t>78215</t>
  </si>
  <si>
    <t>78226</t>
  </si>
  <si>
    <t>78227</t>
  </si>
  <si>
    <t>78264</t>
  </si>
  <si>
    <t>78278</t>
  </si>
  <si>
    <t>78300</t>
  </si>
  <si>
    <t>78306</t>
  </si>
  <si>
    <t>78315</t>
  </si>
  <si>
    <t>78473</t>
  </si>
  <si>
    <t>78579</t>
  </si>
  <si>
    <t>78580</t>
  </si>
  <si>
    <t>78582</t>
  </si>
  <si>
    <t>78709</t>
  </si>
  <si>
    <t>79005</t>
  </si>
  <si>
    <t>J8499</t>
  </si>
  <si>
    <t>A9150</t>
  </si>
  <si>
    <t>J7500</t>
  </si>
  <si>
    <t>J7515</t>
  </si>
  <si>
    <t>J8999</t>
  </si>
  <si>
    <t>J8610</t>
  </si>
  <si>
    <t>J7517</t>
  </si>
  <si>
    <t>J7518</t>
  </si>
  <si>
    <t>J7512</t>
  </si>
  <si>
    <t>J7507</t>
  </si>
  <si>
    <t>J1120</t>
  </si>
  <si>
    <t>J0133</t>
  </si>
  <si>
    <t>J0132</t>
  </si>
  <si>
    <t>P9045</t>
  </si>
  <si>
    <t>J0153</t>
  </si>
  <si>
    <t>P9047</t>
  </si>
  <si>
    <t>J2997</t>
  </si>
  <si>
    <t>J0278</t>
  </si>
  <si>
    <t>0053181517</t>
  </si>
  <si>
    <t>AMINOCAPROIC ACID 5GM IJ</t>
  </si>
  <si>
    <t>S0017</t>
  </si>
  <si>
    <t>J0282</t>
  </si>
  <si>
    <t>J0290</t>
  </si>
  <si>
    <t>J0295</t>
  </si>
  <si>
    <t>J0131</t>
  </si>
  <si>
    <t>J3490</t>
  </si>
  <si>
    <t>J0883</t>
  </si>
  <si>
    <t>J0461</t>
  </si>
  <si>
    <t>J0456</t>
  </si>
  <si>
    <t>J0457</t>
  </si>
  <si>
    <t>J0702</t>
  </si>
  <si>
    <t>J0583</t>
  </si>
  <si>
    <t>J0585</t>
  </si>
  <si>
    <t>J1939</t>
  </si>
  <si>
    <t>J0665</t>
  </si>
  <si>
    <t>J0630</t>
  </si>
  <si>
    <t>J0612</t>
  </si>
  <si>
    <t>J0613</t>
  </si>
  <si>
    <t>C9460</t>
  </si>
  <si>
    <t>J0690</t>
  </si>
  <si>
    <t>J0692</t>
  </si>
  <si>
    <t>J0694</t>
  </si>
  <si>
    <t>J0712</t>
  </si>
  <si>
    <t>J0713</t>
  </si>
  <si>
    <t>J0714</t>
  </si>
  <si>
    <t>J0695</t>
  </si>
  <si>
    <t>J0696</t>
  </si>
  <si>
    <t>J0697</t>
  </si>
  <si>
    <t>J3230</t>
  </si>
  <si>
    <t>J0744</t>
  </si>
  <si>
    <t>J0736</t>
  </si>
  <si>
    <t>J0834</t>
  </si>
  <si>
    <t>0053196127</t>
  </si>
  <si>
    <t>SULFAMETH/TRIM PER10MLIJ</t>
  </si>
  <si>
    <t>S0039</t>
  </si>
  <si>
    <t>J0841</t>
  </si>
  <si>
    <t>J3420</t>
  </si>
  <si>
    <t>J0878</t>
  </si>
  <si>
    <t>J2597</t>
  </si>
  <si>
    <t>J1100</t>
  </si>
  <si>
    <t>J3360</t>
  </si>
  <si>
    <t>J0500</t>
  </si>
  <si>
    <t>J1160</t>
  </si>
  <si>
    <t>J1200</t>
  </si>
  <si>
    <t>90715</t>
  </si>
  <si>
    <t>J1250</t>
  </si>
  <si>
    <t>J1265</t>
  </si>
  <si>
    <t>0053202941</t>
  </si>
  <si>
    <t>DOXYCYCLINE 100MG IJ</t>
  </si>
  <si>
    <t>J1271</t>
  </si>
  <si>
    <t>J1650</t>
  </si>
  <si>
    <t>J1327</t>
  </si>
  <si>
    <t>J0171</t>
  </si>
  <si>
    <t>Q5105</t>
  </si>
  <si>
    <t>Q5106</t>
  </si>
  <si>
    <t>J1335</t>
  </si>
  <si>
    <t>J1364</t>
  </si>
  <si>
    <t>J1805</t>
  </si>
  <si>
    <t>J1410</t>
  </si>
  <si>
    <t>J1308</t>
  </si>
  <si>
    <t>0053206611</t>
  </si>
  <si>
    <t>FAMOTIDINE PER 20MG IJ</t>
  </si>
  <si>
    <t>S0028</t>
  </si>
  <si>
    <t>J1450</t>
  </si>
  <si>
    <t>90656</t>
  </si>
  <si>
    <t>J7192</t>
  </si>
  <si>
    <t>0053207395</t>
  </si>
  <si>
    <t>FOLIC ACID 50MG/10ML IJ</t>
  </si>
  <si>
    <t>Q2009</t>
  </si>
  <si>
    <t>0053207643</t>
  </si>
  <si>
    <t>FUROSEMIDE UPTO 20MG IJ</t>
  </si>
  <si>
    <t>J1940</t>
  </si>
  <si>
    <t>J1652</t>
  </si>
  <si>
    <t>90686</t>
  </si>
  <si>
    <t>J1442</t>
  </si>
  <si>
    <t>J1808</t>
  </si>
  <si>
    <t>J1938</t>
  </si>
  <si>
    <t>J9201</t>
  </si>
  <si>
    <t>J1580</t>
  </si>
  <si>
    <t>J1610</t>
  </si>
  <si>
    <t>J1596</t>
  </si>
  <si>
    <t>J1630</t>
  </si>
  <si>
    <t>J1642</t>
  </si>
  <si>
    <t>J1644</t>
  </si>
  <si>
    <t>J3470</t>
  </si>
  <si>
    <t>J0360</t>
  </si>
  <si>
    <t>J1720</t>
  </si>
  <si>
    <t>J1815</t>
  </si>
  <si>
    <t>J0588</t>
  </si>
  <si>
    <t>J2792</t>
  </si>
  <si>
    <t>J1459</t>
  </si>
  <si>
    <t>J1561</t>
  </si>
  <si>
    <t>J3480</t>
  </si>
  <si>
    <t>J1885</t>
  </si>
  <si>
    <t>C9254</t>
  </si>
  <si>
    <t>J1920</t>
  </si>
  <si>
    <t>J0650</t>
  </si>
  <si>
    <t>J1953</t>
  </si>
  <si>
    <t>J1956</t>
  </si>
  <si>
    <t>0053217139</t>
  </si>
  <si>
    <t>LEVOTHYROXINE .1MG IJ</t>
  </si>
  <si>
    <t>0053217329</t>
  </si>
  <si>
    <t>LIDOCAIN IV PER10MGPMXIJ</t>
  </si>
  <si>
    <t>J2001</t>
  </si>
  <si>
    <t>0053217410</t>
  </si>
  <si>
    <t>LIDOCAINE.5%/EPI 50ML IJ</t>
  </si>
  <si>
    <t>J2003</t>
  </si>
  <si>
    <t>J2004</t>
  </si>
  <si>
    <t>0053217618</t>
  </si>
  <si>
    <t>LIDOCAINE 1%/EPI 20ML IJ</t>
  </si>
  <si>
    <t>0053217709</t>
  </si>
  <si>
    <t>LIDOCAINE 1% 30ML PF IJ</t>
  </si>
  <si>
    <t>0053217717</t>
  </si>
  <si>
    <t>LIDOCAINE 1% 20ML PF IJ</t>
  </si>
  <si>
    <t>0053217758</t>
  </si>
  <si>
    <t>LIDOCAINE 1% 5ML PF IJ</t>
  </si>
  <si>
    <t>0053217766</t>
  </si>
  <si>
    <t>LIDOCAINE 1% 10ML IJ</t>
  </si>
  <si>
    <t>0053217899</t>
  </si>
  <si>
    <t>LIDOCAINE 2% 2ML PF IJ</t>
  </si>
  <si>
    <t>0053217931</t>
  </si>
  <si>
    <t>LIDOCAINE 2% 20ML IJ</t>
  </si>
  <si>
    <t>0053217956</t>
  </si>
  <si>
    <t>LIDOCAINE 2%/EPI 20ML IJ</t>
  </si>
  <si>
    <t>0053217964</t>
  </si>
  <si>
    <t>LIDOCAINE 2%/EPI 30ML IJ</t>
  </si>
  <si>
    <t>0053218079</t>
  </si>
  <si>
    <t>LIDOCAINE 4% 5ML PF IJ</t>
  </si>
  <si>
    <t>0053218103</t>
  </si>
  <si>
    <t>LIDOCAINE100MG 5ML SG IJ</t>
  </si>
  <si>
    <t>J2020</t>
  </si>
  <si>
    <t>J2060</t>
  </si>
  <si>
    <t>J3475</t>
  </si>
  <si>
    <t>J1050</t>
  </si>
  <si>
    <t>J2185</t>
  </si>
  <si>
    <t>J2800</t>
  </si>
  <si>
    <t>J2210</t>
  </si>
  <si>
    <t>J1010</t>
  </si>
  <si>
    <t>J2919</t>
  </si>
  <si>
    <t>0053223152</t>
  </si>
  <si>
    <t>METHYLPRED SS UPTO40MGIJ</t>
  </si>
  <si>
    <t>J2920</t>
  </si>
  <si>
    <t>0053223251</t>
  </si>
  <si>
    <t>METHYLPRE SS UPTO125MGIJ</t>
  </si>
  <si>
    <t>J2930</t>
  </si>
  <si>
    <t>J2765</t>
  </si>
  <si>
    <t>J1836</t>
  </si>
  <si>
    <t>J2248</t>
  </si>
  <si>
    <t>J2250</t>
  </si>
  <si>
    <t>J2290</t>
  </si>
  <si>
    <t>0053226643</t>
  </si>
  <si>
    <t>NAFCILLIN PER 2GM IJ</t>
  </si>
  <si>
    <t>S0032</t>
  </si>
  <si>
    <t>J2916</t>
  </si>
  <si>
    <t>J2310</t>
  </si>
  <si>
    <t>J2710</t>
  </si>
  <si>
    <t>J2404</t>
  </si>
  <si>
    <t>J2354</t>
  </si>
  <si>
    <t>J2405</t>
  </si>
  <si>
    <t>J2305</t>
  </si>
  <si>
    <t>J2359</t>
  </si>
  <si>
    <t>J2590</t>
  </si>
  <si>
    <t>J2430</t>
  </si>
  <si>
    <t>J2470</t>
  </si>
  <si>
    <t>J2440</t>
  </si>
  <si>
    <t>J0561</t>
  </si>
  <si>
    <t>J2540</t>
  </si>
  <si>
    <t>J2760</t>
  </si>
  <si>
    <t>J2371</t>
  </si>
  <si>
    <t>J1165</t>
  </si>
  <si>
    <t>J3430</t>
  </si>
  <si>
    <t>J2543</t>
  </si>
  <si>
    <t>90732</t>
  </si>
  <si>
    <t>J0780</t>
  </si>
  <si>
    <t>J2550</t>
  </si>
  <si>
    <t>J2704</t>
  </si>
  <si>
    <t>J2720</t>
  </si>
  <si>
    <t>J7168</t>
  </si>
  <si>
    <t>J3415</t>
  </si>
  <si>
    <t>C9399</t>
  </si>
  <si>
    <t>90675</t>
  </si>
  <si>
    <t>J2785</t>
  </si>
  <si>
    <t>J0248</t>
  </si>
  <si>
    <t>J2791</t>
  </si>
  <si>
    <t>Q5119</t>
  </si>
  <si>
    <t>J2795</t>
  </si>
  <si>
    <t>A4216</t>
  </si>
  <si>
    <t>J0330</t>
  </si>
  <si>
    <t>J3030</t>
  </si>
  <si>
    <t>J7525</t>
  </si>
  <si>
    <t>J3101</t>
  </si>
  <si>
    <t>J1447</t>
  </si>
  <si>
    <t>J3411</t>
  </si>
  <si>
    <t>J3243</t>
  </si>
  <si>
    <t>J3301</t>
  </si>
  <si>
    <t>86580</t>
  </si>
  <si>
    <t>J3370</t>
  </si>
  <si>
    <t>J2598</t>
  </si>
  <si>
    <t>J3465</t>
  </si>
  <si>
    <t>J3486</t>
  </si>
  <si>
    <t>J3010</t>
  </si>
  <si>
    <t>0053275921</t>
  </si>
  <si>
    <t>HYDROMORPHONE UPTO4MG IJ</t>
  </si>
  <si>
    <t>J1170</t>
  </si>
  <si>
    <t>J2175</t>
  </si>
  <si>
    <t>J1171</t>
  </si>
  <si>
    <t>S0109</t>
  </si>
  <si>
    <t>J2274</t>
  </si>
  <si>
    <t>J2270</t>
  </si>
  <si>
    <t>J2560</t>
  </si>
  <si>
    <t>J3535</t>
  </si>
  <si>
    <t>J7999</t>
  </si>
  <si>
    <t>A9575</t>
  </si>
  <si>
    <t>Q9958</t>
  </si>
  <si>
    <t>Q9963</t>
  </si>
  <si>
    <t>Q9968</t>
  </si>
  <si>
    <t>Q9967</t>
  </si>
  <si>
    <t>Q9966</t>
  </si>
  <si>
    <t>J7121</t>
  </si>
  <si>
    <t>S5010</t>
  </si>
  <si>
    <t>J7042</t>
  </si>
  <si>
    <t>J7060</t>
  </si>
  <si>
    <t>J7070</t>
  </si>
  <si>
    <t>S5012</t>
  </si>
  <si>
    <t>J7120</t>
  </si>
  <si>
    <t>J7050</t>
  </si>
  <si>
    <t>J7040</t>
  </si>
  <si>
    <t>J7030</t>
  </si>
  <si>
    <t>94799</t>
  </si>
  <si>
    <t>94664</t>
  </si>
  <si>
    <t>82375</t>
  </si>
  <si>
    <t>92950</t>
  </si>
  <si>
    <t>94660</t>
  </si>
  <si>
    <t>94002</t>
  </si>
  <si>
    <t>94003</t>
  </si>
  <si>
    <t>36600</t>
  </si>
  <si>
    <t>94010</t>
  </si>
  <si>
    <t>94760</t>
  </si>
  <si>
    <t>94644</t>
  </si>
  <si>
    <t>94645</t>
  </si>
  <si>
    <t>94667</t>
  </si>
  <si>
    <t>94668</t>
  </si>
  <si>
    <t>94727</t>
  </si>
  <si>
    <t>94729</t>
  </si>
  <si>
    <t>G0257</t>
  </si>
  <si>
    <t>90945</t>
  </si>
  <si>
    <t>90935</t>
  </si>
  <si>
    <t>97162</t>
  </si>
  <si>
    <t>97164</t>
  </si>
  <si>
    <t>97112</t>
  </si>
  <si>
    <t>97530</t>
  </si>
  <si>
    <t>97535</t>
  </si>
  <si>
    <t>97039</t>
  </si>
  <si>
    <t>92523</t>
  </si>
  <si>
    <t>92507</t>
  </si>
  <si>
    <t>92526</t>
  </si>
  <si>
    <t>92610</t>
  </si>
  <si>
    <t>92611</t>
  </si>
  <si>
    <t>99281</t>
  </si>
  <si>
    <t>99291</t>
  </si>
  <si>
    <t>92953</t>
  </si>
  <si>
    <t>96360</t>
  </si>
  <si>
    <t>96361</t>
  </si>
  <si>
    <t>96365</t>
  </si>
  <si>
    <t>96366</t>
  </si>
  <si>
    <t>96367</t>
  </si>
  <si>
    <t>96368</t>
  </si>
  <si>
    <t>96374</t>
  </si>
  <si>
    <t>96375</t>
  </si>
  <si>
    <t>96376</t>
  </si>
  <si>
    <t>96372</t>
  </si>
  <si>
    <t>99292</t>
  </si>
  <si>
    <t>90471</t>
  </si>
  <si>
    <t>90472</t>
  </si>
  <si>
    <t>Q3014</t>
  </si>
  <si>
    <t>99151</t>
  </si>
  <si>
    <t>G0378</t>
  </si>
  <si>
    <t>G0379</t>
  </si>
  <si>
    <t>G0008</t>
  </si>
  <si>
    <t>G0009</t>
  </si>
  <si>
    <t>G0277</t>
  </si>
  <si>
    <t>97606</t>
  </si>
  <si>
    <t>99203</t>
  </si>
  <si>
    <t>99204</t>
  </si>
  <si>
    <t>99205</t>
  </si>
  <si>
    <t>99211</t>
  </si>
  <si>
    <t>99212</t>
  </si>
  <si>
    <t>99214</t>
  </si>
  <si>
    <t>99215</t>
  </si>
  <si>
    <t>97597</t>
  </si>
  <si>
    <t>97598</t>
  </si>
  <si>
    <t>97605</t>
  </si>
  <si>
    <t>87481</t>
  </si>
  <si>
    <t>82271</t>
  </si>
  <si>
    <t>80170</t>
  </si>
  <si>
    <t>80178</t>
  </si>
  <si>
    <t>80184</t>
  </si>
  <si>
    <t>80156</t>
  </si>
  <si>
    <t>80164</t>
  </si>
  <si>
    <t>85362</t>
  </si>
  <si>
    <t>86706</t>
  </si>
  <si>
    <t>87341</t>
  </si>
  <si>
    <t>88314</t>
  </si>
  <si>
    <t>88346</t>
  </si>
  <si>
    <t>88350</t>
  </si>
  <si>
    <t>88348</t>
  </si>
  <si>
    <t>88184</t>
  </si>
  <si>
    <t>80177</t>
  </si>
  <si>
    <t>80074</t>
  </si>
  <si>
    <t>88185</t>
  </si>
  <si>
    <t>80197</t>
  </si>
  <si>
    <t>87593</t>
  </si>
  <si>
    <t>86015</t>
  </si>
  <si>
    <t>80354</t>
  </si>
  <si>
    <t>82024</t>
  </si>
  <si>
    <t>82043</t>
  </si>
  <si>
    <t>82042</t>
  </si>
  <si>
    <t>82085</t>
  </si>
  <si>
    <t>82088</t>
  </si>
  <si>
    <t>82105</t>
  </si>
  <si>
    <t>83921</t>
  </si>
  <si>
    <t>82164</t>
  </si>
  <si>
    <t>82172</t>
  </si>
  <si>
    <t>82232</t>
  </si>
  <si>
    <t>83516</t>
  </si>
  <si>
    <t>82330</t>
  </si>
  <si>
    <t>82365</t>
  </si>
  <si>
    <t>82390</t>
  </si>
  <si>
    <t>82397</t>
  </si>
  <si>
    <t>86316</t>
  </si>
  <si>
    <t>82525</t>
  </si>
  <si>
    <t>82540</t>
  </si>
  <si>
    <t>82553</t>
  </si>
  <si>
    <t>80158</t>
  </si>
  <si>
    <t>82626</t>
  </si>
  <si>
    <t>82668</t>
  </si>
  <si>
    <t>82670</t>
  </si>
  <si>
    <t>82672</t>
  </si>
  <si>
    <t>85732</t>
  </si>
  <si>
    <t>86334</t>
  </si>
  <si>
    <t>82787</t>
  </si>
  <si>
    <t>87329</t>
  </si>
  <si>
    <t>82941</t>
  </si>
  <si>
    <t>83001</t>
  </si>
  <si>
    <t>83002</t>
  </si>
  <si>
    <t>83010</t>
  </si>
  <si>
    <t>83090</t>
  </si>
  <si>
    <t>87385</t>
  </si>
  <si>
    <t>82784</t>
  </si>
  <si>
    <t>82785</t>
  </si>
  <si>
    <t>86381</t>
  </si>
  <si>
    <t>83525</t>
  </si>
  <si>
    <t>83520</t>
  </si>
  <si>
    <t>84305</t>
  </si>
  <si>
    <t>84481</t>
  </si>
  <si>
    <t>86364</t>
  </si>
  <si>
    <t>86200</t>
  </si>
  <si>
    <t>83655</t>
  </si>
  <si>
    <t>83695</t>
  </si>
  <si>
    <t>83521</t>
  </si>
  <si>
    <t>83970</t>
  </si>
  <si>
    <t>83916</t>
  </si>
  <si>
    <t>83930</t>
  </si>
  <si>
    <t>87522</t>
  </si>
  <si>
    <t>83935</t>
  </si>
  <si>
    <t>84681</t>
  </si>
  <si>
    <t>84144</t>
  </si>
  <si>
    <t>84146</t>
  </si>
  <si>
    <t>84165</t>
  </si>
  <si>
    <t>84134</t>
  </si>
  <si>
    <t>84154</t>
  </si>
  <si>
    <t>84207</t>
  </si>
  <si>
    <t>84403</t>
  </si>
  <si>
    <t>84402</t>
  </si>
  <si>
    <t>84425</t>
  </si>
  <si>
    <t>84238</t>
  </si>
  <si>
    <t>84466</t>
  </si>
  <si>
    <t>80201</t>
  </si>
  <si>
    <t>82652</t>
  </si>
  <si>
    <t>82306</t>
  </si>
  <si>
    <t>86301</t>
  </si>
  <si>
    <t>84482</t>
  </si>
  <si>
    <t>86300</t>
  </si>
  <si>
    <t>85045</t>
  </si>
  <si>
    <t>85220</t>
  </si>
  <si>
    <t>85303</t>
  </si>
  <si>
    <t>85305</t>
  </si>
  <si>
    <t>85306</t>
  </si>
  <si>
    <t>85300</t>
  </si>
  <si>
    <t>82542</t>
  </si>
  <si>
    <t>85598</t>
  </si>
  <si>
    <t>82610</t>
  </si>
  <si>
    <t>85613</t>
  </si>
  <si>
    <t>85670</t>
  </si>
  <si>
    <t>85705</t>
  </si>
  <si>
    <t>86022</t>
  </si>
  <si>
    <t>86038</t>
  </si>
  <si>
    <t>86003</t>
  </si>
  <si>
    <t>86060</t>
  </si>
  <si>
    <t>82103</t>
  </si>
  <si>
    <t>86146</t>
  </si>
  <si>
    <t>86160</t>
  </si>
  <si>
    <t>82378</t>
  </si>
  <si>
    <t>86800</t>
  </si>
  <si>
    <t>86612</t>
  </si>
  <si>
    <t>86225</t>
  </si>
  <si>
    <t>86235</t>
  </si>
  <si>
    <t>86747</t>
  </si>
  <si>
    <t>86787</t>
  </si>
  <si>
    <t>86708</t>
  </si>
  <si>
    <t>87350</t>
  </si>
  <si>
    <t>86705</t>
  </si>
  <si>
    <t>86707</t>
  </si>
  <si>
    <t>86695</t>
  </si>
  <si>
    <t>86709</t>
  </si>
  <si>
    <t>86803</t>
  </si>
  <si>
    <t>84153</t>
  </si>
  <si>
    <t>86317</t>
  </si>
  <si>
    <t>86335</t>
  </si>
  <si>
    <t>86361</t>
  </si>
  <si>
    <t>86376</t>
  </si>
  <si>
    <t>86147</t>
  </si>
  <si>
    <t>86431</t>
  </si>
  <si>
    <t>86592</t>
  </si>
  <si>
    <t>86645</t>
  </si>
  <si>
    <t>86780</t>
  </si>
  <si>
    <t>86664</t>
  </si>
  <si>
    <t>86701</t>
  </si>
  <si>
    <t>86702</t>
  </si>
  <si>
    <t>86704</t>
  </si>
  <si>
    <t>86735</t>
  </si>
  <si>
    <t>86765</t>
  </si>
  <si>
    <t>86635</t>
  </si>
  <si>
    <t>86738</t>
  </si>
  <si>
    <t>86788</t>
  </si>
  <si>
    <t>86789</t>
  </si>
  <si>
    <t>86304</t>
  </si>
  <si>
    <t>86632</t>
  </si>
  <si>
    <t>87101</t>
  </si>
  <si>
    <t>87116</t>
  </si>
  <si>
    <t>87177</t>
  </si>
  <si>
    <t>85810</t>
  </si>
  <si>
    <t>87206</t>
  </si>
  <si>
    <t>87255</t>
  </si>
  <si>
    <t>87389</t>
  </si>
  <si>
    <t>87491</t>
  </si>
  <si>
    <t>87497</t>
  </si>
  <si>
    <t>87496</t>
  </si>
  <si>
    <t>87902</t>
  </si>
  <si>
    <t>87529</t>
  </si>
  <si>
    <t>87536</t>
  </si>
  <si>
    <t>87556</t>
  </si>
  <si>
    <t>87591</t>
  </si>
  <si>
    <t>87661</t>
  </si>
  <si>
    <t>87798</t>
  </si>
  <si>
    <t>87899</t>
  </si>
  <si>
    <t>88189</t>
  </si>
  <si>
    <t>87209</t>
  </si>
  <si>
    <t>84145</t>
  </si>
  <si>
    <t>83519</t>
  </si>
  <si>
    <t>84244</t>
  </si>
  <si>
    <t>85397</t>
  </si>
  <si>
    <t>85611</t>
  </si>
  <si>
    <t>86171</t>
  </si>
  <si>
    <t>86331</t>
  </si>
  <si>
    <t>86256</t>
  </si>
  <si>
    <t>86480</t>
  </si>
  <si>
    <t>87517</t>
  </si>
  <si>
    <t>86665</t>
  </si>
  <si>
    <t>86694</t>
  </si>
  <si>
    <t>81206</t>
  </si>
  <si>
    <t>81207</t>
  </si>
  <si>
    <t>81241</t>
  </si>
  <si>
    <t>81240</t>
  </si>
  <si>
    <t>81291</t>
  </si>
  <si>
    <t>81270</t>
  </si>
  <si>
    <t>86644</t>
  </si>
  <si>
    <t>A4406</t>
  </si>
  <si>
    <t>C1758</t>
  </si>
  <si>
    <t>C2623</t>
  </si>
  <si>
    <t>C1753</t>
  </si>
  <si>
    <t>C1751</t>
  </si>
  <si>
    <t>C1714</t>
  </si>
  <si>
    <t>C1876</t>
  </si>
  <si>
    <t>C1748</t>
  </si>
  <si>
    <t>C1773</t>
  </si>
  <si>
    <t>L8699</t>
  </si>
  <si>
    <t>V2630</t>
  </si>
  <si>
    <t>L3908</t>
  </si>
  <si>
    <t>L1902</t>
  </si>
  <si>
    <t>L8658</t>
  </si>
  <si>
    <t>L8630</t>
  </si>
  <si>
    <t>L3670</t>
  </si>
  <si>
    <t>C1768</t>
  </si>
  <si>
    <t>C1815</t>
  </si>
  <si>
    <t>C2622</t>
  </si>
  <si>
    <t>C1813</t>
  </si>
  <si>
    <t>C1883</t>
  </si>
  <si>
    <t>C1884</t>
  </si>
  <si>
    <t>C1726</t>
  </si>
  <si>
    <t>C1760</t>
  </si>
  <si>
    <t>C1892</t>
  </si>
  <si>
    <t>C1766</t>
  </si>
  <si>
    <t>C1062</t>
  </si>
  <si>
    <t>L8606</t>
  </si>
  <si>
    <t>C1765</t>
  </si>
  <si>
    <t>C1752</t>
  </si>
  <si>
    <t>C2627</t>
  </si>
  <si>
    <t>0082401878</t>
  </si>
  <si>
    <t>IMP DEV JOINT</t>
  </si>
  <si>
    <t>C1739</t>
  </si>
  <si>
    <t>C1787</t>
  </si>
  <si>
    <t>C1772</t>
  </si>
  <si>
    <t>2024 GROSS CHARGES</t>
  </si>
  <si>
    <t>2025 GROSS CHARGES</t>
  </si>
  <si>
    <t>PERCENT INCREASE</t>
  </si>
  <si>
    <t xml:space="preserve">UCI Health - Placentia Linda Hospital </t>
  </si>
  <si>
    <t xml:space="preserve">UCI Health -Placentia Linda Hospital </t>
  </si>
  <si>
    <t xml:space="preserve">Hospital Name: UCI Health - Placentia Linda Hospital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</si>
</sst>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2" x14ac:knownFonts="1">
    <font>
      <sz val="11"/>
      <color theme="1"/>
      <name val="Calibri"/>
      <family val="2"/>
      <scheme val="minor"/>
    </font>
    <font>
      <b/>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b/>
      <sz val="11"/>
      <color theme="1"/>
      <name val="Times New Roman"/>
      <family val="1"/>
    </font>
    <font>
      <sz val="10"/>
      <color theme="1"/>
      <name val="Times New Roman"/>
      <family val="1"/>
    </font>
    <font>
      <b/>
      <sz val="10"/>
      <color indexed="9"/>
      <name val="Times New Roman"/>
      <family val="1"/>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6">
    <xf numFmtId="0" fontId="0" fillId="0" borderId="0" xfId="0"/>
    <xf numFmtId="0" fontId="0" fillId="0" borderId="0" xfId="0" applyAlignment="1">
      <alignment vertical="top"/>
    </xf>
    <xf numFmtId="0" fontId="2" fillId="2" borderId="0" xfId="0" applyFont="1" applyFill="1" applyAlignment="1">
      <alignment vertical="top"/>
    </xf>
    <xf numFmtId="0" fontId="2" fillId="2" borderId="0" xfId="0" applyFont="1" applyFill="1" applyAlignment="1">
      <alignment horizontal="center" vertical="top"/>
    </xf>
    <xf numFmtId="0" fontId="0" fillId="0" borderId="0" xfId="0" applyAlignment="1">
      <alignment horizontal="center" vertical="top"/>
    </xf>
    <xf numFmtId="164" fontId="2" fillId="2" borderId="0" xfId="0" applyNumberFormat="1"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2"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4" fillId="0" borderId="0" xfId="0" applyFont="1" applyAlignment="1">
      <alignment vertical="top"/>
    </xf>
    <xf numFmtId="0" fontId="4" fillId="0" borderId="0" xfId="0" applyFont="1" applyAlignment="1">
      <alignment horizontal="center" vertical="top"/>
    </xf>
    <xf numFmtId="0" fontId="5" fillId="4" borderId="2" xfId="0" applyFont="1" applyFill="1" applyBorder="1" applyAlignment="1">
      <alignment vertical="top"/>
    </xf>
    <xf numFmtId="0" fontId="4" fillId="0" borderId="2" xfId="0" applyFont="1" applyBorder="1" applyAlignment="1">
      <alignment horizontal="left" vertical="top" indent="1"/>
    </xf>
    <xf numFmtId="0" fontId="4" fillId="0" borderId="2" xfId="0" applyFont="1" applyBorder="1" applyAlignment="1">
      <alignment vertical="top"/>
    </xf>
    <xf numFmtId="0" fontId="5" fillId="4" borderId="3" xfId="0" applyFont="1" applyFill="1" applyBorder="1" applyAlignment="1">
      <alignment horizontal="center" vertical="top"/>
    </xf>
    <xf numFmtId="0" fontId="4" fillId="0" borderId="3" xfId="0" applyFont="1" applyBorder="1" applyAlignment="1">
      <alignment horizontal="center" vertical="top"/>
    </xf>
    <xf numFmtId="0" fontId="5" fillId="0" borderId="5" xfId="0" applyFont="1" applyBorder="1" applyAlignment="1">
      <alignment horizontal="left" vertical="top" indent="1"/>
    </xf>
    <xf numFmtId="0" fontId="4" fillId="0" borderId="6" xfId="0" applyFont="1" applyBorder="1" applyAlignment="1">
      <alignment horizontal="center" vertical="top"/>
    </xf>
    <xf numFmtId="0" fontId="5" fillId="5" borderId="0" xfId="0" applyFont="1" applyFill="1" applyAlignment="1">
      <alignment vertical="top"/>
    </xf>
    <xf numFmtId="0" fontId="4" fillId="5" borderId="0" xfId="0" applyFont="1" applyFill="1" applyAlignment="1">
      <alignment horizontal="center" vertical="top"/>
    </xf>
    <xf numFmtId="0" fontId="4" fillId="5" borderId="0" xfId="0" applyFont="1" applyFill="1" applyAlignment="1">
      <alignment vertical="top"/>
    </xf>
    <xf numFmtId="165" fontId="0" fillId="0" borderId="0" xfId="0" applyNumberFormat="1" applyAlignment="1">
      <alignment horizontal="right" vertical="top"/>
    </xf>
    <xf numFmtId="0" fontId="0" fillId="3" borderId="0" xfId="0" applyFill="1" applyAlignment="1">
      <alignment vertical="top" wrapText="1"/>
    </xf>
    <xf numFmtId="0" fontId="1" fillId="3" borderId="0" xfId="0" applyFont="1" applyFill="1" applyAlignment="1">
      <alignment vertical="top"/>
    </xf>
    <xf numFmtId="0" fontId="3" fillId="3" borderId="0" xfId="0" applyFont="1" applyFill="1" applyAlignment="1">
      <alignment vertical="top"/>
    </xf>
    <xf numFmtId="164" fontId="4" fillId="5" borderId="0" xfId="0" applyNumberFormat="1" applyFont="1" applyFill="1" applyAlignment="1">
      <alignment horizontal="center" vertical="top"/>
    </xf>
    <xf numFmtId="164" fontId="5" fillId="4" borderId="4" xfId="0" applyNumberFormat="1" applyFont="1" applyFill="1" applyBorder="1" applyAlignment="1">
      <alignment horizontal="center" vertical="top"/>
    </xf>
    <xf numFmtId="164" fontId="4" fillId="0" borderId="4" xfId="0" applyNumberFormat="1" applyFont="1" applyBorder="1" applyAlignment="1">
      <alignment horizontal="center" vertical="top"/>
    </xf>
    <xf numFmtId="3" fontId="5" fillId="0" borderId="7" xfId="0" applyNumberFormat="1" applyFont="1" applyBorder="1" applyAlignment="1">
      <alignment horizontal="center" vertical="top"/>
    </xf>
    <xf numFmtId="164" fontId="4" fillId="0" borderId="0" xfId="0" applyNumberFormat="1" applyFont="1" applyAlignment="1">
      <alignment horizontal="center" vertical="top"/>
    </xf>
    <xf numFmtId="0" fontId="9" fillId="0" borderId="0" xfId="0" applyFont="1" applyAlignment="1">
      <alignment vertical="top"/>
    </xf>
    <xf numFmtId="0" fontId="10" fillId="0" borderId="0" xfId="0" applyFont="1" applyAlignment="1">
      <alignment horizontal="center" vertical="top"/>
    </xf>
    <xf numFmtId="3" fontId="10" fillId="0" borderId="0" xfId="0" applyNumberFormat="1" applyFont="1" applyAlignment="1">
      <alignment horizontal="center" vertical="top"/>
    </xf>
    <xf numFmtId="165" fontId="10" fillId="0" borderId="0" xfId="0" applyNumberFormat="1" applyFont="1" applyAlignment="1">
      <alignment horizontal="center" vertical="top"/>
    </xf>
    <xf numFmtId="166" fontId="10" fillId="0" borderId="0" xfId="0" applyNumberFormat="1" applyFont="1" applyAlignment="1">
      <alignment horizontal="center" vertical="top"/>
    </xf>
    <xf numFmtId="0" fontId="10" fillId="0" borderId="0" xfId="0" applyFont="1" applyAlignment="1">
      <alignment horizontal="center"/>
    </xf>
    <xf numFmtId="0" fontId="10" fillId="0" borderId="0" xfId="0" applyFont="1" applyAlignment="1">
      <alignment vertical="top"/>
    </xf>
    <xf numFmtId="3" fontId="10" fillId="0" borderId="0" xfId="0" applyNumberFormat="1" applyFont="1" applyAlignment="1">
      <alignment horizontal="right" vertical="top"/>
    </xf>
    <xf numFmtId="165" fontId="10" fillId="0" borderId="0" xfId="0" applyNumberFormat="1" applyFont="1" applyAlignment="1">
      <alignment horizontal="right" vertical="top"/>
    </xf>
    <xf numFmtId="166" fontId="10" fillId="0" borderId="0" xfId="0" applyNumberFormat="1" applyFont="1" applyAlignment="1">
      <alignment horizontal="right" vertical="top"/>
    </xf>
    <xf numFmtId="0" fontId="10" fillId="0" borderId="0" xfId="0" applyFont="1"/>
    <xf numFmtId="0" fontId="11" fillId="2" borderId="0" xfId="0" applyFont="1" applyFill="1" applyAlignment="1">
      <alignment horizontal="center" vertical="top" wrapText="1"/>
    </xf>
    <xf numFmtId="0" fontId="11" fillId="2" borderId="0" xfId="0" applyFont="1" applyFill="1" applyAlignment="1">
      <alignment vertical="top" wrapText="1"/>
    </xf>
    <xf numFmtId="3" fontId="11" fillId="2" borderId="0" xfId="0" applyNumberFormat="1" applyFont="1" applyFill="1" applyAlignment="1">
      <alignment horizontal="right" vertical="top" wrapText="1"/>
    </xf>
    <xf numFmtId="165" fontId="11" fillId="2" borderId="0" xfId="0" applyNumberFormat="1" applyFont="1" applyFill="1" applyAlignment="1">
      <alignment horizontal="right" vertical="top" wrapText="1"/>
    </xf>
    <xf numFmtId="166" fontId="11" fillId="2" borderId="0" xfId="0" applyNumberFormat="1" applyFont="1" applyFill="1" applyAlignment="1">
      <alignment horizontal="right" vertical="top" wrapText="1"/>
    </xf>
    <xf numFmtId="0" fontId="10" fillId="0" borderId="0" xfId="0" applyFont="1" applyAlignment="1">
      <alignment wrapText="1"/>
    </xf>
    <xf numFmtId="0" fontId="10" fillId="0" borderId="0" xfId="0" applyFont="1" applyAlignment="1">
      <alignment horizontal="left" vertical="top"/>
    </xf>
    <xf numFmtId="0" fontId="7" fillId="5" borderId="12" xfId="0" applyFont="1" applyFill="1" applyBorder="1" applyAlignment="1">
      <alignment vertical="top"/>
    </xf>
    <xf numFmtId="0" fontId="8" fillId="5" borderId="9" xfId="0" applyFont="1" applyFill="1" applyBorder="1" applyAlignment="1">
      <alignment vertical="top"/>
    </xf>
    <xf numFmtId="0" fontId="8" fillId="5" borderId="15" xfId="0" applyFont="1" applyFill="1" applyBorder="1" applyAlignment="1">
      <alignment vertical="top"/>
    </xf>
    <xf numFmtId="0" fontId="4" fillId="5" borderId="1" xfId="0" applyFont="1" applyFill="1" applyBorder="1" applyAlignment="1">
      <alignment vertical="top" wrapText="1"/>
    </xf>
    <xf numFmtId="0" fontId="0" fillId="5" borderId="1" xfId="0" applyFill="1" applyBorder="1" applyAlignment="1">
      <alignment vertical="top" wrapText="1"/>
    </xf>
    <xf numFmtId="0" fontId="6"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7" fillId="5" borderId="11" xfId="0" applyFont="1" applyFill="1" applyBorder="1" applyAlignment="1">
      <alignment vertical="top"/>
    </xf>
    <xf numFmtId="0" fontId="8" fillId="5" borderId="0" xfId="0" applyFont="1" applyFill="1" applyAlignment="1">
      <alignment vertical="top"/>
    </xf>
    <xf numFmtId="0" fontId="8" fillId="5" borderId="14"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7263-00D7-4E58-A252-AF9E70BA89CE}">
  <sheetPr>
    <pageSetUpPr fitToPage="1"/>
  </sheetPr>
  <dimension ref="A1:G4448"/>
  <sheetViews>
    <sheetView tabSelected="1" workbookViewId="0">
      <pane ySplit="5" topLeftCell="A6" activePane="bottomLeft" state="frozen"/>
      <selection pane="bottomLeft" activeCell="C35" sqref="C35"/>
    </sheetView>
  </sheetViews>
  <sheetFormatPr defaultRowHeight="15" x14ac:dyDescent="0.25"/>
  <cols>
    <col min="1" max="1" width="9" style="4" bestFit="1" customWidth="1"/>
    <col min="2" max="2" width="18.28515625" style="4" bestFit="1" customWidth="1"/>
    <col min="3" max="3" width="36" style="1" bestFit="1" customWidth="1"/>
    <col min="4" max="4" width="22.5703125" style="1" bestFit="1" customWidth="1"/>
    <col min="5" max="5" width="17.5703125" style="6" bestFit="1" customWidth="1"/>
    <col min="6" max="6" width="7.7109375" style="4" bestFit="1" customWidth="1"/>
    <col min="7" max="7" width="16.28515625" style="15" bestFit="1" customWidth="1"/>
  </cols>
  <sheetData>
    <row r="1" spans="1:7" s="7" customFormat="1" ht="15" customHeight="1" x14ac:dyDescent="0.25">
      <c r="A1" s="31" t="s">
        <v>13193</v>
      </c>
      <c r="B1" s="29"/>
      <c r="C1" s="29"/>
      <c r="D1" s="29"/>
      <c r="E1" s="29"/>
      <c r="F1" s="8"/>
      <c r="G1" s="12"/>
    </row>
    <row r="2" spans="1:7" x14ac:dyDescent="0.25">
      <c r="A2" s="30" t="s">
        <v>12053</v>
      </c>
      <c r="B2" s="10"/>
      <c r="C2" s="10"/>
      <c r="D2" s="10"/>
      <c r="E2" s="10"/>
      <c r="F2" s="9"/>
      <c r="G2" s="13"/>
    </row>
    <row r="3" spans="1:7" x14ac:dyDescent="0.25">
      <c r="A3" s="30"/>
      <c r="B3" s="10"/>
      <c r="C3" s="10"/>
      <c r="D3" s="10"/>
      <c r="E3" s="10"/>
      <c r="F3" s="9"/>
      <c r="G3" s="13"/>
    </row>
    <row r="4" spans="1:7" x14ac:dyDescent="0.25">
      <c r="A4" s="9"/>
      <c r="B4" s="9"/>
      <c r="C4" s="10"/>
      <c r="D4" s="10"/>
      <c r="E4" s="11"/>
      <c r="F4" s="9"/>
      <c r="G4" s="13"/>
    </row>
    <row r="5" spans="1:7" x14ac:dyDescent="0.25">
      <c r="A5" s="3" t="s">
        <v>0</v>
      </c>
      <c r="B5" s="3" t="s">
        <v>1</v>
      </c>
      <c r="C5" s="2" t="s">
        <v>2</v>
      </c>
      <c r="D5" s="2" t="s">
        <v>3</v>
      </c>
      <c r="E5" s="5" t="s">
        <v>4</v>
      </c>
      <c r="F5" s="3" t="s">
        <v>5</v>
      </c>
      <c r="G5" s="14" t="s">
        <v>6</v>
      </c>
    </row>
    <row r="6" spans="1:7" x14ac:dyDescent="0.25">
      <c r="A6" s="4" t="s">
        <v>7</v>
      </c>
      <c r="B6" s="4" t="s">
        <v>8</v>
      </c>
      <c r="C6" s="1" t="s">
        <v>9</v>
      </c>
      <c r="D6" s="1" t="s">
        <v>10</v>
      </c>
      <c r="E6" s="6">
        <v>7464</v>
      </c>
    </row>
    <row r="7" spans="1:7" x14ac:dyDescent="0.25">
      <c r="A7" s="4" t="s">
        <v>7</v>
      </c>
      <c r="B7" s="4" t="s">
        <v>11</v>
      </c>
      <c r="C7" s="1" t="s">
        <v>12</v>
      </c>
      <c r="D7" s="1" t="s">
        <v>13</v>
      </c>
      <c r="E7" s="6">
        <v>19578</v>
      </c>
    </row>
    <row r="8" spans="1:7" x14ac:dyDescent="0.25">
      <c r="A8" s="4" t="s">
        <v>7</v>
      </c>
      <c r="B8" s="4" t="s">
        <v>14</v>
      </c>
      <c r="C8" s="1" t="s">
        <v>15</v>
      </c>
      <c r="D8" s="1" t="s">
        <v>16</v>
      </c>
      <c r="E8" s="6">
        <v>12978</v>
      </c>
    </row>
    <row r="9" spans="1:7" x14ac:dyDescent="0.25">
      <c r="A9" s="4" t="s">
        <v>7</v>
      </c>
      <c r="B9" s="4" t="s">
        <v>17</v>
      </c>
      <c r="C9" s="1" t="s">
        <v>9</v>
      </c>
      <c r="D9" s="1" t="s">
        <v>10</v>
      </c>
      <c r="E9" s="6">
        <v>7464</v>
      </c>
    </row>
    <row r="10" spans="1:7" x14ac:dyDescent="0.25">
      <c r="A10" s="4" t="s">
        <v>7</v>
      </c>
      <c r="B10" s="4" t="s">
        <v>18</v>
      </c>
      <c r="C10" s="1" t="s">
        <v>9</v>
      </c>
      <c r="D10" s="1" t="s">
        <v>10</v>
      </c>
      <c r="E10" s="6">
        <v>7464</v>
      </c>
    </row>
    <row r="11" spans="1:7" x14ac:dyDescent="0.25">
      <c r="A11" s="4" t="s">
        <v>7</v>
      </c>
      <c r="B11" s="4" t="s">
        <v>19</v>
      </c>
      <c r="C11" s="1" t="s">
        <v>12</v>
      </c>
      <c r="D11" s="1" t="s">
        <v>13</v>
      </c>
      <c r="E11" s="6">
        <v>19578</v>
      </c>
    </row>
    <row r="12" spans="1:7" x14ac:dyDescent="0.25">
      <c r="A12" s="4" t="s">
        <v>7</v>
      </c>
      <c r="B12" s="4" t="s">
        <v>20</v>
      </c>
      <c r="C12" s="1" t="s">
        <v>21</v>
      </c>
      <c r="D12" s="1" t="s">
        <v>22</v>
      </c>
      <c r="E12" s="6">
        <v>7464</v>
      </c>
    </row>
    <row r="13" spans="1:7" x14ac:dyDescent="0.25">
      <c r="A13" s="4" t="s">
        <v>7</v>
      </c>
      <c r="B13" s="4" t="s">
        <v>23</v>
      </c>
      <c r="C13" s="1" t="s">
        <v>24</v>
      </c>
      <c r="D13" s="1" t="s">
        <v>25</v>
      </c>
      <c r="E13" s="6">
        <v>7464</v>
      </c>
    </row>
    <row r="14" spans="1:7" x14ac:dyDescent="0.25">
      <c r="A14" s="4" t="s">
        <v>7</v>
      </c>
      <c r="B14" s="4" t="s">
        <v>26</v>
      </c>
      <c r="C14" s="1" t="s">
        <v>15</v>
      </c>
      <c r="D14" s="1" t="s">
        <v>16</v>
      </c>
      <c r="E14" s="6">
        <v>12978</v>
      </c>
    </row>
    <row r="15" spans="1:7" x14ac:dyDescent="0.25">
      <c r="A15" s="4" t="s">
        <v>7</v>
      </c>
      <c r="B15" s="4" t="s">
        <v>27</v>
      </c>
      <c r="C15" s="1" t="s">
        <v>9</v>
      </c>
      <c r="D15" s="1" t="s">
        <v>10</v>
      </c>
      <c r="E15" s="6">
        <v>7464</v>
      </c>
    </row>
    <row r="16" spans="1:7" x14ac:dyDescent="0.25">
      <c r="A16" s="4" t="s">
        <v>7</v>
      </c>
      <c r="B16" s="4" t="s">
        <v>28</v>
      </c>
      <c r="C16" s="1" t="s">
        <v>21</v>
      </c>
      <c r="D16" s="1" t="s">
        <v>22</v>
      </c>
      <c r="E16" s="6">
        <v>7464</v>
      </c>
    </row>
    <row r="17" spans="1:5" x14ac:dyDescent="0.25">
      <c r="A17" s="4" t="s">
        <v>7</v>
      </c>
      <c r="B17" s="4" t="s">
        <v>29</v>
      </c>
      <c r="C17" s="1" t="s">
        <v>24</v>
      </c>
      <c r="D17" s="1" t="s">
        <v>25</v>
      </c>
      <c r="E17" s="6">
        <v>7464</v>
      </c>
    </row>
    <row r="18" spans="1:5" x14ac:dyDescent="0.25">
      <c r="A18" s="4" t="s">
        <v>7</v>
      </c>
      <c r="B18" s="4" t="s">
        <v>30</v>
      </c>
      <c r="C18" s="1" t="s">
        <v>15</v>
      </c>
      <c r="D18" s="1" t="s">
        <v>16</v>
      </c>
      <c r="E18" s="6">
        <v>12978</v>
      </c>
    </row>
    <row r="19" spans="1:5" x14ac:dyDescent="0.25">
      <c r="A19" s="4" t="s">
        <v>7</v>
      </c>
      <c r="B19" s="4" t="s">
        <v>31</v>
      </c>
      <c r="C19" s="1" t="s">
        <v>32</v>
      </c>
      <c r="D19" s="1" t="s">
        <v>33</v>
      </c>
      <c r="E19" s="6">
        <v>24886</v>
      </c>
    </row>
    <row r="20" spans="1:5" x14ac:dyDescent="0.25">
      <c r="A20" s="4" t="s">
        <v>7</v>
      </c>
      <c r="B20" s="4" t="s">
        <v>34</v>
      </c>
      <c r="C20" s="1" t="s">
        <v>33</v>
      </c>
      <c r="D20" s="1" t="s">
        <v>33</v>
      </c>
      <c r="E20" s="6">
        <v>5221</v>
      </c>
    </row>
    <row r="21" spans="1:5" x14ac:dyDescent="0.25">
      <c r="A21" s="4" t="s">
        <v>7</v>
      </c>
      <c r="B21" s="4" t="s">
        <v>35</v>
      </c>
      <c r="C21" s="1" t="s">
        <v>36</v>
      </c>
      <c r="D21" s="1" t="s">
        <v>37</v>
      </c>
      <c r="E21" s="6">
        <v>24886</v>
      </c>
    </row>
    <row r="22" spans="1:5" x14ac:dyDescent="0.25">
      <c r="A22" s="4" t="s">
        <v>7</v>
      </c>
      <c r="B22" s="4" t="s">
        <v>38</v>
      </c>
      <c r="C22" s="1" t="s">
        <v>39</v>
      </c>
      <c r="D22" s="1" t="s">
        <v>40</v>
      </c>
      <c r="E22" s="6">
        <v>6977</v>
      </c>
    </row>
    <row r="23" spans="1:5" x14ac:dyDescent="0.25">
      <c r="A23" s="4" t="s">
        <v>7</v>
      </c>
      <c r="B23" s="4" t="s">
        <v>41</v>
      </c>
      <c r="C23" s="1" t="s">
        <v>42</v>
      </c>
      <c r="D23" s="1" t="s">
        <v>43</v>
      </c>
      <c r="E23" s="6">
        <v>6364</v>
      </c>
    </row>
    <row r="24" spans="1:5" x14ac:dyDescent="0.25">
      <c r="A24" s="4" t="s">
        <v>7</v>
      </c>
      <c r="B24" s="4" t="s">
        <v>44</v>
      </c>
      <c r="C24" s="1" t="s">
        <v>45</v>
      </c>
      <c r="D24" s="1" t="s">
        <v>46</v>
      </c>
      <c r="E24" s="6">
        <v>1952</v>
      </c>
    </row>
    <row r="25" spans="1:5" x14ac:dyDescent="0.25">
      <c r="A25" s="4" t="s">
        <v>7</v>
      </c>
      <c r="B25" s="4" t="s">
        <v>47</v>
      </c>
      <c r="C25" s="1" t="s">
        <v>48</v>
      </c>
      <c r="D25" s="1" t="s">
        <v>49</v>
      </c>
      <c r="E25" s="6">
        <v>10126</v>
      </c>
    </row>
    <row r="26" spans="1:5" x14ac:dyDescent="0.25">
      <c r="A26" s="4" t="s">
        <v>7</v>
      </c>
      <c r="B26" s="4" t="s">
        <v>50</v>
      </c>
      <c r="C26" s="1" t="s">
        <v>51</v>
      </c>
      <c r="D26" s="1" t="s">
        <v>52</v>
      </c>
      <c r="E26" s="6">
        <v>2460</v>
      </c>
    </row>
    <row r="27" spans="1:5" x14ac:dyDescent="0.25">
      <c r="A27" s="4" t="s">
        <v>7</v>
      </c>
      <c r="B27" s="4" t="s">
        <v>53</v>
      </c>
      <c r="C27" s="1" t="s">
        <v>54</v>
      </c>
      <c r="D27" s="1" t="s">
        <v>55</v>
      </c>
      <c r="E27" s="6">
        <v>13019</v>
      </c>
    </row>
    <row r="28" spans="1:5" x14ac:dyDescent="0.25">
      <c r="A28" s="4" t="s">
        <v>7</v>
      </c>
      <c r="B28" s="4" t="s">
        <v>56</v>
      </c>
      <c r="C28" s="1" t="s">
        <v>57</v>
      </c>
      <c r="D28" s="1" t="s">
        <v>58</v>
      </c>
      <c r="E28" s="6">
        <v>2893</v>
      </c>
    </row>
    <row r="29" spans="1:5" x14ac:dyDescent="0.25">
      <c r="A29" s="4" t="s">
        <v>7</v>
      </c>
      <c r="B29" s="4" t="s">
        <v>59</v>
      </c>
      <c r="C29" s="1" t="s">
        <v>60</v>
      </c>
      <c r="D29" s="1" t="s">
        <v>61</v>
      </c>
      <c r="E29" s="6">
        <v>17358</v>
      </c>
    </row>
    <row r="30" spans="1:5" x14ac:dyDescent="0.25">
      <c r="A30" s="4" t="s">
        <v>7</v>
      </c>
      <c r="B30" s="4" t="s">
        <v>62</v>
      </c>
      <c r="C30" s="1" t="s">
        <v>63</v>
      </c>
      <c r="D30" s="1" t="s">
        <v>64</v>
      </c>
      <c r="E30" s="6">
        <v>4340</v>
      </c>
    </row>
    <row r="31" spans="1:5" x14ac:dyDescent="0.25">
      <c r="A31" s="4" t="s">
        <v>7</v>
      </c>
      <c r="B31" s="4" t="s">
        <v>65</v>
      </c>
      <c r="C31" s="1" t="s">
        <v>66</v>
      </c>
      <c r="D31" s="1" t="s">
        <v>67</v>
      </c>
      <c r="E31" s="6">
        <v>10126</v>
      </c>
    </row>
    <row r="32" spans="1:5" x14ac:dyDescent="0.25">
      <c r="A32" s="4" t="s">
        <v>7</v>
      </c>
      <c r="B32" s="4" t="s">
        <v>68</v>
      </c>
      <c r="C32" s="1" t="s">
        <v>69</v>
      </c>
      <c r="D32" s="1" t="s">
        <v>67</v>
      </c>
      <c r="E32" s="6">
        <v>2460</v>
      </c>
    </row>
    <row r="33" spans="1:5" x14ac:dyDescent="0.25">
      <c r="A33" s="4" t="s">
        <v>7</v>
      </c>
      <c r="B33" s="4" t="s">
        <v>70</v>
      </c>
      <c r="C33" s="1" t="s">
        <v>71</v>
      </c>
      <c r="D33" s="1" t="s">
        <v>72</v>
      </c>
      <c r="E33" s="6">
        <v>13019</v>
      </c>
    </row>
    <row r="34" spans="1:5" x14ac:dyDescent="0.25">
      <c r="A34" s="4" t="s">
        <v>7</v>
      </c>
      <c r="B34" s="4" t="s">
        <v>73</v>
      </c>
      <c r="C34" s="1" t="s">
        <v>74</v>
      </c>
      <c r="D34" s="1" t="s">
        <v>72</v>
      </c>
      <c r="E34" s="6">
        <v>2893</v>
      </c>
    </row>
    <row r="35" spans="1:5" x14ac:dyDescent="0.25">
      <c r="A35" s="4" t="s">
        <v>7</v>
      </c>
      <c r="B35" s="4" t="s">
        <v>75</v>
      </c>
      <c r="C35" s="1" t="s">
        <v>76</v>
      </c>
      <c r="D35" s="1" t="s">
        <v>77</v>
      </c>
      <c r="E35" s="6">
        <v>17358</v>
      </c>
    </row>
    <row r="36" spans="1:5" x14ac:dyDescent="0.25">
      <c r="A36" s="4" t="s">
        <v>7</v>
      </c>
      <c r="B36" s="4" t="s">
        <v>78</v>
      </c>
      <c r="C36" s="1" t="s">
        <v>79</v>
      </c>
      <c r="D36" s="1" t="s">
        <v>77</v>
      </c>
      <c r="E36" s="6">
        <v>4340</v>
      </c>
    </row>
    <row r="37" spans="1:5" x14ac:dyDescent="0.25">
      <c r="A37" s="4" t="s">
        <v>7</v>
      </c>
      <c r="B37" s="4" t="s">
        <v>80</v>
      </c>
      <c r="C37" s="1" t="s">
        <v>81</v>
      </c>
      <c r="D37" s="1" t="s">
        <v>82</v>
      </c>
      <c r="E37" s="6">
        <v>520</v>
      </c>
    </row>
    <row r="38" spans="1:5" x14ac:dyDescent="0.25">
      <c r="A38" s="4" t="s">
        <v>7</v>
      </c>
      <c r="B38" s="4" t="s">
        <v>83</v>
      </c>
      <c r="C38" s="1" t="s">
        <v>84</v>
      </c>
      <c r="D38" s="1" t="s">
        <v>85</v>
      </c>
      <c r="E38" s="6">
        <v>2566</v>
      </c>
    </row>
    <row r="39" spans="1:5" x14ac:dyDescent="0.25">
      <c r="A39" s="4" t="s">
        <v>7</v>
      </c>
      <c r="B39" s="4" t="s">
        <v>86</v>
      </c>
      <c r="C39" s="1" t="s">
        <v>87</v>
      </c>
      <c r="D39" s="1" t="s">
        <v>88</v>
      </c>
      <c r="E39" s="6">
        <v>1258</v>
      </c>
    </row>
    <row r="40" spans="1:5" x14ac:dyDescent="0.25">
      <c r="A40" s="4" t="s">
        <v>7</v>
      </c>
      <c r="B40" s="4" t="s">
        <v>89</v>
      </c>
      <c r="C40" s="1" t="s">
        <v>90</v>
      </c>
      <c r="D40" s="1" t="s">
        <v>91</v>
      </c>
      <c r="E40" s="6">
        <v>1018</v>
      </c>
    </row>
    <row r="41" spans="1:5" x14ac:dyDescent="0.25">
      <c r="A41" s="4" t="s">
        <v>7</v>
      </c>
      <c r="B41" s="4" t="s">
        <v>92</v>
      </c>
      <c r="C41" s="1" t="s">
        <v>93</v>
      </c>
      <c r="D41" s="1" t="s">
        <v>94</v>
      </c>
      <c r="E41" s="6">
        <v>573</v>
      </c>
    </row>
    <row r="42" spans="1:5" x14ac:dyDescent="0.25">
      <c r="A42" s="4" t="s">
        <v>7</v>
      </c>
      <c r="B42" s="4" t="s">
        <v>95</v>
      </c>
      <c r="C42" s="1" t="s">
        <v>96</v>
      </c>
      <c r="D42" s="1" t="s">
        <v>97</v>
      </c>
      <c r="E42" s="6">
        <v>2139</v>
      </c>
    </row>
    <row r="43" spans="1:5" x14ac:dyDescent="0.25">
      <c r="A43" s="4" t="s">
        <v>7</v>
      </c>
      <c r="B43" s="4" t="s">
        <v>98</v>
      </c>
      <c r="C43" s="1" t="s">
        <v>99</v>
      </c>
      <c r="D43" s="1" t="s">
        <v>100</v>
      </c>
      <c r="E43" s="6">
        <v>511</v>
      </c>
    </row>
    <row r="44" spans="1:5" x14ac:dyDescent="0.25">
      <c r="A44" s="4" t="s">
        <v>7</v>
      </c>
      <c r="B44" s="4" t="s">
        <v>101</v>
      </c>
      <c r="C44" s="1" t="s">
        <v>102</v>
      </c>
      <c r="D44" s="1" t="s">
        <v>103</v>
      </c>
      <c r="E44" s="6">
        <v>2168</v>
      </c>
    </row>
    <row r="45" spans="1:5" x14ac:dyDescent="0.25">
      <c r="A45" s="4" t="s">
        <v>7</v>
      </c>
      <c r="B45" s="4" t="s">
        <v>104</v>
      </c>
      <c r="C45" s="1" t="s">
        <v>105</v>
      </c>
      <c r="D45" s="1" t="s">
        <v>106</v>
      </c>
      <c r="E45" s="6">
        <v>576</v>
      </c>
    </row>
    <row r="46" spans="1:5" x14ac:dyDescent="0.25">
      <c r="A46" s="4" t="s">
        <v>7</v>
      </c>
      <c r="B46" s="4" t="s">
        <v>107</v>
      </c>
      <c r="C46" s="1" t="s">
        <v>108</v>
      </c>
      <c r="D46" s="1" t="s">
        <v>109</v>
      </c>
      <c r="E46" s="6">
        <v>107335</v>
      </c>
    </row>
    <row r="47" spans="1:5" x14ac:dyDescent="0.25">
      <c r="A47" s="4" t="s">
        <v>7</v>
      </c>
      <c r="B47" s="4" t="s">
        <v>110</v>
      </c>
      <c r="C47" s="1" t="s">
        <v>111</v>
      </c>
      <c r="D47" s="1" t="s">
        <v>112</v>
      </c>
      <c r="E47" s="6">
        <v>155606</v>
      </c>
    </row>
    <row r="48" spans="1:5" x14ac:dyDescent="0.25">
      <c r="A48" s="4" t="s">
        <v>7</v>
      </c>
      <c r="B48" s="4" t="s">
        <v>113</v>
      </c>
      <c r="C48" s="1" t="s">
        <v>114</v>
      </c>
      <c r="D48" s="1" t="s">
        <v>115</v>
      </c>
      <c r="E48" s="6">
        <v>142757</v>
      </c>
    </row>
    <row r="49" spans="1:6" x14ac:dyDescent="0.25">
      <c r="A49" s="4" t="s">
        <v>7</v>
      </c>
      <c r="B49" s="4" t="s">
        <v>116</v>
      </c>
      <c r="C49" s="1" t="s">
        <v>117</v>
      </c>
      <c r="D49" s="1" t="s">
        <v>118</v>
      </c>
      <c r="E49" s="6">
        <v>34734</v>
      </c>
    </row>
    <row r="50" spans="1:6" x14ac:dyDescent="0.25">
      <c r="A50" s="4" t="s">
        <v>7</v>
      </c>
      <c r="B50" s="4" t="s">
        <v>119</v>
      </c>
      <c r="C50" s="1" t="s">
        <v>120</v>
      </c>
      <c r="D50" s="1" t="s">
        <v>121</v>
      </c>
      <c r="E50" s="6">
        <v>98835</v>
      </c>
    </row>
    <row r="51" spans="1:6" x14ac:dyDescent="0.25">
      <c r="A51" s="4" t="s">
        <v>7</v>
      </c>
      <c r="B51" s="4" t="s">
        <v>122</v>
      </c>
      <c r="C51" s="1" t="s">
        <v>123</v>
      </c>
      <c r="D51" s="1" t="s">
        <v>124</v>
      </c>
      <c r="E51" s="6">
        <v>140759</v>
      </c>
    </row>
    <row r="52" spans="1:6" x14ac:dyDescent="0.25">
      <c r="A52" s="4" t="s">
        <v>7</v>
      </c>
      <c r="B52" s="4" t="s">
        <v>125</v>
      </c>
      <c r="C52" s="1" t="s">
        <v>126</v>
      </c>
      <c r="D52" s="1" t="s">
        <v>127</v>
      </c>
      <c r="E52" s="6">
        <v>164036</v>
      </c>
    </row>
    <row r="53" spans="1:6" x14ac:dyDescent="0.25">
      <c r="A53" s="4" t="s">
        <v>7</v>
      </c>
      <c r="B53" s="4" t="s">
        <v>128</v>
      </c>
      <c r="C53" s="1" t="s">
        <v>129</v>
      </c>
      <c r="D53" s="1" t="s">
        <v>130</v>
      </c>
      <c r="E53" s="6">
        <v>51228</v>
      </c>
      <c r="F53" s="4" t="s">
        <v>131</v>
      </c>
    </row>
    <row r="54" spans="1:6" x14ac:dyDescent="0.25">
      <c r="A54" s="4" t="s">
        <v>7</v>
      </c>
      <c r="B54" s="4" t="s">
        <v>132</v>
      </c>
      <c r="C54" s="1" t="s">
        <v>133</v>
      </c>
      <c r="D54" s="1" t="s">
        <v>130</v>
      </c>
      <c r="E54" s="6">
        <v>36206</v>
      </c>
      <c r="F54" s="4" t="s">
        <v>131</v>
      </c>
    </row>
    <row r="55" spans="1:6" x14ac:dyDescent="0.25">
      <c r="A55" s="4" t="s">
        <v>7</v>
      </c>
      <c r="B55" s="4" t="s">
        <v>134</v>
      </c>
      <c r="C55" s="1" t="s">
        <v>135</v>
      </c>
      <c r="D55" s="1" t="s">
        <v>130</v>
      </c>
      <c r="E55" s="6">
        <v>146947</v>
      </c>
    </row>
    <row r="56" spans="1:6" x14ac:dyDescent="0.25">
      <c r="A56" s="4" t="s">
        <v>7</v>
      </c>
      <c r="B56" s="4" t="s">
        <v>136</v>
      </c>
      <c r="C56" s="1" t="s">
        <v>137</v>
      </c>
      <c r="D56" s="1" t="s">
        <v>138</v>
      </c>
      <c r="E56" s="6">
        <v>146013</v>
      </c>
    </row>
    <row r="57" spans="1:6" x14ac:dyDescent="0.25">
      <c r="A57" s="4" t="s">
        <v>7</v>
      </c>
      <c r="B57" s="4" t="s">
        <v>139</v>
      </c>
      <c r="C57" s="1" t="s">
        <v>140</v>
      </c>
      <c r="D57" s="1" t="s">
        <v>141</v>
      </c>
      <c r="E57" s="6">
        <v>32319</v>
      </c>
    </row>
    <row r="58" spans="1:6" x14ac:dyDescent="0.25">
      <c r="A58" s="4" t="s">
        <v>7</v>
      </c>
      <c r="B58" s="4" t="s">
        <v>142</v>
      </c>
      <c r="C58" s="1" t="s">
        <v>143</v>
      </c>
      <c r="D58" s="1" t="s">
        <v>144</v>
      </c>
      <c r="E58" s="6">
        <v>112680</v>
      </c>
    </row>
    <row r="59" spans="1:6" x14ac:dyDescent="0.25">
      <c r="A59" s="4" t="s">
        <v>7</v>
      </c>
      <c r="B59" s="4" t="s">
        <v>145</v>
      </c>
      <c r="C59" s="1" t="s">
        <v>146</v>
      </c>
      <c r="D59" s="1" t="s">
        <v>147</v>
      </c>
      <c r="E59" s="6">
        <v>36206</v>
      </c>
    </row>
    <row r="60" spans="1:6" x14ac:dyDescent="0.25">
      <c r="A60" s="4" t="s">
        <v>7</v>
      </c>
      <c r="B60" s="4" t="s">
        <v>148</v>
      </c>
      <c r="C60" s="1" t="s">
        <v>149</v>
      </c>
      <c r="D60" s="1" t="s">
        <v>150</v>
      </c>
      <c r="E60" s="6">
        <v>51228</v>
      </c>
    </row>
    <row r="61" spans="1:6" x14ac:dyDescent="0.25">
      <c r="A61" s="4" t="s">
        <v>7</v>
      </c>
      <c r="B61" s="4" t="s">
        <v>151</v>
      </c>
      <c r="C61" s="1" t="s">
        <v>152</v>
      </c>
      <c r="D61" s="1" t="s">
        <v>153</v>
      </c>
      <c r="E61" s="6">
        <v>60441</v>
      </c>
    </row>
    <row r="62" spans="1:6" x14ac:dyDescent="0.25">
      <c r="A62" s="4" t="s">
        <v>7</v>
      </c>
      <c r="B62" s="4" t="s">
        <v>154</v>
      </c>
      <c r="C62" s="1" t="s">
        <v>155</v>
      </c>
      <c r="D62" s="1" t="s">
        <v>156</v>
      </c>
      <c r="E62" s="6">
        <v>19335</v>
      </c>
      <c r="F62" s="4" t="s">
        <v>131</v>
      </c>
    </row>
    <row r="63" spans="1:6" x14ac:dyDescent="0.25">
      <c r="A63" s="4" t="s">
        <v>7</v>
      </c>
      <c r="B63" s="4" t="s">
        <v>157</v>
      </c>
      <c r="C63" s="1" t="s">
        <v>158</v>
      </c>
      <c r="D63" s="1" t="s">
        <v>159</v>
      </c>
      <c r="E63" s="6">
        <v>2553</v>
      </c>
      <c r="F63" s="4" t="s">
        <v>131</v>
      </c>
    </row>
    <row r="64" spans="1:6" x14ac:dyDescent="0.25">
      <c r="A64" s="4" t="s">
        <v>7</v>
      </c>
      <c r="B64" s="4" t="s">
        <v>160</v>
      </c>
      <c r="C64" s="1" t="s">
        <v>161</v>
      </c>
      <c r="D64" s="1" t="s">
        <v>162</v>
      </c>
      <c r="E64" s="6">
        <v>23971</v>
      </c>
      <c r="F64" s="4" t="s">
        <v>131</v>
      </c>
    </row>
    <row r="65" spans="1:6" x14ac:dyDescent="0.25">
      <c r="A65" s="4" t="s">
        <v>7</v>
      </c>
      <c r="B65" s="4" t="s">
        <v>163</v>
      </c>
      <c r="C65" s="1" t="s">
        <v>164</v>
      </c>
      <c r="D65" s="1" t="s">
        <v>165</v>
      </c>
      <c r="E65" s="6">
        <v>28196</v>
      </c>
    </row>
    <row r="66" spans="1:6" x14ac:dyDescent="0.25">
      <c r="A66" s="4" t="s">
        <v>7</v>
      </c>
      <c r="B66" s="4" t="s">
        <v>166</v>
      </c>
      <c r="C66" s="1" t="s">
        <v>167</v>
      </c>
      <c r="D66" s="1" t="s">
        <v>165</v>
      </c>
      <c r="E66" s="6">
        <v>13024</v>
      </c>
    </row>
    <row r="67" spans="1:6" x14ac:dyDescent="0.25">
      <c r="A67" s="4" t="s">
        <v>7</v>
      </c>
      <c r="B67" s="4" t="s">
        <v>168</v>
      </c>
      <c r="C67" s="1" t="s">
        <v>169</v>
      </c>
      <c r="D67" s="1" t="s">
        <v>170</v>
      </c>
      <c r="E67" s="6">
        <v>15126.48</v>
      </c>
    </row>
    <row r="68" spans="1:6" x14ac:dyDescent="0.25">
      <c r="A68" s="4" t="s">
        <v>7</v>
      </c>
      <c r="B68" s="4" t="s">
        <v>171</v>
      </c>
      <c r="C68" s="1" t="s">
        <v>172</v>
      </c>
      <c r="D68" s="1" t="s">
        <v>173</v>
      </c>
      <c r="E68" s="6">
        <v>15715</v>
      </c>
      <c r="F68" s="4" t="s">
        <v>131</v>
      </c>
    </row>
    <row r="69" spans="1:6" x14ac:dyDescent="0.25">
      <c r="A69" s="4" t="s">
        <v>7</v>
      </c>
      <c r="B69" s="4" t="s">
        <v>174</v>
      </c>
      <c r="C69" s="1" t="s">
        <v>175</v>
      </c>
      <c r="D69" s="1" t="s">
        <v>176</v>
      </c>
      <c r="E69" s="6">
        <v>15715</v>
      </c>
      <c r="F69" s="4" t="s">
        <v>131</v>
      </c>
    </row>
    <row r="70" spans="1:6" x14ac:dyDescent="0.25">
      <c r="A70" s="4" t="s">
        <v>7</v>
      </c>
      <c r="B70" s="4" t="s">
        <v>177</v>
      </c>
      <c r="C70" s="1" t="s">
        <v>178</v>
      </c>
      <c r="D70" s="1" t="s">
        <v>179</v>
      </c>
      <c r="E70" s="6">
        <v>37237</v>
      </c>
    </row>
    <row r="71" spans="1:6" x14ac:dyDescent="0.25">
      <c r="A71" s="4" t="s">
        <v>7</v>
      </c>
      <c r="B71" s="4" t="s">
        <v>180</v>
      </c>
      <c r="C71" s="1" t="s">
        <v>181</v>
      </c>
      <c r="D71" s="1" t="s">
        <v>182</v>
      </c>
      <c r="E71" s="6">
        <v>14013.45</v>
      </c>
    </row>
    <row r="72" spans="1:6" x14ac:dyDescent="0.25">
      <c r="A72" s="4" t="s">
        <v>7</v>
      </c>
      <c r="B72" s="4" t="s">
        <v>183</v>
      </c>
      <c r="C72" s="1" t="s">
        <v>184</v>
      </c>
      <c r="D72" s="1" t="s">
        <v>185</v>
      </c>
      <c r="E72" s="6">
        <v>59826</v>
      </c>
    </row>
    <row r="73" spans="1:6" x14ac:dyDescent="0.25">
      <c r="A73" s="4" t="s">
        <v>7</v>
      </c>
      <c r="B73" s="4" t="s">
        <v>186</v>
      </c>
      <c r="C73" s="1" t="s">
        <v>187</v>
      </c>
      <c r="D73" s="1" t="s">
        <v>188</v>
      </c>
      <c r="E73" s="6">
        <v>19333</v>
      </c>
    </row>
    <row r="74" spans="1:6" x14ac:dyDescent="0.25">
      <c r="A74" s="4" t="s">
        <v>7</v>
      </c>
      <c r="B74" s="4" t="s">
        <v>189</v>
      </c>
      <c r="C74" s="1" t="s">
        <v>190</v>
      </c>
      <c r="D74" s="1" t="s">
        <v>188</v>
      </c>
      <c r="E74" s="6">
        <v>12230</v>
      </c>
      <c r="F74" s="4" t="s">
        <v>131</v>
      </c>
    </row>
    <row r="75" spans="1:6" x14ac:dyDescent="0.25">
      <c r="A75" s="4" t="s">
        <v>7</v>
      </c>
      <c r="B75" s="4" t="s">
        <v>191</v>
      </c>
      <c r="C75" s="1" t="s">
        <v>192</v>
      </c>
      <c r="D75" s="1" t="s">
        <v>188</v>
      </c>
      <c r="E75" s="6">
        <v>21569</v>
      </c>
    </row>
    <row r="76" spans="1:6" x14ac:dyDescent="0.25">
      <c r="A76" s="4" t="s">
        <v>7</v>
      </c>
      <c r="B76" s="4" t="s">
        <v>193</v>
      </c>
      <c r="C76" s="1" t="s">
        <v>194</v>
      </c>
      <c r="D76" s="1" t="s">
        <v>195</v>
      </c>
      <c r="E76" s="6">
        <v>24942</v>
      </c>
    </row>
    <row r="77" spans="1:6" x14ac:dyDescent="0.25">
      <c r="A77" s="4" t="s">
        <v>7</v>
      </c>
      <c r="B77" s="4" t="s">
        <v>196</v>
      </c>
      <c r="C77" s="1" t="s">
        <v>197</v>
      </c>
      <c r="D77" s="1" t="s">
        <v>198</v>
      </c>
      <c r="E77" s="6">
        <v>36249</v>
      </c>
    </row>
    <row r="78" spans="1:6" x14ac:dyDescent="0.25">
      <c r="A78" s="4" t="s">
        <v>7</v>
      </c>
      <c r="B78" s="4" t="s">
        <v>199</v>
      </c>
      <c r="C78" s="1" t="s">
        <v>200</v>
      </c>
      <c r="D78" s="1" t="s">
        <v>201</v>
      </c>
      <c r="E78" s="6">
        <v>15715</v>
      </c>
    </row>
    <row r="79" spans="1:6" x14ac:dyDescent="0.25">
      <c r="A79" s="4" t="s">
        <v>7</v>
      </c>
      <c r="B79" s="4" t="s">
        <v>202</v>
      </c>
      <c r="C79" s="1" t="s">
        <v>203</v>
      </c>
      <c r="D79" s="1" t="s">
        <v>204</v>
      </c>
      <c r="E79" s="6">
        <v>63316</v>
      </c>
    </row>
    <row r="80" spans="1:6" x14ac:dyDescent="0.25">
      <c r="A80" s="4" t="s">
        <v>7</v>
      </c>
      <c r="B80" s="4" t="s">
        <v>205</v>
      </c>
      <c r="C80" s="1" t="s">
        <v>206</v>
      </c>
      <c r="D80" s="1" t="s">
        <v>207</v>
      </c>
      <c r="E80" s="6">
        <v>67637</v>
      </c>
      <c r="F80" s="4" t="s">
        <v>131</v>
      </c>
    </row>
    <row r="81" spans="1:6" x14ac:dyDescent="0.25">
      <c r="A81" s="4" t="s">
        <v>7</v>
      </c>
      <c r="B81" s="4" t="s">
        <v>208</v>
      </c>
      <c r="C81" s="1" t="s">
        <v>209</v>
      </c>
      <c r="D81" s="1" t="s">
        <v>210</v>
      </c>
      <c r="E81" s="6">
        <v>59033</v>
      </c>
    </row>
    <row r="82" spans="1:6" x14ac:dyDescent="0.25">
      <c r="A82" s="4" t="s">
        <v>7</v>
      </c>
      <c r="B82" s="4" t="s">
        <v>211</v>
      </c>
      <c r="C82" s="1" t="s">
        <v>212</v>
      </c>
      <c r="D82" s="1" t="s">
        <v>213</v>
      </c>
      <c r="E82" s="6">
        <v>21922</v>
      </c>
    </row>
    <row r="83" spans="1:6" x14ac:dyDescent="0.25">
      <c r="A83" s="4" t="s">
        <v>7</v>
      </c>
      <c r="B83" s="4" t="s">
        <v>214</v>
      </c>
      <c r="C83" s="1" t="s">
        <v>215</v>
      </c>
      <c r="D83" s="1" t="s">
        <v>216</v>
      </c>
      <c r="E83" s="6">
        <v>7207</v>
      </c>
    </row>
    <row r="84" spans="1:6" x14ac:dyDescent="0.25">
      <c r="A84" s="4" t="s">
        <v>7</v>
      </c>
      <c r="B84" s="4" t="s">
        <v>217</v>
      </c>
      <c r="C84" s="1" t="s">
        <v>218</v>
      </c>
      <c r="D84" s="1" t="s">
        <v>219</v>
      </c>
      <c r="E84" s="6">
        <v>139213</v>
      </c>
    </row>
    <row r="85" spans="1:6" x14ac:dyDescent="0.25">
      <c r="A85" s="4" t="s">
        <v>7</v>
      </c>
      <c r="B85" s="4" t="s">
        <v>220</v>
      </c>
      <c r="C85" s="1" t="s">
        <v>221</v>
      </c>
      <c r="D85" s="1" t="s">
        <v>222</v>
      </c>
      <c r="E85" s="6">
        <v>1212</v>
      </c>
      <c r="F85" s="4" t="s">
        <v>131</v>
      </c>
    </row>
    <row r="86" spans="1:6" x14ac:dyDescent="0.25">
      <c r="A86" s="4" t="s">
        <v>7</v>
      </c>
      <c r="B86" s="4" t="s">
        <v>223</v>
      </c>
      <c r="C86" s="1" t="s">
        <v>224</v>
      </c>
      <c r="D86" s="1" t="s">
        <v>225</v>
      </c>
      <c r="E86" s="6">
        <v>207272.73</v>
      </c>
    </row>
    <row r="87" spans="1:6" x14ac:dyDescent="0.25">
      <c r="A87" s="4" t="s">
        <v>7</v>
      </c>
      <c r="B87" s="4" t="s">
        <v>226</v>
      </c>
      <c r="C87" s="1" t="s">
        <v>227</v>
      </c>
      <c r="D87" s="1" t="s">
        <v>228</v>
      </c>
      <c r="E87" s="6">
        <v>51228</v>
      </c>
    </row>
    <row r="88" spans="1:6" x14ac:dyDescent="0.25">
      <c r="A88" s="4" t="s">
        <v>7</v>
      </c>
      <c r="B88" s="4" t="s">
        <v>229</v>
      </c>
      <c r="C88" s="1" t="s">
        <v>230</v>
      </c>
      <c r="D88" s="1" t="s">
        <v>228</v>
      </c>
      <c r="E88" s="6">
        <v>157132</v>
      </c>
    </row>
    <row r="89" spans="1:6" x14ac:dyDescent="0.25">
      <c r="A89" s="4" t="s">
        <v>7</v>
      </c>
      <c r="B89" s="4" t="s">
        <v>231</v>
      </c>
      <c r="C89" s="1" t="s">
        <v>232</v>
      </c>
      <c r="D89" s="1" t="s">
        <v>233</v>
      </c>
      <c r="E89" s="6">
        <v>36206</v>
      </c>
    </row>
    <row r="90" spans="1:6" x14ac:dyDescent="0.25">
      <c r="A90" s="4" t="s">
        <v>7</v>
      </c>
      <c r="B90" s="4" t="s">
        <v>234</v>
      </c>
      <c r="C90" s="1" t="s">
        <v>235</v>
      </c>
      <c r="D90" s="1" t="s">
        <v>236</v>
      </c>
      <c r="E90" s="6">
        <v>139707</v>
      </c>
    </row>
    <row r="91" spans="1:6" x14ac:dyDescent="0.25">
      <c r="A91" s="4" t="s">
        <v>7</v>
      </c>
      <c r="B91" s="4" t="s">
        <v>237</v>
      </c>
      <c r="C91" s="1" t="s">
        <v>238</v>
      </c>
      <c r="D91" s="1" t="s">
        <v>239</v>
      </c>
      <c r="E91" s="6">
        <v>52058</v>
      </c>
    </row>
    <row r="92" spans="1:6" x14ac:dyDescent="0.25">
      <c r="A92" s="4" t="s">
        <v>7</v>
      </c>
      <c r="B92" s="4" t="s">
        <v>240</v>
      </c>
      <c r="C92" s="1" t="s">
        <v>241</v>
      </c>
      <c r="D92" s="1" t="s">
        <v>236</v>
      </c>
      <c r="E92" s="6">
        <v>137856</v>
      </c>
    </row>
    <row r="93" spans="1:6" x14ac:dyDescent="0.25">
      <c r="A93" s="4" t="s">
        <v>7</v>
      </c>
      <c r="B93" s="4" t="s">
        <v>242</v>
      </c>
      <c r="C93" s="1" t="s">
        <v>243</v>
      </c>
      <c r="D93" s="1" t="s">
        <v>244</v>
      </c>
      <c r="E93" s="6">
        <v>112680</v>
      </c>
    </row>
    <row r="94" spans="1:6" x14ac:dyDescent="0.25">
      <c r="A94" s="4" t="s">
        <v>7</v>
      </c>
      <c r="B94" s="4" t="s">
        <v>245</v>
      </c>
      <c r="C94" s="1" t="s">
        <v>246</v>
      </c>
      <c r="D94" s="1" t="s">
        <v>244</v>
      </c>
      <c r="E94" s="6">
        <v>114192</v>
      </c>
    </row>
    <row r="95" spans="1:6" x14ac:dyDescent="0.25">
      <c r="A95" s="4" t="s">
        <v>7</v>
      </c>
      <c r="B95" s="4" t="s">
        <v>247</v>
      </c>
      <c r="C95" s="1" t="s">
        <v>248</v>
      </c>
      <c r="D95" s="1" t="s">
        <v>249</v>
      </c>
      <c r="E95" s="6">
        <v>150536</v>
      </c>
    </row>
    <row r="96" spans="1:6" x14ac:dyDescent="0.25">
      <c r="A96" s="4" t="s">
        <v>7</v>
      </c>
      <c r="B96" s="4" t="s">
        <v>250</v>
      </c>
      <c r="C96" s="1" t="s">
        <v>251</v>
      </c>
      <c r="D96" s="1" t="s">
        <v>252</v>
      </c>
      <c r="E96" s="6">
        <v>148224</v>
      </c>
    </row>
    <row r="97" spans="1:5" x14ac:dyDescent="0.25">
      <c r="A97" s="4" t="s">
        <v>7</v>
      </c>
      <c r="B97" s="4" t="s">
        <v>253</v>
      </c>
      <c r="C97" s="1" t="s">
        <v>254</v>
      </c>
      <c r="D97" s="1" t="s">
        <v>255</v>
      </c>
      <c r="E97" s="6">
        <v>175742</v>
      </c>
    </row>
    <row r="98" spans="1:5" x14ac:dyDescent="0.25">
      <c r="A98" s="4" t="s">
        <v>7</v>
      </c>
      <c r="B98" s="4" t="s">
        <v>256</v>
      </c>
      <c r="C98" s="1" t="s">
        <v>257</v>
      </c>
      <c r="D98" s="1" t="s">
        <v>255</v>
      </c>
      <c r="E98" s="6">
        <v>184441.60000000001</v>
      </c>
    </row>
    <row r="99" spans="1:5" x14ac:dyDescent="0.25">
      <c r="A99" s="4" t="s">
        <v>7</v>
      </c>
      <c r="B99" s="4" t="s">
        <v>258</v>
      </c>
      <c r="C99" s="1" t="s">
        <v>259</v>
      </c>
      <c r="D99" s="1" t="s">
        <v>255</v>
      </c>
      <c r="E99" s="6">
        <v>117681</v>
      </c>
    </row>
    <row r="100" spans="1:5" x14ac:dyDescent="0.25">
      <c r="A100" s="4" t="s">
        <v>7</v>
      </c>
      <c r="B100" s="4" t="s">
        <v>260</v>
      </c>
      <c r="C100" s="1" t="s">
        <v>261</v>
      </c>
      <c r="D100" s="1" t="s">
        <v>262</v>
      </c>
      <c r="E100" s="6">
        <v>134875</v>
      </c>
    </row>
    <row r="101" spans="1:5" x14ac:dyDescent="0.25">
      <c r="A101" s="4" t="s">
        <v>7</v>
      </c>
      <c r="B101" s="4" t="s">
        <v>263</v>
      </c>
      <c r="C101" s="1" t="s">
        <v>264</v>
      </c>
      <c r="D101" s="1" t="s">
        <v>225</v>
      </c>
      <c r="E101" s="6">
        <v>142051.9</v>
      </c>
    </row>
    <row r="102" spans="1:5" x14ac:dyDescent="0.25">
      <c r="A102" s="4" t="s">
        <v>7</v>
      </c>
      <c r="B102" s="4" t="s">
        <v>265</v>
      </c>
      <c r="C102" s="1" t="s">
        <v>266</v>
      </c>
      <c r="D102" s="1" t="s">
        <v>267</v>
      </c>
      <c r="E102" s="6">
        <v>51228</v>
      </c>
    </row>
    <row r="103" spans="1:5" x14ac:dyDescent="0.25">
      <c r="A103" s="4" t="s">
        <v>7</v>
      </c>
      <c r="B103" s="4" t="s">
        <v>268</v>
      </c>
      <c r="C103" s="1" t="s">
        <v>269</v>
      </c>
      <c r="D103" s="1" t="s">
        <v>124</v>
      </c>
      <c r="E103" s="6">
        <v>153159</v>
      </c>
    </row>
    <row r="104" spans="1:5" x14ac:dyDescent="0.25">
      <c r="A104" s="4" t="s">
        <v>7</v>
      </c>
      <c r="B104" s="4" t="s">
        <v>270</v>
      </c>
      <c r="C104" s="1" t="s">
        <v>271</v>
      </c>
      <c r="D104" s="1" t="s">
        <v>272</v>
      </c>
      <c r="E104" s="6">
        <v>174779.22</v>
      </c>
    </row>
    <row r="105" spans="1:5" x14ac:dyDescent="0.25">
      <c r="A105" s="4" t="s">
        <v>7</v>
      </c>
      <c r="B105" s="4" t="s">
        <v>273</v>
      </c>
      <c r="C105" s="1" t="s">
        <v>274</v>
      </c>
      <c r="D105" s="1" t="s">
        <v>275</v>
      </c>
      <c r="E105" s="6">
        <v>156872</v>
      </c>
    </row>
    <row r="106" spans="1:5" x14ac:dyDescent="0.25">
      <c r="A106" s="4" t="s">
        <v>7</v>
      </c>
      <c r="B106" s="4" t="s">
        <v>276</v>
      </c>
      <c r="C106" s="1" t="s">
        <v>277</v>
      </c>
      <c r="D106" s="1" t="s">
        <v>278</v>
      </c>
      <c r="E106" s="6">
        <v>171735</v>
      </c>
    </row>
    <row r="107" spans="1:5" x14ac:dyDescent="0.25">
      <c r="A107" s="4" t="s">
        <v>7</v>
      </c>
      <c r="B107" s="4" t="s">
        <v>279</v>
      </c>
      <c r="C107" s="1" t="s">
        <v>280</v>
      </c>
      <c r="D107" s="1" t="s">
        <v>281</v>
      </c>
      <c r="E107" s="6">
        <v>73288</v>
      </c>
    </row>
    <row r="108" spans="1:5" x14ac:dyDescent="0.25">
      <c r="A108" s="4" t="s">
        <v>7</v>
      </c>
      <c r="B108" s="4" t="s">
        <v>282</v>
      </c>
      <c r="C108" s="1" t="s">
        <v>283</v>
      </c>
      <c r="D108" s="1" t="s">
        <v>284</v>
      </c>
      <c r="E108" s="6">
        <v>217790</v>
      </c>
    </row>
    <row r="109" spans="1:5" x14ac:dyDescent="0.25">
      <c r="A109" s="4" t="s">
        <v>7</v>
      </c>
      <c r="B109" s="4" t="s">
        <v>285</v>
      </c>
      <c r="C109" s="1" t="s">
        <v>286</v>
      </c>
      <c r="D109" s="1" t="s">
        <v>287</v>
      </c>
      <c r="E109" s="6">
        <v>95984</v>
      </c>
    </row>
    <row r="110" spans="1:5" x14ac:dyDescent="0.25">
      <c r="A110" s="4" t="s">
        <v>7</v>
      </c>
      <c r="B110" s="4" t="s">
        <v>288</v>
      </c>
      <c r="C110" s="1" t="s">
        <v>289</v>
      </c>
      <c r="D110" s="1" t="s">
        <v>290</v>
      </c>
      <c r="E110" s="6">
        <v>90888</v>
      </c>
    </row>
    <row r="111" spans="1:5" x14ac:dyDescent="0.25">
      <c r="A111" s="4" t="s">
        <v>7</v>
      </c>
      <c r="B111" s="4" t="s">
        <v>291</v>
      </c>
      <c r="C111" s="1" t="s">
        <v>292</v>
      </c>
      <c r="D111" s="1" t="s">
        <v>293</v>
      </c>
      <c r="E111" s="6">
        <v>81329</v>
      </c>
    </row>
    <row r="112" spans="1:5" x14ac:dyDescent="0.25">
      <c r="A112" s="4" t="s">
        <v>7</v>
      </c>
      <c r="B112" s="4" t="s">
        <v>294</v>
      </c>
      <c r="C112" s="1" t="s">
        <v>295</v>
      </c>
      <c r="D112" s="1" t="s">
        <v>296</v>
      </c>
      <c r="E112" s="6">
        <v>42293</v>
      </c>
    </row>
    <row r="113" spans="1:6" x14ac:dyDescent="0.25">
      <c r="A113" s="4" t="s">
        <v>7</v>
      </c>
      <c r="B113" s="4" t="s">
        <v>297</v>
      </c>
      <c r="C113" s="1" t="s">
        <v>298</v>
      </c>
      <c r="D113" s="1" t="s">
        <v>299</v>
      </c>
      <c r="E113" s="6">
        <v>47857</v>
      </c>
    </row>
    <row r="114" spans="1:6" x14ac:dyDescent="0.25">
      <c r="A114" s="4" t="s">
        <v>7</v>
      </c>
      <c r="B114" s="4" t="s">
        <v>300</v>
      </c>
      <c r="C114" s="1" t="s">
        <v>301</v>
      </c>
      <c r="D114" s="1" t="s">
        <v>302</v>
      </c>
      <c r="E114" s="6">
        <v>49373</v>
      </c>
    </row>
    <row r="115" spans="1:6" x14ac:dyDescent="0.25">
      <c r="A115" s="4" t="s">
        <v>7</v>
      </c>
      <c r="B115" s="4" t="s">
        <v>303</v>
      </c>
      <c r="C115" s="1" t="s">
        <v>304</v>
      </c>
      <c r="D115" s="1" t="s">
        <v>305</v>
      </c>
      <c r="E115" s="6">
        <v>229611</v>
      </c>
    </row>
    <row r="116" spans="1:6" x14ac:dyDescent="0.25">
      <c r="A116" s="4" t="s">
        <v>7</v>
      </c>
      <c r="B116" s="4" t="s">
        <v>306</v>
      </c>
      <c r="C116" s="1" t="s">
        <v>307</v>
      </c>
      <c r="D116" s="1" t="s">
        <v>308</v>
      </c>
      <c r="E116" s="6">
        <v>48310</v>
      </c>
    </row>
    <row r="117" spans="1:6" x14ac:dyDescent="0.25">
      <c r="A117" s="4" t="s">
        <v>7</v>
      </c>
      <c r="B117" s="4" t="s">
        <v>309</v>
      </c>
      <c r="C117" s="1" t="s">
        <v>310</v>
      </c>
      <c r="D117" s="1" t="s">
        <v>311</v>
      </c>
      <c r="E117" s="6">
        <v>1701</v>
      </c>
    </row>
    <row r="118" spans="1:6" x14ac:dyDescent="0.25">
      <c r="A118" s="4" t="s">
        <v>7</v>
      </c>
      <c r="B118" s="4" t="s">
        <v>312</v>
      </c>
      <c r="C118" s="1" t="s">
        <v>313</v>
      </c>
      <c r="D118" s="1" t="s">
        <v>314</v>
      </c>
      <c r="E118" s="6">
        <v>20454.55</v>
      </c>
    </row>
    <row r="119" spans="1:6" x14ac:dyDescent="0.25">
      <c r="A119" s="4" t="s">
        <v>7</v>
      </c>
      <c r="B119" s="4" t="s">
        <v>315</v>
      </c>
      <c r="C119" s="1" t="s">
        <v>316</v>
      </c>
      <c r="D119" s="1" t="s">
        <v>317</v>
      </c>
      <c r="E119" s="6">
        <v>11096</v>
      </c>
    </row>
    <row r="120" spans="1:6" x14ac:dyDescent="0.25">
      <c r="A120" s="4" t="s">
        <v>7</v>
      </c>
      <c r="B120" s="4" t="s">
        <v>318</v>
      </c>
      <c r="C120" s="1" t="s">
        <v>319</v>
      </c>
      <c r="D120" s="1" t="s">
        <v>320</v>
      </c>
      <c r="E120" s="6">
        <v>3561</v>
      </c>
    </row>
    <row r="121" spans="1:6" x14ac:dyDescent="0.25">
      <c r="A121" s="4" t="s">
        <v>7</v>
      </c>
      <c r="B121" s="4" t="s">
        <v>321</v>
      </c>
      <c r="C121" s="1" t="s">
        <v>322</v>
      </c>
      <c r="D121" s="1" t="s">
        <v>323</v>
      </c>
      <c r="E121" s="6">
        <v>9404</v>
      </c>
    </row>
    <row r="122" spans="1:6" x14ac:dyDescent="0.25">
      <c r="A122" s="4" t="s">
        <v>7</v>
      </c>
      <c r="B122" s="4" t="s">
        <v>324</v>
      </c>
      <c r="C122" s="1" t="s">
        <v>325</v>
      </c>
      <c r="D122" s="1" t="s">
        <v>323</v>
      </c>
      <c r="E122" s="6">
        <v>23174</v>
      </c>
    </row>
    <row r="123" spans="1:6" x14ac:dyDescent="0.25">
      <c r="A123" s="4" t="s">
        <v>7</v>
      </c>
      <c r="B123" s="4" t="s">
        <v>326</v>
      </c>
      <c r="C123" s="1" t="s">
        <v>327</v>
      </c>
      <c r="D123" s="1" t="s">
        <v>328</v>
      </c>
      <c r="E123" s="6">
        <v>20479</v>
      </c>
    </row>
    <row r="124" spans="1:6" x14ac:dyDescent="0.25">
      <c r="A124" s="4" t="s">
        <v>7</v>
      </c>
      <c r="B124" s="4" t="s">
        <v>329</v>
      </c>
      <c r="C124" s="1" t="s">
        <v>330</v>
      </c>
      <c r="D124" s="1" t="s">
        <v>331</v>
      </c>
      <c r="E124" s="6">
        <v>22825</v>
      </c>
      <c r="F124" s="4" t="s">
        <v>131</v>
      </c>
    </row>
    <row r="125" spans="1:6" x14ac:dyDescent="0.25">
      <c r="A125" s="4" t="s">
        <v>7</v>
      </c>
      <c r="B125" s="4" t="s">
        <v>332</v>
      </c>
      <c r="C125" s="1" t="s">
        <v>333</v>
      </c>
      <c r="D125" s="1" t="s">
        <v>334</v>
      </c>
      <c r="E125" s="6">
        <v>13024</v>
      </c>
    </row>
    <row r="126" spans="1:6" x14ac:dyDescent="0.25">
      <c r="A126" s="4" t="s">
        <v>7</v>
      </c>
      <c r="B126" s="4" t="s">
        <v>335</v>
      </c>
      <c r="C126" s="1" t="s">
        <v>336</v>
      </c>
      <c r="D126" s="1" t="s">
        <v>165</v>
      </c>
      <c r="E126" s="6">
        <v>14450</v>
      </c>
    </row>
    <row r="127" spans="1:6" x14ac:dyDescent="0.25">
      <c r="A127" s="4" t="s">
        <v>7</v>
      </c>
      <c r="B127" s="4" t="s">
        <v>337</v>
      </c>
      <c r="C127" s="1" t="s">
        <v>338</v>
      </c>
      <c r="D127" s="1" t="s">
        <v>339</v>
      </c>
      <c r="E127" s="6">
        <v>19404</v>
      </c>
    </row>
    <row r="128" spans="1:6" x14ac:dyDescent="0.25">
      <c r="A128" s="4" t="s">
        <v>7</v>
      </c>
      <c r="B128" s="4" t="s">
        <v>340</v>
      </c>
      <c r="C128" s="1" t="s">
        <v>341</v>
      </c>
      <c r="D128" s="1" t="s">
        <v>342</v>
      </c>
      <c r="E128" s="6">
        <v>2214</v>
      </c>
    </row>
    <row r="129" spans="1:6" x14ac:dyDescent="0.25">
      <c r="A129" s="4" t="s">
        <v>7</v>
      </c>
      <c r="B129" s="4" t="s">
        <v>343</v>
      </c>
      <c r="C129" s="1" t="s">
        <v>344</v>
      </c>
      <c r="D129" s="1" t="s">
        <v>311</v>
      </c>
      <c r="E129" s="6">
        <v>20129.87</v>
      </c>
    </row>
    <row r="130" spans="1:6" x14ac:dyDescent="0.25">
      <c r="A130" s="4" t="s">
        <v>7</v>
      </c>
      <c r="B130" s="4" t="s">
        <v>345</v>
      </c>
      <c r="C130" s="1" t="s">
        <v>346</v>
      </c>
      <c r="D130" s="1" t="s">
        <v>347</v>
      </c>
      <c r="E130" s="6">
        <v>22825</v>
      </c>
      <c r="F130" s="4" t="s">
        <v>131</v>
      </c>
    </row>
    <row r="131" spans="1:6" x14ac:dyDescent="0.25">
      <c r="A131" s="4" t="s">
        <v>7</v>
      </c>
      <c r="B131" s="4" t="s">
        <v>348</v>
      </c>
      <c r="C131" s="1" t="s">
        <v>349</v>
      </c>
      <c r="D131" s="1" t="s">
        <v>350</v>
      </c>
      <c r="E131" s="6">
        <v>1701</v>
      </c>
      <c r="F131" s="4" t="s">
        <v>131</v>
      </c>
    </row>
    <row r="132" spans="1:6" x14ac:dyDescent="0.25">
      <c r="A132" s="4" t="s">
        <v>7</v>
      </c>
      <c r="B132" s="4" t="s">
        <v>351</v>
      </c>
      <c r="C132" s="1" t="s">
        <v>352</v>
      </c>
      <c r="D132" s="1" t="s">
        <v>342</v>
      </c>
      <c r="E132" s="6">
        <v>5368</v>
      </c>
    </row>
    <row r="133" spans="1:6" x14ac:dyDescent="0.25">
      <c r="A133" s="4" t="s">
        <v>7</v>
      </c>
      <c r="B133" s="4" t="s">
        <v>353</v>
      </c>
      <c r="C133" s="1" t="s">
        <v>354</v>
      </c>
      <c r="D133" s="1" t="s">
        <v>355</v>
      </c>
      <c r="E133" s="6">
        <v>2433</v>
      </c>
    </row>
    <row r="134" spans="1:6" x14ac:dyDescent="0.25">
      <c r="A134" s="4" t="s">
        <v>7</v>
      </c>
      <c r="B134" s="4" t="s">
        <v>356</v>
      </c>
      <c r="C134" s="1" t="s">
        <v>357</v>
      </c>
      <c r="D134" s="1" t="s">
        <v>355</v>
      </c>
      <c r="E134" s="6">
        <v>2237</v>
      </c>
    </row>
    <row r="135" spans="1:6" x14ac:dyDescent="0.25">
      <c r="A135" s="4" t="s">
        <v>7</v>
      </c>
      <c r="B135" s="4" t="s">
        <v>358</v>
      </c>
      <c r="C135" s="1" t="s">
        <v>359</v>
      </c>
      <c r="D135" s="1" t="s">
        <v>355</v>
      </c>
      <c r="E135" s="6">
        <v>4123</v>
      </c>
    </row>
    <row r="136" spans="1:6" x14ac:dyDescent="0.25">
      <c r="A136" s="4" t="s">
        <v>7</v>
      </c>
      <c r="B136" s="4" t="s">
        <v>360</v>
      </c>
      <c r="C136" s="1" t="s">
        <v>361</v>
      </c>
      <c r="D136" s="1" t="s">
        <v>361</v>
      </c>
      <c r="E136" s="6">
        <v>2237</v>
      </c>
    </row>
    <row r="137" spans="1:6" x14ac:dyDescent="0.25">
      <c r="A137" s="4" t="s">
        <v>7</v>
      </c>
      <c r="B137" s="4" t="s">
        <v>362</v>
      </c>
      <c r="C137" s="1" t="s">
        <v>363</v>
      </c>
      <c r="D137" s="1" t="s">
        <v>363</v>
      </c>
      <c r="E137" s="6">
        <v>4089</v>
      </c>
    </row>
    <row r="138" spans="1:6" x14ac:dyDescent="0.25">
      <c r="A138" s="4" t="s">
        <v>7</v>
      </c>
      <c r="B138" s="4" t="s">
        <v>364</v>
      </c>
      <c r="C138" s="1" t="s">
        <v>365</v>
      </c>
      <c r="D138" s="1" t="s">
        <v>365</v>
      </c>
      <c r="E138" s="6">
        <v>3765</v>
      </c>
    </row>
    <row r="139" spans="1:6" x14ac:dyDescent="0.25">
      <c r="A139" s="4" t="s">
        <v>7</v>
      </c>
      <c r="B139" s="4" t="s">
        <v>366</v>
      </c>
      <c r="C139" s="1" t="s">
        <v>367</v>
      </c>
      <c r="D139" s="1" t="s">
        <v>365</v>
      </c>
      <c r="E139" s="6">
        <v>3765</v>
      </c>
    </row>
    <row r="140" spans="1:6" x14ac:dyDescent="0.25">
      <c r="A140" s="4" t="s">
        <v>7</v>
      </c>
      <c r="B140" s="4" t="s">
        <v>368</v>
      </c>
      <c r="C140" s="1" t="s">
        <v>369</v>
      </c>
      <c r="D140" s="1" t="s">
        <v>370</v>
      </c>
      <c r="E140" s="6">
        <v>3261</v>
      </c>
      <c r="F140" s="4" t="s">
        <v>131</v>
      </c>
    </row>
    <row r="141" spans="1:6" x14ac:dyDescent="0.25">
      <c r="A141" s="4" t="s">
        <v>7</v>
      </c>
      <c r="B141" s="4" t="s">
        <v>371</v>
      </c>
      <c r="C141" s="1" t="s">
        <v>372</v>
      </c>
      <c r="D141" s="1" t="s">
        <v>373</v>
      </c>
      <c r="E141" s="6">
        <v>12445</v>
      </c>
    </row>
    <row r="142" spans="1:6" x14ac:dyDescent="0.25">
      <c r="A142" s="4" t="s">
        <v>7</v>
      </c>
      <c r="B142" s="4" t="s">
        <v>374</v>
      </c>
      <c r="C142" s="1" t="s">
        <v>375</v>
      </c>
      <c r="D142" s="1" t="s">
        <v>373</v>
      </c>
      <c r="E142" s="6">
        <v>13024</v>
      </c>
    </row>
    <row r="143" spans="1:6" x14ac:dyDescent="0.25">
      <c r="A143" s="4" t="s">
        <v>7</v>
      </c>
      <c r="B143" s="4" t="s">
        <v>376</v>
      </c>
      <c r="C143" s="1" t="s">
        <v>377</v>
      </c>
      <c r="D143" s="1" t="s">
        <v>378</v>
      </c>
      <c r="E143" s="6">
        <v>7466</v>
      </c>
      <c r="F143" s="4" t="s">
        <v>131</v>
      </c>
    </row>
    <row r="144" spans="1:6" x14ac:dyDescent="0.25">
      <c r="A144" s="4" t="s">
        <v>7</v>
      </c>
      <c r="B144" s="4" t="s">
        <v>379</v>
      </c>
      <c r="C144" s="1" t="s">
        <v>380</v>
      </c>
      <c r="D144" s="1" t="s">
        <v>381</v>
      </c>
      <c r="E144" s="6">
        <v>2142</v>
      </c>
    </row>
    <row r="145" spans="1:6" x14ac:dyDescent="0.25">
      <c r="A145" s="4" t="s">
        <v>7</v>
      </c>
      <c r="B145" s="4" t="s">
        <v>382</v>
      </c>
      <c r="C145" s="1" t="s">
        <v>383</v>
      </c>
      <c r="D145" s="1" t="s">
        <v>384</v>
      </c>
      <c r="E145" s="6">
        <v>20141</v>
      </c>
    </row>
    <row r="146" spans="1:6" x14ac:dyDescent="0.25">
      <c r="A146" s="4" t="s">
        <v>7</v>
      </c>
      <c r="B146" s="4" t="s">
        <v>385</v>
      </c>
      <c r="C146" s="1" t="s">
        <v>386</v>
      </c>
      <c r="D146" s="1" t="s">
        <v>384</v>
      </c>
      <c r="E146" s="6">
        <v>10322</v>
      </c>
    </row>
    <row r="147" spans="1:6" x14ac:dyDescent="0.25">
      <c r="A147" s="4" t="s">
        <v>7</v>
      </c>
      <c r="B147" s="4" t="s">
        <v>387</v>
      </c>
      <c r="C147" s="1" t="s">
        <v>388</v>
      </c>
      <c r="D147" s="1" t="s">
        <v>389</v>
      </c>
      <c r="E147" s="6">
        <v>19335</v>
      </c>
    </row>
    <row r="148" spans="1:6" x14ac:dyDescent="0.25">
      <c r="A148" s="4" t="s">
        <v>7</v>
      </c>
      <c r="B148" s="4" t="s">
        <v>390</v>
      </c>
      <c r="C148" s="1" t="s">
        <v>391</v>
      </c>
      <c r="D148" s="1" t="s">
        <v>392</v>
      </c>
      <c r="E148" s="6">
        <v>46716</v>
      </c>
    </row>
    <row r="149" spans="1:6" x14ac:dyDescent="0.25">
      <c r="A149" s="4" t="s">
        <v>7</v>
      </c>
      <c r="B149" s="4" t="s">
        <v>393</v>
      </c>
      <c r="C149" s="1" t="s">
        <v>394</v>
      </c>
      <c r="D149" s="1" t="s">
        <v>395</v>
      </c>
      <c r="E149" s="6">
        <v>22825</v>
      </c>
    </row>
    <row r="150" spans="1:6" x14ac:dyDescent="0.25">
      <c r="A150" s="4" t="s">
        <v>7</v>
      </c>
      <c r="B150" s="4" t="s">
        <v>396</v>
      </c>
      <c r="C150" s="1" t="s">
        <v>397</v>
      </c>
      <c r="D150" s="1" t="s">
        <v>398</v>
      </c>
      <c r="E150" s="6">
        <v>22727.27</v>
      </c>
    </row>
    <row r="151" spans="1:6" x14ac:dyDescent="0.25">
      <c r="A151" s="4" t="s">
        <v>7</v>
      </c>
      <c r="B151" s="4" t="s">
        <v>399</v>
      </c>
      <c r="C151" s="1" t="s">
        <v>400</v>
      </c>
      <c r="D151" s="1" t="s">
        <v>401</v>
      </c>
      <c r="E151" s="6">
        <v>318</v>
      </c>
    </row>
    <row r="152" spans="1:6" x14ac:dyDescent="0.25">
      <c r="A152" s="4" t="s">
        <v>7</v>
      </c>
      <c r="B152" s="4" t="s">
        <v>402</v>
      </c>
      <c r="C152" s="1" t="s">
        <v>403</v>
      </c>
      <c r="D152" s="1" t="s">
        <v>404</v>
      </c>
      <c r="E152" s="6">
        <v>3958</v>
      </c>
    </row>
    <row r="153" spans="1:6" x14ac:dyDescent="0.25">
      <c r="A153" s="4" t="s">
        <v>7</v>
      </c>
      <c r="B153" s="4" t="s">
        <v>405</v>
      </c>
      <c r="C153" s="1" t="s">
        <v>406</v>
      </c>
      <c r="D153" s="1" t="s">
        <v>407</v>
      </c>
      <c r="E153" s="6">
        <v>3958</v>
      </c>
      <c r="F153" s="4" t="s">
        <v>131</v>
      </c>
    </row>
    <row r="154" spans="1:6" x14ac:dyDescent="0.25">
      <c r="A154" s="4" t="s">
        <v>7</v>
      </c>
      <c r="B154" s="4" t="s">
        <v>408</v>
      </c>
      <c r="C154" s="1" t="s">
        <v>409</v>
      </c>
      <c r="D154" s="1" t="s">
        <v>410</v>
      </c>
      <c r="E154" s="6">
        <v>2445</v>
      </c>
      <c r="F154" s="4" t="s">
        <v>131</v>
      </c>
    </row>
    <row r="155" spans="1:6" x14ac:dyDescent="0.25">
      <c r="A155" s="4" t="s">
        <v>7</v>
      </c>
      <c r="B155" s="4" t="s">
        <v>411</v>
      </c>
      <c r="C155" s="1" t="s">
        <v>412</v>
      </c>
      <c r="D155" s="1" t="s">
        <v>413</v>
      </c>
      <c r="E155" s="6">
        <v>55900</v>
      </c>
    </row>
    <row r="156" spans="1:6" x14ac:dyDescent="0.25">
      <c r="A156" s="4" t="s">
        <v>7</v>
      </c>
      <c r="B156" s="4" t="s">
        <v>414</v>
      </c>
      <c r="C156" s="1" t="s">
        <v>415</v>
      </c>
      <c r="D156" s="1" t="s">
        <v>416</v>
      </c>
      <c r="E156" s="6">
        <v>3958</v>
      </c>
    </row>
    <row r="157" spans="1:6" x14ac:dyDescent="0.25">
      <c r="A157" s="4" t="s">
        <v>7</v>
      </c>
      <c r="B157" s="4" t="s">
        <v>417</v>
      </c>
      <c r="C157" s="1" t="s">
        <v>418</v>
      </c>
      <c r="D157" s="1" t="s">
        <v>419</v>
      </c>
      <c r="E157" s="6">
        <v>1570</v>
      </c>
    </row>
    <row r="158" spans="1:6" x14ac:dyDescent="0.25">
      <c r="A158" s="4" t="s">
        <v>7</v>
      </c>
      <c r="B158" s="4" t="s">
        <v>420</v>
      </c>
      <c r="C158" s="1" t="s">
        <v>421</v>
      </c>
      <c r="D158" s="1" t="s">
        <v>422</v>
      </c>
      <c r="E158" s="6">
        <v>2209</v>
      </c>
      <c r="F158" s="4" t="s">
        <v>131</v>
      </c>
    </row>
    <row r="159" spans="1:6" x14ac:dyDescent="0.25">
      <c r="A159" s="4" t="s">
        <v>7</v>
      </c>
      <c r="B159" s="4" t="s">
        <v>423</v>
      </c>
      <c r="C159" s="1" t="s">
        <v>424</v>
      </c>
      <c r="D159" s="1" t="s">
        <v>425</v>
      </c>
      <c r="E159" s="6">
        <v>3958</v>
      </c>
      <c r="F159" s="4" t="s">
        <v>131</v>
      </c>
    </row>
    <row r="160" spans="1:6" x14ac:dyDescent="0.25">
      <c r="A160" s="4" t="s">
        <v>7</v>
      </c>
      <c r="B160" s="4" t="s">
        <v>426</v>
      </c>
      <c r="C160" s="1" t="s">
        <v>427</v>
      </c>
      <c r="D160" s="1" t="s">
        <v>428</v>
      </c>
      <c r="E160" s="6">
        <v>1062</v>
      </c>
      <c r="F160" s="4" t="s">
        <v>131</v>
      </c>
    </row>
    <row r="161" spans="1:6" x14ac:dyDescent="0.25">
      <c r="A161" s="4" t="s">
        <v>7</v>
      </c>
      <c r="B161" s="4" t="s">
        <v>429</v>
      </c>
      <c r="C161" s="1" t="s">
        <v>430</v>
      </c>
      <c r="D161" s="1" t="s">
        <v>431</v>
      </c>
      <c r="E161" s="6">
        <v>3958</v>
      </c>
      <c r="F161" s="4" t="s">
        <v>131</v>
      </c>
    </row>
    <row r="162" spans="1:6" x14ac:dyDescent="0.25">
      <c r="A162" s="4" t="s">
        <v>7</v>
      </c>
      <c r="B162" s="4" t="s">
        <v>432</v>
      </c>
      <c r="C162" s="1" t="s">
        <v>433</v>
      </c>
      <c r="D162" s="1" t="s">
        <v>434</v>
      </c>
      <c r="E162" s="6">
        <v>1832</v>
      </c>
    </row>
    <row r="163" spans="1:6" x14ac:dyDescent="0.25">
      <c r="A163" s="4" t="s">
        <v>7</v>
      </c>
      <c r="B163" s="4" t="s">
        <v>435</v>
      </c>
      <c r="C163" s="1" t="s">
        <v>436</v>
      </c>
      <c r="D163" s="1" t="s">
        <v>437</v>
      </c>
      <c r="E163" s="6">
        <v>1583</v>
      </c>
    </row>
    <row r="164" spans="1:6" x14ac:dyDescent="0.25">
      <c r="A164" s="4" t="s">
        <v>7</v>
      </c>
      <c r="B164" s="4" t="s">
        <v>438</v>
      </c>
      <c r="C164" s="1" t="s">
        <v>439</v>
      </c>
      <c r="D164" s="1" t="s">
        <v>437</v>
      </c>
      <c r="E164" s="6">
        <v>3958</v>
      </c>
      <c r="F164" s="4" t="s">
        <v>131</v>
      </c>
    </row>
    <row r="165" spans="1:6" x14ac:dyDescent="0.25">
      <c r="A165" s="4" t="s">
        <v>7</v>
      </c>
      <c r="B165" s="4" t="s">
        <v>440</v>
      </c>
      <c r="C165" s="1" t="s">
        <v>441</v>
      </c>
      <c r="D165" s="1" t="s">
        <v>442</v>
      </c>
      <c r="E165" s="6">
        <v>6897</v>
      </c>
    </row>
    <row r="166" spans="1:6" x14ac:dyDescent="0.25">
      <c r="A166" s="4" t="s">
        <v>7</v>
      </c>
      <c r="B166" s="4" t="s">
        <v>443</v>
      </c>
      <c r="C166" s="1" t="s">
        <v>444</v>
      </c>
      <c r="D166" s="1" t="s">
        <v>445</v>
      </c>
      <c r="E166" s="6">
        <v>2094</v>
      </c>
    </row>
    <row r="167" spans="1:6" x14ac:dyDescent="0.25">
      <c r="A167" s="4" t="s">
        <v>7</v>
      </c>
      <c r="B167" s="4" t="s">
        <v>446</v>
      </c>
      <c r="C167" s="1" t="s">
        <v>447</v>
      </c>
      <c r="D167" s="1" t="s">
        <v>448</v>
      </c>
      <c r="E167" s="6">
        <v>1570</v>
      </c>
    </row>
    <row r="168" spans="1:6" x14ac:dyDescent="0.25">
      <c r="A168" s="4" t="s">
        <v>7</v>
      </c>
      <c r="B168" s="4" t="s">
        <v>449</v>
      </c>
      <c r="C168" s="1" t="s">
        <v>450</v>
      </c>
      <c r="D168" s="1" t="s">
        <v>450</v>
      </c>
      <c r="E168" s="6">
        <v>3958</v>
      </c>
      <c r="F168" s="4" t="s">
        <v>131</v>
      </c>
    </row>
    <row r="169" spans="1:6" x14ac:dyDescent="0.25">
      <c r="A169" s="4" t="s">
        <v>7</v>
      </c>
      <c r="B169" s="4" t="s">
        <v>451</v>
      </c>
      <c r="C169" s="1" t="s">
        <v>452</v>
      </c>
      <c r="D169" s="1" t="s">
        <v>453</v>
      </c>
      <c r="E169" s="6">
        <v>3958</v>
      </c>
    </row>
    <row r="170" spans="1:6" x14ac:dyDescent="0.25">
      <c r="A170" s="4" t="s">
        <v>7</v>
      </c>
      <c r="B170" s="4" t="s">
        <v>454</v>
      </c>
      <c r="C170" s="1" t="s">
        <v>455</v>
      </c>
      <c r="D170" s="1" t="s">
        <v>456</v>
      </c>
      <c r="E170" s="6">
        <v>3958</v>
      </c>
    </row>
    <row r="171" spans="1:6" x14ac:dyDescent="0.25">
      <c r="A171" s="4" t="s">
        <v>7</v>
      </c>
      <c r="B171" s="4" t="s">
        <v>457</v>
      </c>
      <c r="C171" s="1" t="s">
        <v>458</v>
      </c>
      <c r="D171" s="1" t="s">
        <v>459</v>
      </c>
      <c r="E171" s="6">
        <v>3958</v>
      </c>
      <c r="F171" s="4" t="s">
        <v>131</v>
      </c>
    </row>
    <row r="172" spans="1:6" x14ac:dyDescent="0.25">
      <c r="A172" s="4" t="s">
        <v>7</v>
      </c>
      <c r="B172" s="4" t="s">
        <v>460</v>
      </c>
      <c r="C172" s="1" t="s">
        <v>461</v>
      </c>
      <c r="D172" s="1" t="s">
        <v>461</v>
      </c>
      <c r="E172" s="6">
        <v>38251</v>
      </c>
    </row>
    <row r="173" spans="1:6" x14ac:dyDescent="0.25">
      <c r="A173" s="4" t="s">
        <v>7</v>
      </c>
      <c r="B173" s="4" t="s">
        <v>462</v>
      </c>
      <c r="C173" s="1" t="s">
        <v>463</v>
      </c>
      <c r="D173" s="1" t="s">
        <v>464</v>
      </c>
      <c r="E173" s="6">
        <v>30094</v>
      </c>
      <c r="F173" s="4" t="s">
        <v>131</v>
      </c>
    </row>
    <row r="174" spans="1:6" x14ac:dyDescent="0.25">
      <c r="A174" s="4" t="s">
        <v>7</v>
      </c>
      <c r="B174" s="4" t="s">
        <v>465</v>
      </c>
      <c r="C174" s="1" t="s">
        <v>466</v>
      </c>
      <c r="D174" s="1" t="s">
        <v>464</v>
      </c>
      <c r="E174" s="6">
        <v>24408</v>
      </c>
    </row>
    <row r="175" spans="1:6" x14ac:dyDescent="0.25">
      <c r="A175" s="4" t="s">
        <v>7</v>
      </c>
      <c r="B175" s="4" t="s">
        <v>467</v>
      </c>
      <c r="C175" s="1" t="s">
        <v>468</v>
      </c>
      <c r="D175" s="1" t="s">
        <v>464</v>
      </c>
      <c r="E175" s="6">
        <v>12208</v>
      </c>
    </row>
    <row r="176" spans="1:6" x14ac:dyDescent="0.25">
      <c r="A176" s="4" t="s">
        <v>7</v>
      </c>
      <c r="B176" s="4" t="s">
        <v>469</v>
      </c>
      <c r="C176" s="1" t="s">
        <v>470</v>
      </c>
      <c r="D176" s="1" t="s">
        <v>471</v>
      </c>
      <c r="E176" s="6">
        <v>3958</v>
      </c>
      <c r="F176" s="4" t="s">
        <v>131</v>
      </c>
    </row>
    <row r="177" spans="1:6" x14ac:dyDescent="0.25">
      <c r="A177" s="4" t="s">
        <v>7</v>
      </c>
      <c r="B177" s="4" t="s">
        <v>472</v>
      </c>
      <c r="C177" s="1" t="s">
        <v>473</v>
      </c>
      <c r="D177" s="1" t="s">
        <v>473</v>
      </c>
      <c r="E177" s="6">
        <v>3690</v>
      </c>
      <c r="F177" s="4" t="s">
        <v>131</v>
      </c>
    </row>
    <row r="178" spans="1:6" x14ac:dyDescent="0.25">
      <c r="A178" s="4" t="s">
        <v>7</v>
      </c>
      <c r="B178" s="4" t="s">
        <v>474</v>
      </c>
      <c r="C178" s="1" t="s">
        <v>475</v>
      </c>
      <c r="D178" s="1" t="s">
        <v>476</v>
      </c>
      <c r="E178" s="6">
        <v>5632</v>
      </c>
    </row>
    <row r="179" spans="1:6" x14ac:dyDescent="0.25">
      <c r="A179" s="4" t="s">
        <v>7</v>
      </c>
      <c r="B179" s="4" t="s">
        <v>477</v>
      </c>
      <c r="C179" s="1" t="s">
        <v>478</v>
      </c>
      <c r="D179" s="1" t="s">
        <v>479</v>
      </c>
      <c r="E179" s="6">
        <v>1665</v>
      </c>
      <c r="F179" s="4" t="s">
        <v>131</v>
      </c>
    </row>
    <row r="180" spans="1:6" x14ac:dyDescent="0.25">
      <c r="A180" s="4" t="s">
        <v>7</v>
      </c>
      <c r="B180" s="4" t="s">
        <v>480</v>
      </c>
      <c r="C180" s="1" t="s">
        <v>481</v>
      </c>
      <c r="D180" s="1" t="s">
        <v>482</v>
      </c>
      <c r="E180" s="6">
        <v>3958</v>
      </c>
      <c r="F180" s="4" t="s">
        <v>131</v>
      </c>
    </row>
    <row r="181" spans="1:6" x14ac:dyDescent="0.25">
      <c r="A181" s="4" t="s">
        <v>7</v>
      </c>
      <c r="B181" s="4" t="s">
        <v>483</v>
      </c>
      <c r="C181" s="1" t="s">
        <v>484</v>
      </c>
      <c r="D181" s="1" t="s">
        <v>485</v>
      </c>
      <c r="E181" s="6">
        <v>1420</v>
      </c>
      <c r="F181" s="4" t="s">
        <v>131</v>
      </c>
    </row>
    <row r="182" spans="1:6" x14ac:dyDescent="0.25">
      <c r="A182" s="4" t="s">
        <v>7</v>
      </c>
      <c r="B182" s="4" t="s">
        <v>486</v>
      </c>
      <c r="C182" s="1" t="s">
        <v>487</v>
      </c>
      <c r="D182" s="1" t="s">
        <v>488</v>
      </c>
      <c r="E182" s="6">
        <v>3958</v>
      </c>
    </row>
    <row r="183" spans="1:6" x14ac:dyDescent="0.25">
      <c r="A183" s="4" t="s">
        <v>7</v>
      </c>
      <c r="B183" s="4" t="s">
        <v>489</v>
      </c>
      <c r="C183" s="1" t="s">
        <v>490</v>
      </c>
      <c r="D183" s="1" t="s">
        <v>491</v>
      </c>
      <c r="E183" s="6">
        <v>48941</v>
      </c>
    </row>
    <row r="184" spans="1:6" x14ac:dyDescent="0.25">
      <c r="A184" s="4" t="s">
        <v>7</v>
      </c>
      <c r="B184" s="4" t="s">
        <v>492</v>
      </c>
      <c r="C184" s="1" t="s">
        <v>493</v>
      </c>
      <c r="D184" s="1" t="s">
        <v>494</v>
      </c>
      <c r="E184" s="6">
        <v>2038</v>
      </c>
    </row>
    <row r="185" spans="1:6" x14ac:dyDescent="0.25">
      <c r="A185" s="4" t="s">
        <v>7</v>
      </c>
      <c r="B185" s="4" t="s">
        <v>495</v>
      </c>
      <c r="C185" s="1" t="s">
        <v>496</v>
      </c>
      <c r="D185" s="1" t="s">
        <v>497</v>
      </c>
      <c r="E185" s="6">
        <v>1471</v>
      </c>
    </row>
    <row r="186" spans="1:6" x14ac:dyDescent="0.25">
      <c r="A186" s="4" t="s">
        <v>7</v>
      </c>
      <c r="B186" s="4" t="s">
        <v>498</v>
      </c>
      <c r="C186" s="1" t="s">
        <v>499</v>
      </c>
      <c r="D186" s="1" t="s">
        <v>500</v>
      </c>
      <c r="E186" s="6">
        <v>1659</v>
      </c>
    </row>
    <row r="187" spans="1:6" x14ac:dyDescent="0.25">
      <c r="A187" s="4" t="s">
        <v>7</v>
      </c>
      <c r="B187" s="4" t="s">
        <v>501</v>
      </c>
      <c r="C187" s="1" t="s">
        <v>502</v>
      </c>
      <c r="D187" s="1" t="s">
        <v>503</v>
      </c>
      <c r="E187" s="6">
        <v>48422</v>
      </c>
    </row>
    <row r="188" spans="1:6" x14ac:dyDescent="0.25">
      <c r="A188" s="4" t="s">
        <v>7</v>
      </c>
      <c r="B188" s="4" t="s">
        <v>504</v>
      </c>
      <c r="C188" s="1" t="s">
        <v>505</v>
      </c>
      <c r="D188" s="1" t="s">
        <v>506</v>
      </c>
      <c r="E188" s="6">
        <v>6735</v>
      </c>
      <c r="F188" s="4" t="s">
        <v>131</v>
      </c>
    </row>
    <row r="189" spans="1:6" x14ac:dyDescent="0.25">
      <c r="A189" s="4" t="s">
        <v>7</v>
      </c>
      <c r="B189" s="4" t="s">
        <v>507</v>
      </c>
      <c r="C189" s="1" t="s">
        <v>508</v>
      </c>
      <c r="D189" s="1" t="s">
        <v>509</v>
      </c>
      <c r="E189" s="6">
        <v>3958</v>
      </c>
      <c r="F189" s="4" t="s">
        <v>131</v>
      </c>
    </row>
    <row r="190" spans="1:6" x14ac:dyDescent="0.25">
      <c r="A190" s="4" t="s">
        <v>7</v>
      </c>
      <c r="B190" s="4" t="s">
        <v>510</v>
      </c>
      <c r="C190" s="1" t="s">
        <v>511</v>
      </c>
      <c r="D190" s="1" t="s">
        <v>511</v>
      </c>
      <c r="E190" s="6">
        <v>3836</v>
      </c>
      <c r="F190" s="4" t="s">
        <v>131</v>
      </c>
    </row>
    <row r="191" spans="1:6" x14ac:dyDescent="0.25">
      <c r="A191" s="4" t="s">
        <v>7</v>
      </c>
      <c r="B191" s="4" t="s">
        <v>512</v>
      </c>
      <c r="C191" s="1" t="s">
        <v>513</v>
      </c>
      <c r="D191" s="1" t="s">
        <v>514</v>
      </c>
      <c r="E191" s="6">
        <v>11175</v>
      </c>
    </row>
    <row r="192" spans="1:6" x14ac:dyDescent="0.25">
      <c r="A192" s="4" t="s">
        <v>7</v>
      </c>
      <c r="B192" s="4" t="s">
        <v>515</v>
      </c>
      <c r="C192" s="1" t="s">
        <v>516</v>
      </c>
      <c r="D192" s="1" t="s">
        <v>517</v>
      </c>
      <c r="E192" s="6">
        <v>9291</v>
      </c>
      <c r="F192" s="4" t="s">
        <v>131</v>
      </c>
    </row>
    <row r="193" spans="1:6" x14ac:dyDescent="0.25">
      <c r="A193" s="4" t="s">
        <v>7</v>
      </c>
      <c r="B193" s="4" t="s">
        <v>518</v>
      </c>
      <c r="C193" s="1" t="s">
        <v>519</v>
      </c>
      <c r="D193" s="1" t="s">
        <v>520</v>
      </c>
      <c r="E193" s="6">
        <v>3958</v>
      </c>
      <c r="F193" s="4" t="s">
        <v>131</v>
      </c>
    </row>
    <row r="194" spans="1:6" x14ac:dyDescent="0.25">
      <c r="A194" s="4" t="s">
        <v>7</v>
      </c>
      <c r="B194" s="4" t="s">
        <v>521</v>
      </c>
      <c r="C194" s="1" t="s">
        <v>522</v>
      </c>
      <c r="D194" s="1" t="s">
        <v>523</v>
      </c>
      <c r="E194" s="6">
        <v>20643</v>
      </c>
    </row>
    <row r="195" spans="1:6" x14ac:dyDescent="0.25">
      <c r="A195" s="4" t="s">
        <v>7</v>
      </c>
      <c r="B195" s="4" t="s">
        <v>524</v>
      </c>
      <c r="C195" s="1" t="s">
        <v>525</v>
      </c>
      <c r="D195" s="1" t="s">
        <v>526</v>
      </c>
      <c r="E195" s="6">
        <v>48550</v>
      </c>
      <c r="F195" s="4" t="s">
        <v>131</v>
      </c>
    </row>
    <row r="196" spans="1:6" x14ac:dyDescent="0.25">
      <c r="A196" s="4" t="s">
        <v>7</v>
      </c>
      <c r="B196" s="4" t="s">
        <v>527</v>
      </c>
      <c r="C196" s="1" t="s">
        <v>528</v>
      </c>
      <c r="D196" s="1" t="s">
        <v>528</v>
      </c>
      <c r="E196" s="6">
        <v>3958</v>
      </c>
      <c r="F196" s="4" t="s">
        <v>131</v>
      </c>
    </row>
    <row r="197" spans="1:6" x14ac:dyDescent="0.25">
      <c r="A197" s="4" t="s">
        <v>7</v>
      </c>
      <c r="B197" s="4" t="s">
        <v>529</v>
      </c>
      <c r="C197" s="1" t="s">
        <v>530</v>
      </c>
      <c r="D197" s="1" t="s">
        <v>531</v>
      </c>
      <c r="E197" s="6">
        <v>3920</v>
      </c>
    </row>
    <row r="198" spans="1:6" x14ac:dyDescent="0.25">
      <c r="A198" s="4" t="s">
        <v>7</v>
      </c>
      <c r="B198" s="4" t="s">
        <v>532</v>
      </c>
      <c r="C198" s="1" t="s">
        <v>533</v>
      </c>
      <c r="D198" s="1" t="s">
        <v>534</v>
      </c>
      <c r="E198" s="6">
        <v>3958</v>
      </c>
    </row>
    <row r="199" spans="1:6" x14ac:dyDescent="0.25">
      <c r="A199" s="4" t="s">
        <v>7</v>
      </c>
      <c r="B199" s="4" t="s">
        <v>535</v>
      </c>
      <c r="C199" s="1" t="s">
        <v>536</v>
      </c>
      <c r="D199" s="1" t="s">
        <v>537</v>
      </c>
      <c r="E199" s="6">
        <v>9168</v>
      </c>
      <c r="F199" s="4" t="s">
        <v>131</v>
      </c>
    </row>
    <row r="200" spans="1:6" x14ac:dyDescent="0.25">
      <c r="A200" s="4" t="s">
        <v>7</v>
      </c>
      <c r="B200" s="4" t="s">
        <v>538</v>
      </c>
      <c r="C200" s="1" t="s">
        <v>539</v>
      </c>
      <c r="D200" s="1" t="s">
        <v>540</v>
      </c>
      <c r="E200" s="6">
        <v>14718</v>
      </c>
    </row>
    <row r="201" spans="1:6" x14ac:dyDescent="0.25">
      <c r="A201" s="4" t="s">
        <v>7</v>
      </c>
      <c r="B201" s="4" t="s">
        <v>541</v>
      </c>
      <c r="C201" s="1" t="s">
        <v>542</v>
      </c>
      <c r="D201" s="1" t="s">
        <v>543</v>
      </c>
      <c r="E201" s="6">
        <v>16087</v>
      </c>
      <c r="F201" s="4" t="s">
        <v>131</v>
      </c>
    </row>
    <row r="202" spans="1:6" x14ac:dyDescent="0.25">
      <c r="A202" s="4" t="s">
        <v>7</v>
      </c>
      <c r="B202" s="4" t="s">
        <v>544</v>
      </c>
      <c r="C202" s="1" t="s">
        <v>545</v>
      </c>
      <c r="D202" s="1" t="s">
        <v>546</v>
      </c>
      <c r="E202" s="6">
        <v>26169</v>
      </c>
    </row>
    <row r="203" spans="1:6" x14ac:dyDescent="0.25">
      <c r="A203" s="4" t="s">
        <v>7</v>
      </c>
      <c r="B203" s="4" t="s">
        <v>547</v>
      </c>
      <c r="C203" s="1" t="s">
        <v>548</v>
      </c>
      <c r="D203" s="1" t="s">
        <v>549</v>
      </c>
      <c r="E203" s="6">
        <v>21204</v>
      </c>
    </row>
    <row r="204" spans="1:6" x14ac:dyDescent="0.25">
      <c r="A204" s="4" t="s">
        <v>7</v>
      </c>
      <c r="B204" s="4" t="s">
        <v>550</v>
      </c>
      <c r="C204" s="1" t="s">
        <v>551</v>
      </c>
      <c r="D204" s="1" t="s">
        <v>552</v>
      </c>
      <c r="E204" s="6">
        <v>3958</v>
      </c>
    </row>
    <row r="205" spans="1:6" x14ac:dyDescent="0.25">
      <c r="A205" s="4" t="s">
        <v>7</v>
      </c>
      <c r="B205" s="4" t="s">
        <v>553</v>
      </c>
      <c r="C205" s="1" t="s">
        <v>554</v>
      </c>
      <c r="D205" s="1" t="s">
        <v>555</v>
      </c>
      <c r="E205" s="6">
        <v>3958</v>
      </c>
    </row>
    <row r="206" spans="1:6" x14ac:dyDescent="0.25">
      <c r="A206" s="4" t="s">
        <v>7</v>
      </c>
      <c r="B206" s="4" t="s">
        <v>556</v>
      </c>
      <c r="C206" s="1" t="s">
        <v>557</v>
      </c>
      <c r="D206" s="1" t="s">
        <v>558</v>
      </c>
      <c r="E206" s="6">
        <v>3958</v>
      </c>
    </row>
    <row r="207" spans="1:6" x14ac:dyDescent="0.25">
      <c r="A207" s="4" t="s">
        <v>7</v>
      </c>
      <c r="B207" s="4" t="s">
        <v>559</v>
      </c>
      <c r="C207" s="1" t="s">
        <v>560</v>
      </c>
      <c r="D207" s="1" t="s">
        <v>561</v>
      </c>
      <c r="E207" s="6">
        <v>637</v>
      </c>
    </row>
    <row r="208" spans="1:6" x14ac:dyDescent="0.25">
      <c r="A208" s="4" t="s">
        <v>7</v>
      </c>
      <c r="B208" s="4" t="s">
        <v>562</v>
      </c>
      <c r="C208" s="1" t="s">
        <v>563</v>
      </c>
      <c r="D208" s="1" t="s">
        <v>564</v>
      </c>
      <c r="E208" s="6">
        <v>4488</v>
      </c>
      <c r="F208" s="4" t="s">
        <v>131</v>
      </c>
    </row>
    <row r="209" spans="1:6" x14ac:dyDescent="0.25">
      <c r="A209" s="4" t="s">
        <v>7</v>
      </c>
      <c r="B209" s="4" t="s">
        <v>565</v>
      </c>
      <c r="C209" s="1" t="s">
        <v>566</v>
      </c>
      <c r="D209" s="1" t="s">
        <v>567</v>
      </c>
      <c r="E209" s="6">
        <v>3958</v>
      </c>
    </row>
    <row r="210" spans="1:6" x14ac:dyDescent="0.25">
      <c r="A210" s="4" t="s">
        <v>7</v>
      </c>
      <c r="B210" s="4" t="s">
        <v>568</v>
      </c>
      <c r="C210" s="1" t="s">
        <v>569</v>
      </c>
      <c r="D210" s="1" t="s">
        <v>570</v>
      </c>
      <c r="E210" s="6">
        <v>1808</v>
      </c>
    </row>
    <row r="211" spans="1:6" x14ac:dyDescent="0.25">
      <c r="A211" s="4" t="s">
        <v>7</v>
      </c>
      <c r="B211" s="4" t="s">
        <v>571</v>
      </c>
      <c r="C211" s="1" t="s">
        <v>572</v>
      </c>
      <c r="D211" s="1" t="s">
        <v>573</v>
      </c>
      <c r="E211" s="6">
        <v>23730</v>
      </c>
    </row>
    <row r="212" spans="1:6" x14ac:dyDescent="0.25">
      <c r="A212" s="4" t="s">
        <v>7</v>
      </c>
      <c r="B212" s="4" t="s">
        <v>574</v>
      </c>
      <c r="C212" s="1" t="s">
        <v>575</v>
      </c>
      <c r="D212" s="1" t="s">
        <v>576</v>
      </c>
      <c r="E212" s="6">
        <v>3958</v>
      </c>
    </row>
    <row r="213" spans="1:6" x14ac:dyDescent="0.25">
      <c r="A213" s="4" t="s">
        <v>7</v>
      </c>
      <c r="B213" s="4" t="s">
        <v>577</v>
      </c>
      <c r="C213" s="1" t="s">
        <v>578</v>
      </c>
      <c r="D213" s="1" t="s">
        <v>579</v>
      </c>
      <c r="E213" s="6">
        <v>18976</v>
      </c>
    </row>
    <row r="214" spans="1:6" x14ac:dyDescent="0.25">
      <c r="A214" s="4" t="s">
        <v>7</v>
      </c>
      <c r="B214" s="4" t="s">
        <v>580</v>
      </c>
      <c r="C214" s="1" t="s">
        <v>581</v>
      </c>
      <c r="D214" s="1" t="s">
        <v>582</v>
      </c>
      <c r="E214" s="6">
        <v>19512.1875</v>
      </c>
      <c r="F214" s="4" t="s">
        <v>583</v>
      </c>
    </row>
    <row r="215" spans="1:6" x14ac:dyDescent="0.25">
      <c r="A215" s="4" t="s">
        <v>7</v>
      </c>
      <c r="B215" s="4" t="s">
        <v>584</v>
      </c>
      <c r="C215" s="1" t="s">
        <v>585</v>
      </c>
      <c r="D215" s="1" t="s">
        <v>586</v>
      </c>
      <c r="E215" s="6">
        <v>3958</v>
      </c>
      <c r="F215" s="4" t="s">
        <v>131</v>
      </c>
    </row>
    <row r="216" spans="1:6" x14ac:dyDescent="0.25">
      <c r="A216" s="4" t="s">
        <v>7</v>
      </c>
      <c r="B216" s="4" t="s">
        <v>587</v>
      </c>
      <c r="C216" s="1" t="s">
        <v>588</v>
      </c>
      <c r="D216" s="1" t="s">
        <v>589</v>
      </c>
      <c r="E216" s="6">
        <v>3958</v>
      </c>
    </row>
    <row r="217" spans="1:6" x14ac:dyDescent="0.25">
      <c r="A217" s="4" t="s">
        <v>7</v>
      </c>
      <c r="B217" s="4" t="s">
        <v>590</v>
      </c>
      <c r="C217" s="1" t="s">
        <v>591</v>
      </c>
      <c r="D217" s="1" t="s">
        <v>592</v>
      </c>
      <c r="E217" s="6">
        <v>7199</v>
      </c>
    </row>
    <row r="218" spans="1:6" x14ac:dyDescent="0.25">
      <c r="A218" s="4" t="s">
        <v>7</v>
      </c>
      <c r="B218" s="4" t="s">
        <v>593</v>
      </c>
      <c r="C218" s="1" t="s">
        <v>594</v>
      </c>
      <c r="D218" s="1" t="s">
        <v>594</v>
      </c>
      <c r="E218" s="6">
        <v>4891.25</v>
      </c>
      <c r="F218" s="4" t="s">
        <v>583</v>
      </c>
    </row>
    <row r="219" spans="1:6" x14ac:dyDescent="0.25">
      <c r="A219" s="4" t="s">
        <v>7</v>
      </c>
      <c r="B219" s="4" t="s">
        <v>595</v>
      </c>
      <c r="C219" s="1" t="s">
        <v>596</v>
      </c>
      <c r="D219" s="1" t="s">
        <v>597</v>
      </c>
      <c r="E219" s="6">
        <v>21397.542300000001</v>
      </c>
      <c r="F219" s="4" t="s">
        <v>583</v>
      </c>
    </row>
    <row r="220" spans="1:6" x14ac:dyDescent="0.25">
      <c r="A220" s="4" t="s">
        <v>7</v>
      </c>
      <c r="B220" s="4" t="s">
        <v>598</v>
      </c>
      <c r="C220" s="1" t="s">
        <v>599</v>
      </c>
      <c r="D220" s="1" t="s">
        <v>600</v>
      </c>
      <c r="E220" s="6">
        <v>15740</v>
      </c>
    </row>
    <row r="221" spans="1:6" x14ac:dyDescent="0.25">
      <c r="A221" s="4" t="s">
        <v>7</v>
      </c>
      <c r="B221" s="4" t="s">
        <v>601</v>
      </c>
      <c r="C221" s="1" t="s">
        <v>602</v>
      </c>
      <c r="D221" s="1" t="s">
        <v>603</v>
      </c>
      <c r="E221" s="6">
        <v>5082</v>
      </c>
    </row>
    <row r="222" spans="1:6" x14ac:dyDescent="0.25">
      <c r="A222" s="4" t="s">
        <v>7</v>
      </c>
      <c r="B222" s="4" t="s">
        <v>604</v>
      </c>
      <c r="C222" s="1" t="s">
        <v>605</v>
      </c>
      <c r="D222" s="1" t="s">
        <v>606</v>
      </c>
      <c r="E222" s="6">
        <v>741</v>
      </c>
      <c r="F222" s="4" t="s">
        <v>131</v>
      </c>
    </row>
    <row r="223" spans="1:6" x14ac:dyDescent="0.25">
      <c r="A223" s="4" t="s">
        <v>7</v>
      </c>
      <c r="B223" s="4" t="s">
        <v>607</v>
      </c>
      <c r="C223" s="1" t="s">
        <v>608</v>
      </c>
      <c r="D223" s="1" t="s">
        <v>608</v>
      </c>
      <c r="E223" s="6">
        <v>27910</v>
      </c>
      <c r="F223" s="4" t="s">
        <v>131</v>
      </c>
    </row>
    <row r="224" spans="1:6" x14ac:dyDescent="0.25">
      <c r="A224" s="4" t="s">
        <v>7</v>
      </c>
      <c r="B224" s="4" t="s">
        <v>609</v>
      </c>
      <c r="C224" s="1" t="s">
        <v>610</v>
      </c>
      <c r="D224" s="1" t="s">
        <v>611</v>
      </c>
      <c r="E224" s="6">
        <v>746</v>
      </c>
    </row>
    <row r="225" spans="1:6" x14ac:dyDescent="0.25">
      <c r="A225" s="4" t="s">
        <v>7</v>
      </c>
      <c r="B225" s="4" t="s">
        <v>612</v>
      </c>
      <c r="C225" s="1" t="s">
        <v>613</v>
      </c>
      <c r="D225" s="1" t="s">
        <v>614</v>
      </c>
      <c r="E225" s="6">
        <v>5103</v>
      </c>
      <c r="F225" s="4" t="s">
        <v>131</v>
      </c>
    </row>
    <row r="226" spans="1:6" x14ac:dyDescent="0.25">
      <c r="A226" s="4" t="s">
        <v>7</v>
      </c>
      <c r="B226" s="4" t="s">
        <v>615</v>
      </c>
      <c r="C226" s="1" t="s">
        <v>616</v>
      </c>
      <c r="D226" s="1" t="s">
        <v>617</v>
      </c>
      <c r="E226" s="6">
        <v>9460</v>
      </c>
    </row>
    <row r="227" spans="1:6" x14ac:dyDescent="0.25">
      <c r="A227" s="4" t="s">
        <v>7</v>
      </c>
      <c r="B227" s="4" t="s">
        <v>618</v>
      </c>
      <c r="C227" s="1" t="s">
        <v>619</v>
      </c>
      <c r="D227" s="1" t="s">
        <v>620</v>
      </c>
      <c r="E227" s="6">
        <v>11561</v>
      </c>
    </row>
    <row r="228" spans="1:6" x14ac:dyDescent="0.25">
      <c r="A228" s="4" t="s">
        <v>7</v>
      </c>
      <c r="B228" s="4" t="s">
        <v>621</v>
      </c>
      <c r="C228" s="1" t="s">
        <v>622</v>
      </c>
      <c r="D228" s="1" t="s">
        <v>623</v>
      </c>
      <c r="E228" s="6">
        <v>4253</v>
      </c>
    </row>
    <row r="229" spans="1:6" x14ac:dyDescent="0.25">
      <c r="A229" s="4" t="s">
        <v>7</v>
      </c>
      <c r="B229" s="4" t="s">
        <v>624</v>
      </c>
      <c r="C229" s="1" t="s">
        <v>625</v>
      </c>
      <c r="D229" s="1" t="s">
        <v>626</v>
      </c>
      <c r="E229" s="6">
        <v>9985</v>
      </c>
    </row>
    <row r="230" spans="1:6" x14ac:dyDescent="0.25">
      <c r="A230" s="4" t="s">
        <v>7</v>
      </c>
      <c r="B230" s="4" t="s">
        <v>627</v>
      </c>
      <c r="C230" s="1" t="s">
        <v>628</v>
      </c>
      <c r="D230" s="1" t="s">
        <v>629</v>
      </c>
      <c r="E230" s="6">
        <v>17342</v>
      </c>
    </row>
    <row r="231" spans="1:6" x14ac:dyDescent="0.25">
      <c r="A231" s="4" t="s">
        <v>7</v>
      </c>
      <c r="B231" s="4" t="s">
        <v>630</v>
      </c>
      <c r="C231" s="1" t="s">
        <v>631</v>
      </c>
      <c r="D231" s="1" t="s">
        <v>632</v>
      </c>
      <c r="E231" s="6">
        <v>3678</v>
      </c>
    </row>
    <row r="232" spans="1:6" x14ac:dyDescent="0.25">
      <c r="A232" s="4" t="s">
        <v>7</v>
      </c>
      <c r="B232" s="4" t="s">
        <v>633</v>
      </c>
      <c r="C232" s="1" t="s">
        <v>634</v>
      </c>
      <c r="D232" s="1" t="s">
        <v>635</v>
      </c>
      <c r="E232" s="6">
        <v>17342</v>
      </c>
    </row>
    <row r="233" spans="1:6" x14ac:dyDescent="0.25">
      <c r="A233" s="4" t="s">
        <v>7</v>
      </c>
      <c r="B233" s="4" t="s">
        <v>636</v>
      </c>
      <c r="C233" s="1" t="s">
        <v>637</v>
      </c>
      <c r="D233" s="1" t="s">
        <v>638</v>
      </c>
      <c r="E233" s="6">
        <v>27910</v>
      </c>
    </row>
    <row r="234" spans="1:6" x14ac:dyDescent="0.25">
      <c r="A234" s="4" t="s">
        <v>7</v>
      </c>
      <c r="B234" s="4" t="s">
        <v>639</v>
      </c>
      <c r="C234" s="1" t="s">
        <v>640</v>
      </c>
      <c r="D234" s="1" t="s">
        <v>641</v>
      </c>
      <c r="E234" s="6">
        <v>8712</v>
      </c>
    </row>
    <row r="235" spans="1:6" x14ac:dyDescent="0.25">
      <c r="A235" s="4" t="s">
        <v>7</v>
      </c>
      <c r="B235" s="4" t="s">
        <v>642</v>
      </c>
      <c r="C235" s="1" t="s">
        <v>643</v>
      </c>
      <c r="D235" s="1" t="s">
        <v>644</v>
      </c>
      <c r="E235" s="6">
        <v>8712</v>
      </c>
    </row>
    <row r="236" spans="1:6" x14ac:dyDescent="0.25">
      <c r="A236" s="4" t="s">
        <v>7</v>
      </c>
      <c r="B236" s="4" t="s">
        <v>645</v>
      </c>
      <c r="C236" s="1" t="s">
        <v>646</v>
      </c>
      <c r="D236" s="1" t="s">
        <v>647</v>
      </c>
      <c r="E236" s="6">
        <v>11561</v>
      </c>
    </row>
    <row r="237" spans="1:6" x14ac:dyDescent="0.25">
      <c r="A237" s="4" t="s">
        <v>7</v>
      </c>
      <c r="B237" s="4" t="s">
        <v>648</v>
      </c>
      <c r="C237" s="1" t="s">
        <v>649</v>
      </c>
      <c r="D237" s="1" t="s">
        <v>650</v>
      </c>
      <c r="E237" s="6">
        <v>27910</v>
      </c>
    </row>
    <row r="238" spans="1:6" x14ac:dyDescent="0.25">
      <c r="A238" s="4" t="s">
        <v>7</v>
      </c>
      <c r="B238" s="4" t="s">
        <v>651</v>
      </c>
      <c r="C238" s="1" t="s">
        <v>652</v>
      </c>
      <c r="D238" s="1" t="s">
        <v>653</v>
      </c>
      <c r="E238" s="6">
        <v>14188</v>
      </c>
    </row>
    <row r="239" spans="1:6" x14ac:dyDescent="0.25">
      <c r="A239" s="4" t="s">
        <v>7</v>
      </c>
      <c r="B239" s="4" t="s">
        <v>654</v>
      </c>
      <c r="C239" s="1" t="s">
        <v>655</v>
      </c>
      <c r="D239" s="1" t="s">
        <v>656</v>
      </c>
      <c r="E239" s="6">
        <v>14125</v>
      </c>
    </row>
    <row r="240" spans="1:6" x14ac:dyDescent="0.25">
      <c r="A240" s="4" t="s">
        <v>7</v>
      </c>
      <c r="B240" s="4" t="s">
        <v>657</v>
      </c>
      <c r="C240" s="1" t="s">
        <v>658</v>
      </c>
      <c r="D240" s="1" t="s">
        <v>659</v>
      </c>
      <c r="E240" s="6">
        <v>19443</v>
      </c>
    </row>
    <row r="241" spans="1:6" x14ac:dyDescent="0.25">
      <c r="A241" s="4" t="s">
        <v>7</v>
      </c>
      <c r="B241" s="4" t="s">
        <v>660</v>
      </c>
      <c r="C241" s="1" t="s">
        <v>661</v>
      </c>
      <c r="D241" s="1" t="s">
        <v>662</v>
      </c>
      <c r="E241" s="6">
        <v>11424</v>
      </c>
    </row>
    <row r="242" spans="1:6" x14ac:dyDescent="0.25">
      <c r="A242" s="4" t="s">
        <v>7</v>
      </c>
      <c r="B242" s="4" t="s">
        <v>663</v>
      </c>
      <c r="C242" s="1" t="s">
        <v>664</v>
      </c>
      <c r="D242" s="1" t="s">
        <v>665</v>
      </c>
      <c r="E242" s="6">
        <v>7357</v>
      </c>
    </row>
    <row r="243" spans="1:6" x14ac:dyDescent="0.25">
      <c r="A243" s="4" t="s">
        <v>7</v>
      </c>
      <c r="B243" s="4" t="s">
        <v>666</v>
      </c>
      <c r="C243" s="1" t="s">
        <v>667</v>
      </c>
      <c r="D243" s="1" t="s">
        <v>668</v>
      </c>
      <c r="E243" s="6">
        <v>2427</v>
      </c>
    </row>
    <row r="244" spans="1:6" x14ac:dyDescent="0.25">
      <c r="A244" s="4" t="s">
        <v>7</v>
      </c>
      <c r="B244" s="4" t="s">
        <v>669</v>
      </c>
      <c r="C244" s="1" t="s">
        <v>670</v>
      </c>
      <c r="D244" s="1" t="s">
        <v>671</v>
      </c>
      <c r="E244" s="6">
        <v>4203</v>
      </c>
    </row>
    <row r="245" spans="1:6" x14ac:dyDescent="0.25">
      <c r="A245" s="4" t="s">
        <v>7</v>
      </c>
      <c r="B245" s="4" t="s">
        <v>672</v>
      </c>
      <c r="C245" s="1" t="s">
        <v>673</v>
      </c>
      <c r="D245" s="1" t="s">
        <v>674</v>
      </c>
      <c r="E245" s="6">
        <v>6305</v>
      </c>
    </row>
    <row r="246" spans="1:6" x14ac:dyDescent="0.25">
      <c r="A246" s="4" t="s">
        <v>7</v>
      </c>
      <c r="B246" s="4" t="s">
        <v>675</v>
      </c>
      <c r="C246" s="1" t="s">
        <v>676</v>
      </c>
      <c r="D246" s="1" t="s">
        <v>677</v>
      </c>
      <c r="E246" s="6">
        <v>3678</v>
      </c>
    </row>
    <row r="247" spans="1:6" x14ac:dyDescent="0.25">
      <c r="A247" s="4" t="s">
        <v>7</v>
      </c>
      <c r="B247" s="4" t="s">
        <v>678</v>
      </c>
      <c r="C247" s="1" t="s">
        <v>679</v>
      </c>
      <c r="D247" s="1" t="s">
        <v>680</v>
      </c>
      <c r="E247" s="6">
        <v>12612</v>
      </c>
    </row>
    <row r="248" spans="1:6" x14ac:dyDescent="0.25">
      <c r="A248" s="4" t="s">
        <v>7</v>
      </c>
      <c r="B248" s="4" t="s">
        <v>681</v>
      </c>
      <c r="C248" s="1" t="s">
        <v>682</v>
      </c>
      <c r="D248" s="1" t="s">
        <v>683</v>
      </c>
      <c r="E248" s="6">
        <v>10511</v>
      </c>
    </row>
    <row r="249" spans="1:6" x14ac:dyDescent="0.25">
      <c r="A249" s="4" t="s">
        <v>7</v>
      </c>
      <c r="B249" s="4" t="s">
        <v>684</v>
      </c>
      <c r="C249" s="1" t="s">
        <v>685</v>
      </c>
      <c r="D249" s="1" t="s">
        <v>686</v>
      </c>
      <c r="E249" s="6">
        <v>10511</v>
      </c>
      <c r="F249" s="4" t="s">
        <v>131</v>
      </c>
    </row>
    <row r="250" spans="1:6" x14ac:dyDescent="0.25">
      <c r="A250" s="4" t="s">
        <v>7</v>
      </c>
      <c r="B250" s="4" t="s">
        <v>687</v>
      </c>
      <c r="C250" s="1" t="s">
        <v>688</v>
      </c>
      <c r="D250" s="1" t="s">
        <v>689</v>
      </c>
      <c r="E250" s="6">
        <v>14714</v>
      </c>
    </row>
    <row r="251" spans="1:6" x14ac:dyDescent="0.25">
      <c r="A251" s="4" t="s">
        <v>7</v>
      </c>
      <c r="B251" s="4" t="s">
        <v>690</v>
      </c>
      <c r="C251" s="1" t="s">
        <v>691</v>
      </c>
      <c r="D251" s="1" t="s">
        <v>692</v>
      </c>
      <c r="E251" s="6">
        <v>9196</v>
      </c>
    </row>
    <row r="252" spans="1:6" x14ac:dyDescent="0.25">
      <c r="A252" s="4" t="s">
        <v>7</v>
      </c>
      <c r="B252" s="4" t="s">
        <v>693</v>
      </c>
      <c r="C252" s="1" t="s">
        <v>694</v>
      </c>
      <c r="D252" s="1" t="s">
        <v>695</v>
      </c>
      <c r="E252" s="6">
        <v>10511</v>
      </c>
    </row>
    <row r="253" spans="1:6" x14ac:dyDescent="0.25">
      <c r="A253" s="4" t="s">
        <v>7</v>
      </c>
      <c r="B253" s="4" t="s">
        <v>696</v>
      </c>
      <c r="C253" s="1" t="s">
        <v>697</v>
      </c>
      <c r="D253" s="1" t="s">
        <v>698</v>
      </c>
      <c r="E253" s="6">
        <v>27910</v>
      </c>
    </row>
    <row r="254" spans="1:6" x14ac:dyDescent="0.25">
      <c r="A254" s="4" t="s">
        <v>7</v>
      </c>
      <c r="B254" s="4" t="s">
        <v>699</v>
      </c>
      <c r="C254" s="1" t="s">
        <v>700</v>
      </c>
      <c r="D254" s="1" t="s">
        <v>701</v>
      </c>
      <c r="E254" s="6">
        <v>27910</v>
      </c>
    </row>
    <row r="255" spans="1:6" x14ac:dyDescent="0.25">
      <c r="A255" s="4" t="s">
        <v>7</v>
      </c>
      <c r="B255" s="4" t="s">
        <v>702</v>
      </c>
      <c r="C255" s="1" t="s">
        <v>703</v>
      </c>
      <c r="D255" s="1" t="s">
        <v>704</v>
      </c>
      <c r="E255" s="6">
        <v>10389.61</v>
      </c>
    </row>
    <row r="256" spans="1:6" x14ac:dyDescent="0.25">
      <c r="A256" s="4" t="s">
        <v>7</v>
      </c>
      <c r="B256" s="4" t="s">
        <v>705</v>
      </c>
      <c r="C256" s="1" t="s">
        <v>706</v>
      </c>
      <c r="D256" s="1" t="s">
        <v>707</v>
      </c>
      <c r="E256" s="6">
        <v>27910</v>
      </c>
    </row>
    <row r="257" spans="1:5" x14ac:dyDescent="0.25">
      <c r="A257" s="4" t="s">
        <v>7</v>
      </c>
      <c r="B257" s="4" t="s">
        <v>708</v>
      </c>
      <c r="C257" s="1" t="s">
        <v>709</v>
      </c>
      <c r="D257" s="1" t="s">
        <v>710</v>
      </c>
      <c r="E257" s="6">
        <v>27910</v>
      </c>
    </row>
    <row r="258" spans="1:5" x14ac:dyDescent="0.25">
      <c r="A258" s="4" t="s">
        <v>7</v>
      </c>
      <c r="B258" s="4" t="s">
        <v>711</v>
      </c>
      <c r="C258" s="1" t="s">
        <v>712</v>
      </c>
      <c r="D258" s="1" t="s">
        <v>713</v>
      </c>
      <c r="E258" s="6">
        <v>27910</v>
      </c>
    </row>
    <row r="259" spans="1:5" x14ac:dyDescent="0.25">
      <c r="A259" s="4" t="s">
        <v>7</v>
      </c>
      <c r="B259" s="4" t="s">
        <v>714</v>
      </c>
      <c r="C259" s="1" t="s">
        <v>715</v>
      </c>
      <c r="D259" s="1" t="s">
        <v>716</v>
      </c>
      <c r="E259" s="6">
        <v>3958</v>
      </c>
    </row>
    <row r="260" spans="1:5" x14ac:dyDescent="0.25">
      <c r="A260" s="4" t="s">
        <v>7</v>
      </c>
      <c r="B260" s="4" t="s">
        <v>717</v>
      </c>
      <c r="C260" s="1" t="s">
        <v>718</v>
      </c>
      <c r="D260" s="1" t="s">
        <v>719</v>
      </c>
      <c r="E260" s="6">
        <v>8369</v>
      </c>
    </row>
    <row r="261" spans="1:5" x14ac:dyDescent="0.25">
      <c r="A261" s="4" t="s">
        <v>7</v>
      </c>
      <c r="B261" s="4" t="s">
        <v>720</v>
      </c>
      <c r="C261" s="1" t="s">
        <v>721</v>
      </c>
      <c r="D261" s="1" t="s">
        <v>722</v>
      </c>
      <c r="E261" s="6">
        <v>13292</v>
      </c>
    </row>
    <row r="262" spans="1:5" x14ac:dyDescent="0.25">
      <c r="A262" s="4" t="s">
        <v>7</v>
      </c>
      <c r="B262" s="4" t="s">
        <v>723</v>
      </c>
      <c r="C262" s="1" t="s">
        <v>724</v>
      </c>
      <c r="D262" s="1" t="s">
        <v>725</v>
      </c>
      <c r="E262" s="6">
        <v>4819.2700000000004</v>
      </c>
    </row>
    <row r="263" spans="1:5" x14ac:dyDescent="0.25">
      <c r="A263" s="4" t="s">
        <v>7</v>
      </c>
      <c r="B263" s="4" t="s">
        <v>726</v>
      </c>
      <c r="C263" s="1" t="s">
        <v>727</v>
      </c>
      <c r="D263" s="1" t="s">
        <v>728</v>
      </c>
      <c r="E263" s="6">
        <v>5908</v>
      </c>
    </row>
    <row r="264" spans="1:5" x14ac:dyDescent="0.25">
      <c r="A264" s="4" t="s">
        <v>7</v>
      </c>
      <c r="B264" s="4" t="s">
        <v>729</v>
      </c>
      <c r="C264" s="1" t="s">
        <v>730</v>
      </c>
      <c r="D264" s="1" t="s">
        <v>731</v>
      </c>
      <c r="E264" s="6">
        <v>17229</v>
      </c>
    </row>
    <row r="265" spans="1:5" x14ac:dyDescent="0.25">
      <c r="A265" s="4" t="s">
        <v>7</v>
      </c>
      <c r="B265" s="4" t="s">
        <v>732</v>
      </c>
      <c r="C265" s="1" t="s">
        <v>733</v>
      </c>
      <c r="D265" s="1" t="s">
        <v>734</v>
      </c>
      <c r="E265" s="6">
        <v>8369</v>
      </c>
    </row>
    <row r="266" spans="1:5" x14ac:dyDescent="0.25">
      <c r="A266" s="4" t="s">
        <v>7</v>
      </c>
      <c r="B266" s="4" t="s">
        <v>735</v>
      </c>
      <c r="C266" s="1" t="s">
        <v>736</v>
      </c>
      <c r="D266" s="1" t="s">
        <v>737</v>
      </c>
      <c r="E266" s="6">
        <v>1969</v>
      </c>
    </row>
    <row r="267" spans="1:5" x14ac:dyDescent="0.25">
      <c r="A267" s="4" t="s">
        <v>7</v>
      </c>
      <c r="B267" s="4" t="s">
        <v>738</v>
      </c>
      <c r="C267" s="1" t="s">
        <v>739</v>
      </c>
      <c r="D267" s="1" t="s">
        <v>740</v>
      </c>
      <c r="E267" s="6">
        <v>11814</v>
      </c>
    </row>
    <row r="268" spans="1:5" x14ac:dyDescent="0.25">
      <c r="A268" s="4" t="s">
        <v>7</v>
      </c>
      <c r="B268" s="4" t="s">
        <v>741</v>
      </c>
      <c r="C268" s="1" t="s">
        <v>742</v>
      </c>
      <c r="D268" s="1" t="s">
        <v>743</v>
      </c>
      <c r="E268" s="6">
        <v>27910</v>
      </c>
    </row>
    <row r="269" spans="1:5" x14ac:dyDescent="0.25">
      <c r="A269" s="4" t="s">
        <v>7</v>
      </c>
      <c r="B269" s="4" t="s">
        <v>744</v>
      </c>
      <c r="C269" s="1" t="s">
        <v>745</v>
      </c>
      <c r="D269" s="1" t="s">
        <v>746</v>
      </c>
      <c r="E269" s="6">
        <v>27910</v>
      </c>
    </row>
    <row r="270" spans="1:5" x14ac:dyDescent="0.25">
      <c r="A270" s="4" t="s">
        <v>7</v>
      </c>
      <c r="B270" s="4" t="s">
        <v>747</v>
      </c>
      <c r="C270" s="1" t="s">
        <v>748</v>
      </c>
      <c r="D270" s="1" t="s">
        <v>749</v>
      </c>
      <c r="E270" s="6">
        <v>27910</v>
      </c>
    </row>
    <row r="271" spans="1:5" x14ac:dyDescent="0.25">
      <c r="A271" s="4" t="s">
        <v>7</v>
      </c>
      <c r="B271" s="4" t="s">
        <v>750</v>
      </c>
      <c r="C271" s="1" t="s">
        <v>751</v>
      </c>
      <c r="D271" s="1" t="s">
        <v>752</v>
      </c>
      <c r="E271" s="6">
        <v>5103</v>
      </c>
    </row>
    <row r="272" spans="1:5" x14ac:dyDescent="0.25">
      <c r="A272" s="4" t="s">
        <v>7</v>
      </c>
      <c r="B272" s="4" t="s">
        <v>753</v>
      </c>
      <c r="C272" s="1" t="s">
        <v>754</v>
      </c>
      <c r="D272" s="1" t="s">
        <v>755</v>
      </c>
      <c r="E272" s="6">
        <v>27910</v>
      </c>
    </row>
    <row r="273" spans="1:5" x14ac:dyDescent="0.25">
      <c r="A273" s="4" t="s">
        <v>7</v>
      </c>
      <c r="B273" s="4" t="s">
        <v>756</v>
      </c>
      <c r="C273" s="1" t="s">
        <v>757</v>
      </c>
      <c r="D273" s="1" t="s">
        <v>758</v>
      </c>
      <c r="E273" s="6">
        <v>27910</v>
      </c>
    </row>
    <row r="274" spans="1:5" x14ac:dyDescent="0.25">
      <c r="A274" s="4" t="s">
        <v>7</v>
      </c>
      <c r="B274" s="4" t="s">
        <v>759</v>
      </c>
      <c r="C274" s="1" t="s">
        <v>760</v>
      </c>
      <c r="D274" s="1" t="s">
        <v>761</v>
      </c>
      <c r="E274" s="6">
        <v>27910</v>
      </c>
    </row>
    <row r="275" spans="1:5" x14ac:dyDescent="0.25">
      <c r="A275" s="4" t="s">
        <v>7</v>
      </c>
      <c r="B275" s="4" t="s">
        <v>762</v>
      </c>
      <c r="C275" s="1" t="s">
        <v>763</v>
      </c>
      <c r="D275" s="1" t="s">
        <v>764</v>
      </c>
      <c r="E275" s="6">
        <v>27910</v>
      </c>
    </row>
    <row r="276" spans="1:5" x14ac:dyDescent="0.25">
      <c r="A276" s="4" t="s">
        <v>7</v>
      </c>
      <c r="B276" s="4" t="s">
        <v>765</v>
      </c>
      <c r="C276" s="1" t="s">
        <v>766</v>
      </c>
      <c r="D276" s="1" t="s">
        <v>767</v>
      </c>
      <c r="E276" s="6">
        <v>16539</v>
      </c>
    </row>
    <row r="277" spans="1:5" x14ac:dyDescent="0.25">
      <c r="A277" s="4" t="s">
        <v>7</v>
      </c>
      <c r="B277" s="4" t="s">
        <v>768</v>
      </c>
      <c r="C277" s="1" t="s">
        <v>769</v>
      </c>
      <c r="D277" s="1" t="s">
        <v>770</v>
      </c>
      <c r="E277" s="6">
        <v>27910</v>
      </c>
    </row>
    <row r="278" spans="1:5" x14ac:dyDescent="0.25">
      <c r="A278" s="4" t="s">
        <v>7</v>
      </c>
      <c r="B278" s="4" t="s">
        <v>771</v>
      </c>
      <c r="C278" s="1" t="s">
        <v>772</v>
      </c>
      <c r="D278" s="1" t="s">
        <v>773</v>
      </c>
      <c r="E278" s="6">
        <v>27910</v>
      </c>
    </row>
    <row r="279" spans="1:5" x14ac:dyDescent="0.25">
      <c r="A279" s="4" t="s">
        <v>7</v>
      </c>
      <c r="B279" s="4" t="s">
        <v>774</v>
      </c>
      <c r="C279" s="1" t="s">
        <v>775</v>
      </c>
      <c r="D279" s="1" t="s">
        <v>776</v>
      </c>
      <c r="E279" s="6">
        <v>27910</v>
      </c>
    </row>
    <row r="280" spans="1:5" x14ac:dyDescent="0.25">
      <c r="A280" s="4" t="s">
        <v>7</v>
      </c>
      <c r="B280" s="4" t="s">
        <v>777</v>
      </c>
      <c r="C280" s="1" t="s">
        <v>778</v>
      </c>
      <c r="D280" s="1" t="s">
        <v>779</v>
      </c>
      <c r="E280" s="6">
        <v>8786</v>
      </c>
    </row>
    <row r="281" spans="1:5" x14ac:dyDescent="0.25">
      <c r="A281" s="4" t="s">
        <v>7</v>
      </c>
      <c r="B281" s="4" t="s">
        <v>780</v>
      </c>
      <c r="C281" s="1" t="s">
        <v>781</v>
      </c>
      <c r="D281" s="1" t="s">
        <v>782</v>
      </c>
      <c r="E281" s="6">
        <v>27910</v>
      </c>
    </row>
    <row r="282" spans="1:5" x14ac:dyDescent="0.25">
      <c r="A282" s="4" t="s">
        <v>7</v>
      </c>
      <c r="B282" s="4" t="s">
        <v>783</v>
      </c>
      <c r="C282" s="1" t="s">
        <v>784</v>
      </c>
      <c r="D282" s="1" t="s">
        <v>785</v>
      </c>
      <c r="E282" s="6">
        <v>27910</v>
      </c>
    </row>
    <row r="283" spans="1:5" x14ac:dyDescent="0.25">
      <c r="A283" s="4" t="s">
        <v>7</v>
      </c>
      <c r="B283" s="4" t="s">
        <v>786</v>
      </c>
      <c r="C283" s="1" t="s">
        <v>787</v>
      </c>
      <c r="D283" s="1" t="s">
        <v>788</v>
      </c>
      <c r="E283" s="6">
        <v>7752</v>
      </c>
    </row>
    <row r="284" spans="1:5" x14ac:dyDescent="0.25">
      <c r="A284" s="4" t="s">
        <v>7</v>
      </c>
      <c r="B284" s="4" t="s">
        <v>789</v>
      </c>
      <c r="C284" s="1" t="s">
        <v>790</v>
      </c>
      <c r="D284" s="1" t="s">
        <v>791</v>
      </c>
      <c r="E284" s="6">
        <v>27910</v>
      </c>
    </row>
    <row r="285" spans="1:5" x14ac:dyDescent="0.25">
      <c r="A285" s="4" t="s">
        <v>7</v>
      </c>
      <c r="B285" s="4" t="s">
        <v>792</v>
      </c>
      <c r="C285" s="1" t="s">
        <v>793</v>
      </c>
      <c r="D285" s="1" t="s">
        <v>794</v>
      </c>
      <c r="E285" s="6">
        <v>27910</v>
      </c>
    </row>
    <row r="286" spans="1:5" x14ac:dyDescent="0.25">
      <c r="A286" s="4" t="s">
        <v>7</v>
      </c>
      <c r="B286" s="4" t="s">
        <v>795</v>
      </c>
      <c r="C286" s="1" t="s">
        <v>796</v>
      </c>
      <c r="D286" s="1" t="s">
        <v>797</v>
      </c>
      <c r="E286" s="6">
        <v>27910</v>
      </c>
    </row>
    <row r="287" spans="1:5" x14ac:dyDescent="0.25">
      <c r="A287" s="4" t="s">
        <v>7</v>
      </c>
      <c r="B287" s="4" t="s">
        <v>798</v>
      </c>
      <c r="C287" s="1" t="s">
        <v>799</v>
      </c>
      <c r="D287" s="1" t="s">
        <v>800</v>
      </c>
      <c r="E287" s="6">
        <v>12684</v>
      </c>
    </row>
    <row r="288" spans="1:5" x14ac:dyDescent="0.25">
      <c r="A288" s="4" t="s">
        <v>7</v>
      </c>
      <c r="B288" s="4" t="s">
        <v>801</v>
      </c>
      <c r="C288" s="1" t="s">
        <v>802</v>
      </c>
      <c r="D288" s="1" t="s">
        <v>803</v>
      </c>
      <c r="E288" s="6">
        <v>13612</v>
      </c>
    </row>
    <row r="289" spans="1:6" x14ac:dyDescent="0.25">
      <c r="A289" s="4" t="s">
        <v>7</v>
      </c>
      <c r="B289" s="4" t="s">
        <v>804</v>
      </c>
      <c r="C289" s="1" t="s">
        <v>805</v>
      </c>
      <c r="D289" s="1" t="s">
        <v>707</v>
      </c>
      <c r="E289" s="6">
        <v>8972</v>
      </c>
    </row>
    <row r="290" spans="1:6" x14ac:dyDescent="0.25">
      <c r="A290" s="4" t="s">
        <v>7</v>
      </c>
      <c r="B290" s="4" t="s">
        <v>806</v>
      </c>
      <c r="C290" s="1" t="s">
        <v>807</v>
      </c>
      <c r="D290" s="1" t="s">
        <v>808</v>
      </c>
      <c r="E290" s="6">
        <v>15468</v>
      </c>
    </row>
    <row r="291" spans="1:6" x14ac:dyDescent="0.25">
      <c r="A291" s="4" t="s">
        <v>7</v>
      </c>
      <c r="B291" s="4" t="s">
        <v>809</v>
      </c>
      <c r="C291" s="1" t="s">
        <v>810</v>
      </c>
      <c r="D291" s="1" t="s">
        <v>811</v>
      </c>
      <c r="E291" s="6">
        <v>33411</v>
      </c>
    </row>
    <row r="292" spans="1:6" x14ac:dyDescent="0.25">
      <c r="A292" s="4" t="s">
        <v>7</v>
      </c>
      <c r="B292" s="4" t="s">
        <v>812</v>
      </c>
      <c r="C292" s="1" t="s">
        <v>813</v>
      </c>
      <c r="D292" s="1" t="s">
        <v>814</v>
      </c>
      <c r="E292" s="6">
        <v>867</v>
      </c>
      <c r="F292" s="4" t="s">
        <v>131</v>
      </c>
    </row>
    <row r="293" spans="1:6" x14ac:dyDescent="0.25">
      <c r="A293" s="4" t="s">
        <v>7</v>
      </c>
      <c r="B293" s="4" t="s">
        <v>815</v>
      </c>
      <c r="C293" s="1" t="s">
        <v>816</v>
      </c>
      <c r="D293" s="1" t="s">
        <v>817</v>
      </c>
      <c r="E293" s="6">
        <v>10790</v>
      </c>
    </row>
    <row r="294" spans="1:6" x14ac:dyDescent="0.25">
      <c r="A294" s="4" t="s">
        <v>7</v>
      </c>
      <c r="B294" s="4" t="s">
        <v>818</v>
      </c>
      <c r="C294" s="1" t="s">
        <v>819</v>
      </c>
      <c r="D294" s="1" t="s">
        <v>820</v>
      </c>
      <c r="E294" s="6">
        <v>27910</v>
      </c>
    </row>
    <row r="295" spans="1:6" x14ac:dyDescent="0.25">
      <c r="A295" s="4" t="s">
        <v>7</v>
      </c>
      <c r="B295" s="4" t="s">
        <v>821</v>
      </c>
      <c r="C295" s="1" t="s">
        <v>822</v>
      </c>
      <c r="D295" s="1" t="s">
        <v>823</v>
      </c>
      <c r="E295" s="6">
        <v>3958</v>
      </c>
    </row>
    <row r="296" spans="1:6" x14ac:dyDescent="0.25">
      <c r="A296" s="4" t="s">
        <v>7</v>
      </c>
      <c r="B296" s="4" t="s">
        <v>824</v>
      </c>
      <c r="C296" s="1" t="s">
        <v>825</v>
      </c>
      <c r="D296" s="1" t="s">
        <v>826</v>
      </c>
      <c r="E296" s="6">
        <v>9282</v>
      </c>
    </row>
    <row r="297" spans="1:6" x14ac:dyDescent="0.25">
      <c r="A297" s="4" t="s">
        <v>7</v>
      </c>
      <c r="B297" s="4" t="s">
        <v>827</v>
      </c>
      <c r="C297" s="1" t="s">
        <v>828</v>
      </c>
      <c r="D297" s="1" t="s">
        <v>829</v>
      </c>
      <c r="E297" s="6">
        <v>27910</v>
      </c>
    </row>
    <row r="298" spans="1:6" x14ac:dyDescent="0.25">
      <c r="A298" s="4" t="s">
        <v>7</v>
      </c>
      <c r="B298" s="4" t="s">
        <v>830</v>
      </c>
      <c r="C298" s="1" t="s">
        <v>831</v>
      </c>
      <c r="D298" s="1" t="s">
        <v>832</v>
      </c>
      <c r="E298" s="6">
        <v>18490</v>
      </c>
    </row>
    <row r="299" spans="1:6" x14ac:dyDescent="0.25">
      <c r="A299" s="4" t="s">
        <v>7</v>
      </c>
      <c r="B299" s="4" t="s">
        <v>833</v>
      </c>
      <c r="C299" s="1" t="s">
        <v>834</v>
      </c>
      <c r="D299" s="1" t="s">
        <v>835</v>
      </c>
      <c r="E299" s="6">
        <v>18562</v>
      </c>
    </row>
    <row r="300" spans="1:6" x14ac:dyDescent="0.25">
      <c r="A300" s="4" t="s">
        <v>7</v>
      </c>
      <c r="B300" s="4" t="s">
        <v>836</v>
      </c>
      <c r="C300" s="1" t="s">
        <v>837</v>
      </c>
      <c r="D300" s="1" t="s">
        <v>838</v>
      </c>
      <c r="E300" s="6">
        <v>12436</v>
      </c>
    </row>
    <row r="301" spans="1:6" x14ac:dyDescent="0.25">
      <c r="A301" s="4" t="s">
        <v>7</v>
      </c>
      <c r="B301" s="4" t="s">
        <v>839</v>
      </c>
      <c r="C301" s="1" t="s">
        <v>840</v>
      </c>
      <c r="D301" s="1" t="s">
        <v>841</v>
      </c>
      <c r="E301" s="6">
        <v>3904</v>
      </c>
    </row>
    <row r="302" spans="1:6" x14ac:dyDescent="0.25">
      <c r="A302" s="4" t="s">
        <v>7</v>
      </c>
      <c r="B302" s="4" t="s">
        <v>842</v>
      </c>
      <c r="C302" s="1" t="s">
        <v>843</v>
      </c>
      <c r="D302" s="1" t="s">
        <v>844</v>
      </c>
      <c r="E302" s="6">
        <v>44578.31</v>
      </c>
    </row>
    <row r="303" spans="1:6" x14ac:dyDescent="0.25">
      <c r="A303" s="4" t="s">
        <v>7</v>
      </c>
      <c r="B303" s="4" t="s">
        <v>845</v>
      </c>
      <c r="C303" s="1" t="s">
        <v>846</v>
      </c>
      <c r="D303" s="1" t="s">
        <v>847</v>
      </c>
      <c r="E303" s="6">
        <v>27910</v>
      </c>
    </row>
    <row r="304" spans="1:6" x14ac:dyDescent="0.25">
      <c r="A304" s="4" t="s">
        <v>7</v>
      </c>
      <c r="B304" s="4" t="s">
        <v>848</v>
      </c>
      <c r="C304" s="1" t="s">
        <v>849</v>
      </c>
      <c r="D304" s="1" t="s">
        <v>850</v>
      </c>
      <c r="E304" s="6">
        <v>10410</v>
      </c>
    </row>
    <row r="305" spans="1:5" x14ac:dyDescent="0.25">
      <c r="A305" s="4" t="s">
        <v>7</v>
      </c>
      <c r="B305" s="4" t="s">
        <v>851</v>
      </c>
      <c r="C305" s="1" t="s">
        <v>852</v>
      </c>
      <c r="D305" s="1" t="s">
        <v>853</v>
      </c>
      <c r="E305" s="6">
        <v>9096</v>
      </c>
    </row>
    <row r="306" spans="1:5" x14ac:dyDescent="0.25">
      <c r="A306" s="4" t="s">
        <v>7</v>
      </c>
      <c r="B306" s="4" t="s">
        <v>854</v>
      </c>
      <c r="C306" s="1" t="s">
        <v>855</v>
      </c>
      <c r="D306" s="1" t="s">
        <v>856</v>
      </c>
      <c r="E306" s="6">
        <v>27910</v>
      </c>
    </row>
    <row r="307" spans="1:5" x14ac:dyDescent="0.25">
      <c r="A307" s="4" t="s">
        <v>7</v>
      </c>
      <c r="B307" s="4" t="s">
        <v>857</v>
      </c>
      <c r="C307" s="1" t="s">
        <v>858</v>
      </c>
      <c r="D307" s="1" t="s">
        <v>859</v>
      </c>
      <c r="E307" s="6">
        <v>27910</v>
      </c>
    </row>
    <row r="308" spans="1:5" x14ac:dyDescent="0.25">
      <c r="A308" s="4" t="s">
        <v>7</v>
      </c>
      <c r="B308" s="4" t="s">
        <v>860</v>
      </c>
      <c r="C308" s="1" t="s">
        <v>861</v>
      </c>
      <c r="D308" s="1" t="s">
        <v>862</v>
      </c>
      <c r="E308" s="6">
        <v>9282</v>
      </c>
    </row>
    <row r="309" spans="1:5" x14ac:dyDescent="0.25">
      <c r="A309" s="4" t="s">
        <v>7</v>
      </c>
      <c r="B309" s="4" t="s">
        <v>863</v>
      </c>
      <c r="C309" s="1" t="s">
        <v>864</v>
      </c>
      <c r="D309" s="1" t="s">
        <v>865</v>
      </c>
      <c r="E309" s="6">
        <v>27910</v>
      </c>
    </row>
    <row r="310" spans="1:5" x14ac:dyDescent="0.25">
      <c r="A310" s="4" t="s">
        <v>7</v>
      </c>
      <c r="B310" s="4" t="s">
        <v>866</v>
      </c>
      <c r="C310" s="1" t="s">
        <v>867</v>
      </c>
      <c r="D310" s="1" t="s">
        <v>868</v>
      </c>
      <c r="E310" s="6">
        <v>27910</v>
      </c>
    </row>
    <row r="311" spans="1:5" x14ac:dyDescent="0.25">
      <c r="A311" s="4" t="s">
        <v>7</v>
      </c>
      <c r="B311" s="4" t="s">
        <v>869</v>
      </c>
      <c r="C311" s="1" t="s">
        <v>870</v>
      </c>
      <c r="D311" s="1" t="s">
        <v>668</v>
      </c>
      <c r="E311" s="6">
        <v>27910</v>
      </c>
    </row>
    <row r="312" spans="1:5" x14ac:dyDescent="0.25">
      <c r="A312" s="4" t="s">
        <v>7</v>
      </c>
      <c r="B312" s="4" t="s">
        <v>871</v>
      </c>
      <c r="C312" s="1" t="s">
        <v>872</v>
      </c>
      <c r="D312" s="1" t="s">
        <v>873</v>
      </c>
      <c r="E312" s="6">
        <v>3094</v>
      </c>
    </row>
    <row r="313" spans="1:5" x14ac:dyDescent="0.25">
      <c r="A313" s="4" t="s">
        <v>7</v>
      </c>
      <c r="B313" s="4" t="s">
        <v>874</v>
      </c>
      <c r="C313" s="1" t="s">
        <v>875</v>
      </c>
      <c r="D313" s="1" t="s">
        <v>876</v>
      </c>
      <c r="E313" s="6">
        <v>27910</v>
      </c>
    </row>
    <row r="314" spans="1:5" x14ac:dyDescent="0.25">
      <c r="A314" s="4" t="s">
        <v>7</v>
      </c>
      <c r="B314" s="4" t="s">
        <v>877</v>
      </c>
      <c r="C314" s="1" t="s">
        <v>878</v>
      </c>
      <c r="D314" s="1" t="s">
        <v>879</v>
      </c>
      <c r="E314" s="6">
        <v>27910</v>
      </c>
    </row>
    <row r="315" spans="1:5" x14ac:dyDescent="0.25">
      <c r="A315" s="4" t="s">
        <v>7</v>
      </c>
      <c r="B315" s="4" t="s">
        <v>880</v>
      </c>
      <c r="C315" s="1" t="s">
        <v>881</v>
      </c>
      <c r="D315" s="1" t="s">
        <v>882</v>
      </c>
      <c r="E315" s="6">
        <v>20494</v>
      </c>
    </row>
    <row r="316" spans="1:5" x14ac:dyDescent="0.25">
      <c r="A316" s="4" t="s">
        <v>7</v>
      </c>
      <c r="B316" s="4" t="s">
        <v>883</v>
      </c>
      <c r="C316" s="1" t="s">
        <v>884</v>
      </c>
      <c r="D316" s="1" t="s">
        <v>885</v>
      </c>
      <c r="E316" s="6">
        <v>20494</v>
      </c>
    </row>
    <row r="317" spans="1:5" x14ac:dyDescent="0.25">
      <c r="A317" s="4" t="s">
        <v>7</v>
      </c>
      <c r="B317" s="4" t="s">
        <v>886</v>
      </c>
      <c r="C317" s="1" t="s">
        <v>887</v>
      </c>
      <c r="D317" s="1" t="s">
        <v>888</v>
      </c>
      <c r="E317" s="6">
        <v>13337</v>
      </c>
    </row>
    <row r="318" spans="1:5" x14ac:dyDescent="0.25">
      <c r="A318" s="4" t="s">
        <v>7</v>
      </c>
      <c r="B318" s="4" t="s">
        <v>889</v>
      </c>
      <c r="C318" s="1" t="s">
        <v>890</v>
      </c>
      <c r="D318" s="1" t="s">
        <v>891</v>
      </c>
      <c r="E318" s="6">
        <v>5103</v>
      </c>
    </row>
    <row r="319" spans="1:5" x14ac:dyDescent="0.25">
      <c r="A319" s="4" t="s">
        <v>7</v>
      </c>
      <c r="B319" s="4" t="s">
        <v>892</v>
      </c>
      <c r="C319" s="1" t="s">
        <v>893</v>
      </c>
      <c r="D319" s="1" t="s">
        <v>707</v>
      </c>
      <c r="E319" s="6">
        <v>6336</v>
      </c>
    </row>
    <row r="320" spans="1:5" x14ac:dyDescent="0.25">
      <c r="A320" s="4" t="s">
        <v>7</v>
      </c>
      <c r="B320" s="4" t="s">
        <v>894</v>
      </c>
      <c r="C320" s="1" t="s">
        <v>895</v>
      </c>
      <c r="D320" s="1" t="s">
        <v>713</v>
      </c>
      <c r="E320" s="6">
        <v>25302</v>
      </c>
    </row>
    <row r="321" spans="1:6" x14ac:dyDescent="0.25">
      <c r="A321" s="4" t="s">
        <v>7</v>
      </c>
      <c r="B321" s="4" t="s">
        <v>896</v>
      </c>
      <c r="C321" s="1" t="s">
        <v>897</v>
      </c>
      <c r="D321" s="1" t="s">
        <v>898</v>
      </c>
      <c r="E321" s="6">
        <v>5280</v>
      </c>
    </row>
    <row r="322" spans="1:6" x14ac:dyDescent="0.25">
      <c r="A322" s="4" t="s">
        <v>7</v>
      </c>
      <c r="B322" s="4" t="s">
        <v>899</v>
      </c>
      <c r="C322" s="1" t="s">
        <v>900</v>
      </c>
      <c r="D322" s="1" t="s">
        <v>814</v>
      </c>
      <c r="E322" s="6">
        <v>3958</v>
      </c>
    </row>
    <row r="323" spans="1:6" x14ac:dyDescent="0.25">
      <c r="A323" s="4" t="s">
        <v>7</v>
      </c>
      <c r="B323" s="4" t="s">
        <v>901</v>
      </c>
      <c r="C323" s="1" t="s">
        <v>902</v>
      </c>
      <c r="D323" s="1" t="s">
        <v>903</v>
      </c>
      <c r="E323" s="6">
        <v>5103</v>
      </c>
    </row>
    <row r="324" spans="1:6" x14ac:dyDescent="0.25">
      <c r="A324" s="4" t="s">
        <v>7</v>
      </c>
      <c r="B324" s="4" t="s">
        <v>904</v>
      </c>
      <c r="C324" s="1" t="s">
        <v>905</v>
      </c>
      <c r="D324" s="1" t="s">
        <v>906</v>
      </c>
      <c r="E324" s="6">
        <v>9504</v>
      </c>
    </row>
    <row r="325" spans="1:6" x14ac:dyDescent="0.25">
      <c r="A325" s="4" t="s">
        <v>7</v>
      </c>
      <c r="B325" s="4" t="s">
        <v>907</v>
      </c>
      <c r="C325" s="1" t="s">
        <v>908</v>
      </c>
      <c r="D325" s="1" t="s">
        <v>909</v>
      </c>
      <c r="E325" s="6">
        <v>1701</v>
      </c>
    </row>
    <row r="326" spans="1:6" x14ac:dyDescent="0.25">
      <c r="A326" s="4" t="s">
        <v>7</v>
      </c>
      <c r="B326" s="4" t="s">
        <v>910</v>
      </c>
      <c r="C326" s="1" t="s">
        <v>911</v>
      </c>
      <c r="D326" s="1" t="s">
        <v>912</v>
      </c>
      <c r="E326" s="6">
        <v>1701</v>
      </c>
    </row>
    <row r="327" spans="1:6" x14ac:dyDescent="0.25">
      <c r="A327" s="4" t="s">
        <v>7</v>
      </c>
      <c r="B327" s="4" t="s">
        <v>913</v>
      </c>
      <c r="C327" s="1" t="s">
        <v>914</v>
      </c>
      <c r="D327" s="1" t="s">
        <v>915</v>
      </c>
      <c r="E327" s="6">
        <v>7035</v>
      </c>
    </row>
    <row r="328" spans="1:6" x14ac:dyDescent="0.25">
      <c r="A328" s="4" t="s">
        <v>7</v>
      </c>
      <c r="B328" s="4" t="s">
        <v>916</v>
      </c>
      <c r="C328" s="1" t="s">
        <v>917</v>
      </c>
      <c r="D328" s="1" t="s">
        <v>656</v>
      </c>
      <c r="E328" s="6">
        <v>18867</v>
      </c>
    </row>
    <row r="329" spans="1:6" x14ac:dyDescent="0.25">
      <c r="A329" s="4" t="s">
        <v>7</v>
      </c>
      <c r="B329" s="4" t="s">
        <v>918</v>
      </c>
      <c r="C329" s="1" t="s">
        <v>919</v>
      </c>
      <c r="D329" s="1" t="s">
        <v>920</v>
      </c>
      <c r="E329" s="6">
        <v>5280</v>
      </c>
    </row>
    <row r="330" spans="1:6" x14ac:dyDescent="0.25">
      <c r="A330" s="4" t="s">
        <v>7</v>
      </c>
      <c r="B330" s="4" t="s">
        <v>921</v>
      </c>
      <c r="C330" s="1" t="s">
        <v>922</v>
      </c>
      <c r="D330" s="1" t="s">
        <v>923</v>
      </c>
      <c r="E330" s="6">
        <v>27910</v>
      </c>
    </row>
    <row r="331" spans="1:6" x14ac:dyDescent="0.25">
      <c r="A331" s="4" t="s">
        <v>7</v>
      </c>
      <c r="B331" s="4" t="s">
        <v>924</v>
      </c>
      <c r="C331" s="1" t="s">
        <v>925</v>
      </c>
      <c r="D331" s="1" t="s">
        <v>926</v>
      </c>
      <c r="E331" s="6">
        <v>27910</v>
      </c>
    </row>
    <row r="332" spans="1:6" x14ac:dyDescent="0.25">
      <c r="A332" s="4" t="s">
        <v>7</v>
      </c>
      <c r="B332" s="4" t="s">
        <v>927</v>
      </c>
      <c r="C332" s="1" t="s">
        <v>928</v>
      </c>
      <c r="D332" s="1" t="s">
        <v>929</v>
      </c>
      <c r="E332" s="6">
        <v>3958</v>
      </c>
      <c r="F332" s="4" t="s">
        <v>131</v>
      </c>
    </row>
    <row r="333" spans="1:6" x14ac:dyDescent="0.25">
      <c r="A333" s="4" t="s">
        <v>7</v>
      </c>
      <c r="B333" s="4" t="s">
        <v>930</v>
      </c>
      <c r="C333" s="1" t="s">
        <v>931</v>
      </c>
      <c r="D333" s="1" t="s">
        <v>931</v>
      </c>
      <c r="E333" s="6">
        <v>3958</v>
      </c>
    </row>
    <row r="334" spans="1:6" x14ac:dyDescent="0.25">
      <c r="A334" s="4" t="s">
        <v>7</v>
      </c>
      <c r="B334" s="4" t="s">
        <v>932</v>
      </c>
      <c r="C334" s="1" t="s">
        <v>933</v>
      </c>
      <c r="D334" s="1" t="s">
        <v>934</v>
      </c>
      <c r="E334" s="6">
        <v>10295</v>
      </c>
    </row>
    <row r="335" spans="1:6" x14ac:dyDescent="0.25">
      <c r="A335" s="4" t="s">
        <v>7</v>
      </c>
      <c r="B335" s="4" t="s">
        <v>935</v>
      </c>
      <c r="C335" s="1" t="s">
        <v>936</v>
      </c>
      <c r="D335" s="1" t="s">
        <v>937</v>
      </c>
      <c r="E335" s="6">
        <v>3069</v>
      </c>
    </row>
    <row r="336" spans="1:6" x14ac:dyDescent="0.25">
      <c r="A336" s="4" t="s">
        <v>7</v>
      </c>
      <c r="B336" s="4" t="s">
        <v>938</v>
      </c>
      <c r="C336" s="1" t="s">
        <v>939</v>
      </c>
      <c r="D336" s="1" t="s">
        <v>937</v>
      </c>
      <c r="E336" s="6">
        <v>6855</v>
      </c>
    </row>
    <row r="337" spans="1:6" x14ac:dyDescent="0.25">
      <c r="A337" s="4" t="s">
        <v>7</v>
      </c>
      <c r="B337" s="4" t="s">
        <v>940</v>
      </c>
      <c r="C337" s="1" t="s">
        <v>941</v>
      </c>
      <c r="D337" s="1" t="s">
        <v>942</v>
      </c>
      <c r="E337" s="6">
        <v>3958</v>
      </c>
      <c r="F337" s="4" t="s">
        <v>131</v>
      </c>
    </row>
    <row r="338" spans="1:6" x14ac:dyDescent="0.25">
      <c r="A338" s="4" t="s">
        <v>7</v>
      </c>
      <c r="B338" s="4" t="s">
        <v>943</v>
      </c>
      <c r="C338" s="1" t="s">
        <v>944</v>
      </c>
      <c r="D338" s="1" t="s">
        <v>945</v>
      </c>
      <c r="E338" s="6">
        <v>9909.09</v>
      </c>
    </row>
    <row r="339" spans="1:6" x14ac:dyDescent="0.25">
      <c r="A339" s="4" t="s">
        <v>7</v>
      </c>
      <c r="B339" s="4" t="s">
        <v>946</v>
      </c>
      <c r="C339" s="1" t="s">
        <v>947</v>
      </c>
      <c r="D339" s="1" t="s">
        <v>948</v>
      </c>
      <c r="E339" s="6">
        <v>9908</v>
      </c>
    </row>
    <row r="340" spans="1:6" x14ac:dyDescent="0.25">
      <c r="A340" s="4" t="s">
        <v>7</v>
      </c>
      <c r="B340" s="4" t="s">
        <v>949</v>
      </c>
      <c r="C340" s="1" t="s">
        <v>950</v>
      </c>
      <c r="D340" s="1" t="s">
        <v>951</v>
      </c>
      <c r="E340" s="6">
        <v>3958</v>
      </c>
      <c r="F340" s="4" t="s">
        <v>131</v>
      </c>
    </row>
    <row r="341" spans="1:6" x14ac:dyDescent="0.25">
      <c r="A341" s="4" t="s">
        <v>7</v>
      </c>
      <c r="B341" s="4" t="s">
        <v>952</v>
      </c>
      <c r="C341" s="1" t="s">
        <v>953</v>
      </c>
      <c r="D341" s="1" t="s">
        <v>954</v>
      </c>
      <c r="E341" s="6">
        <v>6897</v>
      </c>
    </row>
    <row r="342" spans="1:6" x14ac:dyDescent="0.25">
      <c r="A342" s="4" t="s">
        <v>7</v>
      </c>
      <c r="B342" s="4" t="s">
        <v>955</v>
      </c>
      <c r="C342" s="1" t="s">
        <v>956</v>
      </c>
      <c r="D342" s="1" t="s">
        <v>957</v>
      </c>
      <c r="E342" s="6">
        <v>6166</v>
      </c>
    </row>
    <row r="343" spans="1:6" x14ac:dyDescent="0.25">
      <c r="A343" s="4" t="s">
        <v>7</v>
      </c>
      <c r="B343" s="4" t="s">
        <v>958</v>
      </c>
      <c r="C343" s="1" t="s">
        <v>959</v>
      </c>
      <c r="D343" s="1" t="s">
        <v>960</v>
      </c>
      <c r="E343" s="6">
        <v>3958</v>
      </c>
      <c r="F343" s="4" t="s">
        <v>131</v>
      </c>
    </row>
    <row r="344" spans="1:6" x14ac:dyDescent="0.25">
      <c r="A344" s="4" t="s">
        <v>7</v>
      </c>
      <c r="B344" s="4" t="s">
        <v>961</v>
      </c>
      <c r="C344" s="1" t="s">
        <v>962</v>
      </c>
      <c r="D344" s="1" t="s">
        <v>713</v>
      </c>
      <c r="E344" s="6">
        <v>21036</v>
      </c>
    </row>
    <row r="345" spans="1:6" x14ac:dyDescent="0.25">
      <c r="A345" s="4" t="s">
        <v>7</v>
      </c>
      <c r="B345" s="4" t="s">
        <v>963</v>
      </c>
      <c r="C345" s="1" t="s">
        <v>964</v>
      </c>
      <c r="D345" s="1" t="s">
        <v>965</v>
      </c>
      <c r="E345" s="6">
        <v>12993</v>
      </c>
    </row>
    <row r="346" spans="1:6" x14ac:dyDescent="0.25">
      <c r="A346" s="4" t="s">
        <v>7</v>
      </c>
      <c r="B346" s="4" t="s">
        <v>966</v>
      </c>
      <c r="C346" s="1" t="s">
        <v>967</v>
      </c>
      <c r="D346" s="1" t="s">
        <v>968</v>
      </c>
      <c r="E346" s="6">
        <v>3958</v>
      </c>
    </row>
    <row r="347" spans="1:6" x14ac:dyDescent="0.25">
      <c r="A347" s="4" t="s">
        <v>7</v>
      </c>
      <c r="B347" s="4" t="s">
        <v>969</v>
      </c>
      <c r="C347" s="1" t="s">
        <v>970</v>
      </c>
      <c r="D347" s="1" t="s">
        <v>971</v>
      </c>
      <c r="E347" s="6">
        <v>8699</v>
      </c>
    </row>
    <row r="348" spans="1:6" x14ac:dyDescent="0.25">
      <c r="A348" s="4" t="s">
        <v>7</v>
      </c>
      <c r="B348" s="4" t="s">
        <v>972</v>
      </c>
      <c r="C348" s="1" t="s">
        <v>973</v>
      </c>
      <c r="D348" s="1" t="s">
        <v>974</v>
      </c>
      <c r="E348" s="6">
        <v>11670</v>
      </c>
    </row>
    <row r="349" spans="1:6" x14ac:dyDescent="0.25">
      <c r="A349" s="4" t="s">
        <v>7</v>
      </c>
      <c r="B349" s="4" t="s">
        <v>975</v>
      </c>
      <c r="C349" s="1" t="s">
        <v>976</v>
      </c>
      <c r="D349" s="1" t="s">
        <v>977</v>
      </c>
      <c r="E349" s="6">
        <v>3958</v>
      </c>
      <c r="F349" s="4" t="s">
        <v>131</v>
      </c>
    </row>
    <row r="350" spans="1:6" x14ac:dyDescent="0.25">
      <c r="A350" s="4" t="s">
        <v>7</v>
      </c>
      <c r="B350" s="4" t="s">
        <v>978</v>
      </c>
      <c r="C350" s="1" t="s">
        <v>979</v>
      </c>
      <c r="D350" s="1" t="s">
        <v>980</v>
      </c>
      <c r="E350" s="6">
        <v>4541</v>
      </c>
    </row>
    <row r="351" spans="1:6" x14ac:dyDescent="0.25">
      <c r="A351" s="4" t="s">
        <v>7</v>
      </c>
      <c r="B351" s="4" t="s">
        <v>981</v>
      </c>
      <c r="C351" s="1" t="s">
        <v>982</v>
      </c>
      <c r="D351" s="1" t="s">
        <v>983</v>
      </c>
      <c r="E351" s="6">
        <v>3958</v>
      </c>
    </row>
    <row r="352" spans="1:6" x14ac:dyDescent="0.25">
      <c r="A352" s="4" t="s">
        <v>7</v>
      </c>
      <c r="B352" s="4" t="s">
        <v>984</v>
      </c>
      <c r="C352" s="1" t="s">
        <v>985</v>
      </c>
      <c r="D352" s="1" t="s">
        <v>986</v>
      </c>
      <c r="E352" s="6">
        <v>32530</v>
      </c>
      <c r="F352" s="4" t="s">
        <v>131</v>
      </c>
    </row>
    <row r="353" spans="1:6" x14ac:dyDescent="0.25">
      <c r="A353" s="4" t="s">
        <v>7</v>
      </c>
      <c r="B353" s="4" t="s">
        <v>987</v>
      </c>
      <c r="C353" s="1" t="s">
        <v>988</v>
      </c>
      <c r="D353" s="1" t="s">
        <v>989</v>
      </c>
      <c r="E353" s="6">
        <v>27910</v>
      </c>
    </row>
    <row r="354" spans="1:6" x14ac:dyDescent="0.25">
      <c r="A354" s="4" t="s">
        <v>7</v>
      </c>
      <c r="B354" s="4" t="s">
        <v>990</v>
      </c>
      <c r="C354" s="1" t="s">
        <v>991</v>
      </c>
      <c r="D354" s="1" t="s">
        <v>992</v>
      </c>
      <c r="E354" s="6">
        <v>16088</v>
      </c>
    </row>
    <row r="355" spans="1:6" x14ac:dyDescent="0.25">
      <c r="A355" s="4" t="s">
        <v>7</v>
      </c>
      <c r="B355" s="4" t="s">
        <v>993</v>
      </c>
      <c r="C355" s="1" t="s">
        <v>994</v>
      </c>
      <c r="D355" s="1" t="s">
        <v>995</v>
      </c>
      <c r="E355" s="6">
        <v>27910</v>
      </c>
      <c r="F355" s="4" t="s">
        <v>131</v>
      </c>
    </row>
    <row r="356" spans="1:6" x14ac:dyDescent="0.25">
      <c r="A356" s="4" t="s">
        <v>7</v>
      </c>
      <c r="B356" s="4" t="s">
        <v>996</v>
      </c>
      <c r="C356" s="1" t="s">
        <v>997</v>
      </c>
      <c r="D356" s="1" t="s">
        <v>998</v>
      </c>
      <c r="E356" s="6">
        <v>27910</v>
      </c>
      <c r="F356" s="4" t="s">
        <v>131</v>
      </c>
    </row>
    <row r="357" spans="1:6" x14ac:dyDescent="0.25">
      <c r="A357" s="4" t="s">
        <v>7</v>
      </c>
      <c r="B357" s="4" t="s">
        <v>999</v>
      </c>
      <c r="C357" s="1" t="s">
        <v>1000</v>
      </c>
      <c r="D357" s="1" t="s">
        <v>1001</v>
      </c>
      <c r="E357" s="6">
        <v>3795</v>
      </c>
    </row>
    <row r="358" spans="1:6" x14ac:dyDescent="0.25">
      <c r="A358" s="4" t="s">
        <v>7</v>
      </c>
      <c r="B358" s="4" t="s">
        <v>1002</v>
      </c>
      <c r="C358" s="1" t="s">
        <v>1003</v>
      </c>
      <c r="D358" s="1" t="s">
        <v>1004</v>
      </c>
      <c r="E358" s="6">
        <v>10760</v>
      </c>
    </row>
    <row r="359" spans="1:6" x14ac:dyDescent="0.25">
      <c r="A359" s="4" t="s">
        <v>7</v>
      </c>
      <c r="B359" s="4" t="s">
        <v>1005</v>
      </c>
      <c r="C359" s="1" t="s">
        <v>1006</v>
      </c>
      <c r="D359" s="1" t="s">
        <v>1007</v>
      </c>
      <c r="E359" s="6">
        <v>5578</v>
      </c>
    </row>
    <row r="360" spans="1:6" x14ac:dyDescent="0.25">
      <c r="A360" s="4" t="s">
        <v>7</v>
      </c>
      <c r="B360" s="4" t="s">
        <v>1008</v>
      </c>
      <c r="C360" s="1" t="s">
        <v>1009</v>
      </c>
      <c r="D360" s="1" t="s">
        <v>1010</v>
      </c>
      <c r="E360" s="6">
        <v>27910</v>
      </c>
    </row>
    <row r="361" spans="1:6" x14ac:dyDescent="0.25">
      <c r="A361" s="4" t="s">
        <v>7</v>
      </c>
      <c r="B361" s="4" t="s">
        <v>1011</v>
      </c>
      <c r="C361" s="1" t="s">
        <v>1012</v>
      </c>
      <c r="D361" s="1" t="s">
        <v>1013</v>
      </c>
      <c r="E361" s="6">
        <v>20494</v>
      </c>
    </row>
    <row r="362" spans="1:6" x14ac:dyDescent="0.25">
      <c r="A362" s="4" t="s">
        <v>7</v>
      </c>
      <c r="B362" s="4" t="s">
        <v>1014</v>
      </c>
      <c r="C362" s="1" t="s">
        <v>1015</v>
      </c>
      <c r="D362" s="1" t="s">
        <v>1016</v>
      </c>
      <c r="E362" s="6">
        <v>20807</v>
      </c>
    </row>
    <row r="363" spans="1:6" x14ac:dyDescent="0.25">
      <c r="A363" s="4" t="s">
        <v>7</v>
      </c>
      <c r="B363" s="4" t="s">
        <v>1017</v>
      </c>
      <c r="C363" s="1" t="s">
        <v>1018</v>
      </c>
      <c r="D363" s="1" t="s">
        <v>1019</v>
      </c>
      <c r="E363" s="6">
        <v>4994</v>
      </c>
    </row>
    <row r="364" spans="1:6" x14ac:dyDescent="0.25">
      <c r="A364" s="4" t="s">
        <v>7</v>
      </c>
      <c r="B364" s="4" t="s">
        <v>1020</v>
      </c>
      <c r="C364" s="1" t="s">
        <v>1021</v>
      </c>
      <c r="D364" s="1" t="s">
        <v>662</v>
      </c>
      <c r="E364" s="6">
        <v>4954</v>
      </c>
    </row>
    <row r="365" spans="1:6" x14ac:dyDescent="0.25">
      <c r="A365" s="4" t="s">
        <v>7</v>
      </c>
      <c r="B365" s="4" t="s">
        <v>1022</v>
      </c>
      <c r="C365" s="1" t="s">
        <v>1023</v>
      </c>
      <c r="D365" s="1" t="s">
        <v>1024</v>
      </c>
      <c r="E365" s="6">
        <v>1982</v>
      </c>
    </row>
    <row r="366" spans="1:6" x14ac:dyDescent="0.25">
      <c r="A366" s="4" t="s">
        <v>7</v>
      </c>
      <c r="B366" s="4" t="s">
        <v>1025</v>
      </c>
      <c r="C366" s="1" t="s">
        <v>1026</v>
      </c>
      <c r="D366" s="1" t="s">
        <v>1027</v>
      </c>
      <c r="E366" s="6">
        <v>13337</v>
      </c>
    </row>
    <row r="367" spans="1:6" x14ac:dyDescent="0.25">
      <c r="A367" s="4" t="s">
        <v>7</v>
      </c>
      <c r="B367" s="4" t="s">
        <v>1028</v>
      </c>
      <c r="C367" s="1" t="s">
        <v>1029</v>
      </c>
      <c r="D367" s="1" t="s">
        <v>1030</v>
      </c>
      <c r="E367" s="6">
        <v>35783</v>
      </c>
    </row>
    <row r="368" spans="1:6" x14ac:dyDescent="0.25">
      <c r="A368" s="4" t="s">
        <v>7</v>
      </c>
      <c r="B368" s="4" t="s">
        <v>1031</v>
      </c>
      <c r="C368" s="1" t="s">
        <v>1032</v>
      </c>
      <c r="D368" s="1" t="s">
        <v>1033</v>
      </c>
      <c r="E368" s="6">
        <v>35783</v>
      </c>
    </row>
    <row r="369" spans="1:5" x14ac:dyDescent="0.25">
      <c r="A369" s="4" t="s">
        <v>7</v>
      </c>
      <c r="B369" s="4" t="s">
        <v>1034</v>
      </c>
      <c r="C369" s="1" t="s">
        <v>1035</v>
      </c>
      <c r="D369" s="1" t="s">
        <v>1036</v>
      </c>
      <c r="E369" s="6">
        <v>12374</v>
      </c>
    </row>
    <row r="370" spans="1:5" x14ac:dyDescent="0.25">
      <c r="A370" s="4" t="s">
        <v>7</v>
      </c>
      <c r="B370" s="4" t="s">
        <v>1037</v>
      </c>
      <c r="C370" s="1" t="s">
        <v>1038</v>
      </c>
      <c r="D370" s="1" t="s">
        <v>1039</v>
      </c>
      <c r="E370" s="6">
        <v>8070</v>
      </c>
    </row>
    <row r="371" spans="1:5" x14ac:dyDescent="0.25">
      <c r="A371" s="4" t="s">
        <v>7</v>
      </c>
      <c r="B371" s="4" t="s">
        <v>1040</v>
      </c>
      <c r="C371" s="1" t="s">
        <v>1041</v>
      </c>
      <c r="D371" s="1" t="s">
        <v>1042</v>
      </c>
      <c r="E371" s="6">
        <v>6187</v>
      </c>
    </row>
    <row r="372" spans="1:5" x14ac:dyDescent="0.25">
      <c r="A372" s="4" t="s">
        <v>7</v>
      </c>
      <c r="B372" s="4" t="s">
        <v>1043</v>
      </c>
      <c r="C372" s="1" t="s">
        <v>1044</v>
      </c>
      <c r="D372" s="1" t="s">
        <v>1045</v>
      </c>
      <c r="E372" s="6">
        <v>23512</v>
      </c>
    </row>
    <row r="373" spans="1:5" x14ac:dyDescent="0.25">
      <c r="A373" s="4" t="s">
        <v>7</v>
      </c>
      <c r="B373" s="4" t="s">
        <v>1046</v>
      </c>
      <c r="C373" s="1" t="s">
        <v>1047</v>
      </c>
      <c r="D373" s="1" t="s">
        <v>1048</v>
      </c>
      <c r="E373" s="6">
        <v>13289</v>
      </c>
    </row>
    <row r="374" spans="1:5" x14ac:dyDescent="0.25">
      <c r="A374" s="4" t="s">
        <v>7</v>
      </c>
      <c r="B374" s="4" t="s">
        <v>1049</v>
      </c>
      <c r="C374" s="1" t="s">
        <v>1050</v>
      </c>
      <c r="D374" s="1" t="s">
        <v>1051</v>
      </c>
      <c r="E374" s="6">
        <v>56168</v>
      </c>
    </row>
    <row r="375" spans="1:5" x14ac:dyDescent="0.25">
      <c r="A375" s="4" t="s">
        <v>7</v>
      </c>
      <c r="B375" s="4" t="s">
        <v>1052</v>
      </c>
      <c r="C375" s="1" t="s">
        <v>1053</v>
      </c>
      <c r="D375" s="1" t="s">
        <v>1054</v>
      </c>
      <c r="E375" s="6">
        <v>22274</v>
      </c>
    </row>
    <row r="376" spans="1:5" x14ac:dyDescent="0.25">
      <c r="A376" s="4" t="s">
        <v>7</v>
      </c>
      <c r="B376" s="4" t="s">
        <v>1055</v>
      </c>
      <c r="C376" s="1" t="s">
        <v>1056</v>
      </c>
      <c r="D376" s="1" t="s">
        <v>1057</v>
      </c>
      <c r="E376" s="6">
        <v>27910</v>
      </c>
    </row>
    <row r="377" spans="1:5" x14ac:dyDescent="0.25">
      <c r="A377" s="4" t="s">
        <v>7</v>
      </c>
      <c r="B377" s="4" t="s">
        <v>1058</v>
      </c>
      <c r="C377" s="1" t="s">
        <v>1059</v>
      </c>
      <c r="D377" s="1" t="s">
        <v>1060</v>
      </c>
      <c r="E377" s="6">
        <v>7424</v>
      </c>
    </row>
    <row r="378" spans="1:5" x14ac:dyDescent="0.25">
      <c r="A378" s="4" t="s">
        <v>7</v>
      </c>
      <c r="B378" s="4" t="s">
        <v>1061</v>
      </c>
      <c r="C378" s="1" t="s">
        <v>1062</v>
      </c>
      <c r="D378" s="1" t="s">
        <v>1063</v>
      </c>
      <c r="E378" s="6">
        <v>14478</v>
      </c>
    </row>
    <row r="379" spans="1:5" x14ac:dyDescent="0.25">
      <c r="A379" s="4" t="s">
        <v>7</v>
      </c>
      <c r="B379" s="4" t="s">
        <v>1064</v>
      </c>
      <c r="C379" s="1" t="s">
        <v>1065</v>
      </c>
      <c r="D379" s="1" t="s">
        <v>1066</v>
      </c>
      <c r="E379" s="6">
        <v>3094</v>
      </c>
    </row>
    <row r="380" spans="1:5" x14ac:dyDescent="0.25">
      <c r="A380" s="4" t="s">
        <v>7</v>
      </c>
      <c r="B380" s="4" t="s">
        <v>1067</v>
      </c>
      <c r="C380" s="1" t="s">
        <v>1068</v>
      </c>
      <c r="D380" s="1" t="s">
        <v>1069</v>
      </c>
      <c r="E380" s="6">
        <v>28585</v>
      </c>
    </row>
    <row r="381" spans="1:5" x14ac:dyDescent="0.25">
      <c r="A381" s="4" t="s">
        <v>7</v>
      </c>
      <c r="B381" s="4" t="s">
        <v>1070</v>
      </c>
      <c r="C381" s="1" t="s">
        <v>1071</v>
      </c>
      <c r="D381" s="1" t="s">
        <v>1072</v>
      </c>
      <c r="E381" s="6">
        <v>13612</v>
      </c>
    </row>
    <row r="382" spans="1:5" x14ac:dyDescent="0.25">
      <c r="A382" s="4" t="s">
        <v>7</v>
      </c>
      <c r="B382" s="4" t="s">
        <v>1073</v>
      </c>
      <c r="C382" s="1" t="s">
        <v>1074</v>
      </c>
      <c r="D382" s="1" t="s">
        <v>1075</v>
      </c>
      <c r="E382" s="6">
        <v>9684</v>
      </c>
    </row>
    <row r="383" spans="1:5" x14ac:dyDescent="0.25">
      <c r="A383" s="4" t="s">
        <v>7</v>
      </c>
      <c r="B383" s="4" t="s">
        <v>1076</v>
      </c>
      <c r="C383" s="1" t="s">
        <v>1077</v>
      </c>
      <c r="D383" s="1" t="s">
        <v>1078</v>
      </c>
      <c r="E383" s="6">
        <v>5918</v>
      </c>
    </row>
    <row r="384" spans="1:5" x14ac:dyDescent="0.25">
      <c r="A384" s="4" t="s">
        <v>7</v>
      </c>
      <c r="B384" s="4" t="s">
        <v>1079</v>
      </c>
      <c r="C384" s="1" t="s">
        <v>1080</v>
      </c>
      <c r="D384" s="1" t="s">
        <v>909</v>
      </c>
      <c r="E384" s="6">
        <v>3766</v>
      </c>
    </row>
    <row r="385" spans="1:6" x14ac:dyDescent="0.25">
      <c r="A385" s="4" t="s">
        <v>7</v>
      </c>
      <c r="B385" s="4" t="s">
        <v>1081</v>
      </c>
      <c r="C385" s="1" t="s">
        <v>1082</v>
      </c>
      <c r="D385" s="1" t="s">
        <v>1083</v>
      </c>
      <c r="E385" s="6">
        <v>19369</v>
      </c>
    </row>
    <row r="386" spans="1:6" x14ac:dyDescent="0.25">
      <c r="A386" s="4" t="s">
        <v>7</v>
      </c>
      <c r="B386" s="4" t="s">
        <v>1084</v>
      </c>
      <c r="C386" s="1" t="s">
        <v>1085</v>
      </c>
      <c r="D386" s="1" t="s">
        <v>1086</v>
      </c>
      <c r="E386" s="6">
        <v>3766</v>
      </c>
    </row>
    <row r="387" spans="1:6" x14ac:dyDescent="0.25">
      <c r="A387" s="4" t="s">
        <v>7</v>
      </c>
      <c r="B387" s="4" t="s">
        <v>1087</v>
      </c>
      <c r="C387" s="1" t="s">
        <v>1088</v>
      </c>
      <c r="D387" s="1" t="s">
        <v>1089</v>
      </c>
      <c r="E387" s="6">
        <v>27910</v>
      </c>
    </row>
    <row r="388" spans="1:6" x14ac:dyDescent="0.25">
      <c r="A388" s="4" t="s">
        <v>7</v>
      </c>
      <c r="B388" s="4" t="s">
        <v>1090</v>
      </c>
      <c r="C388" s="1" t="s">
        <v>1091</v>
      </c>
      <c r="D388" s="1" t="s">
        <v>1092</v>
      </c>
      <c r="E388" s="6">
        <v>27910</v>
      </c>
    </row>
    <row r="389" spans="1:6" x14ac:dyDescent="0.25">
      <c r="A389" s="4" t="s">
        <v>7</v>
      </c>
      <c r="B389" s="4" t="s">
        <v>1093</v>
      </c>
      <c r="C389" s="1" t="s">
        <v>1094</v>
      </c>
      <c r="D389" s="1" t="s">
        <v>1027</v>
      </c>
      <c r="E389" s="6">
        <v>27910</v>
      </c>
    </row>
    <row r="390" spans="1:6" x14ac:dyDescent="0.25">
      <c r="A390" s="4" t="s">
        <v>7</v>
      </c>
      <c r="B390" s="4" t="s">
        <v>1095</v>
      </c>
      <c r="C390" s="1" t="s">
        <v>1096</v>
      </c>
      <c r="D390" s="1" t="s">
        <v>1097</v>
      </c>
      <c r="E390" s="6">
        <v>27910</v>
      </c>
    </row>
    <row r="391" spans="1:6" x14ac:dyDescent="0.25">
      <c r="A391" s="4" t="s">
        <v>7</v>
      </c>
      <c r="B391" s="4" t="s">
        <v>1098</v>
      </c>
      <c r="C391" s="1" t="s">
        <v>1099</v>
      </c>
      <c r="D391" s="1" t="s">
        <v>1100</v>
      </c>
      <c r="E391" s="6">
        <v>27910</v>
      </c>
    </row>
    <row r="392" spans="1:6" x14ac:dyDescent="0.25">
      <c r="A392" s="4" t="s">
        <v>7</v>
      </c>
      <c r="B392" s="4" t="s">
        <v>1101</v>
      </c>
      <c r="C392" s="1" t="s">
        <v>1102</v>
      </c>
      <c r="D392" s="1" t="s">
        <v>1103</v>
      </c>
      <c r="E392" s="6">
        <v>27910</v>
      </c>
    </row>
    <row r="393" spans="1:6" x14ac:dyDescent="0.25">
      <c r="A393" s="4" t="s">
        <v>7</v>
      </c>
      <c r="B393" s="4" t="s">
        <v>1104</v>
      </c>
      <c r="C393" s="1" t="s">
        <v>1105</v>
      </c>
      <c r="D393" s="1" t="s">
        <v>1106</v>
      </c>
      <c r="E393" s="6">
        <v>27910</v>
      </c>
    </row>
    <row r="394" spans="1:6" x14ac:dyDescent="0.25">
      <c r="A394" s="4" t="s">
        <v>7</v>
      </c>
      <c r="B394" s="4" t="s">
        <v>1107</v>
      </c>
      <c r="C394" s="1" t="s">
        <v>1108</v>
      </c>
      <c r="D394" s="1" t="s">
        <v>1109</v>
      </c>
      <c r="E394" s="6">
        <v>32281</v>
      </c>
    </row>
    <row r="395" spans="1:6" x14ac:dyDescent="0.25">
      <c r="A395" s="4" t="s">
        <v>7</v>
      </c>
      <c r="B395" s="4" t="s">
        <v>1110</v>
      </c>
      <c r="C395" s="1" t="s">
        <v>1111</v>
      </c>
      <c r="D395" s="1" t="s">
        <v>1112</v>
      </c>
      <c r="E395" s="6">
        <v>807</v>
      </c>
    </row>
    <row r="396" spans="1:6" x14ac:dyDescent="0.25">
      <c r="A396" s="4" t="s">
        <v>7</v>
      </c>
      <c r="B396" s="4" t="s">
        <v>1113</v>
      </c>
      <c r="C396" s="1" t="s">
        <v>1114</v>
      </c>
      <c r="D396" s="1" t="s">
        <v>1115</v>
      </c>
      <c r="E396" s="6">
        <v>26901</v>
      </c>
      <c r="F396" s="4" t="s">
        <v>131</v>
      </c>
    </row>
    <row r="397" spans="1:6" x14ac:dyDescent="0.25">
      <c r="A397" s="4" t="s">
        <v>7</v>
      </c>
      <c r="B397" s="4" t="s">
        <v>1116</v>
      </c>
      <c r="C397" s="1" t="s">
        <v>1117</v>
      </c>
      <c r="D397" s="1" t="s">
        <v>1100</v>
      </c>
      <c r="E397" s="6">
        <v>27910</v>
      </c>
      <c r="F397" s="4" t="s">
        <v>131</v>
      </c>
    </row>
    <row r="398" spans="1:6" x14ac:dyDescent="0.25">
      <c r="A398" s="4" t="s">
        <v>7</v>
      </c>
      <c r="B398" s="4" t="s">
        <v>1118</v>
      </c>
      <c r="C398" s="1" t="s">
        <v>1119</v>
      </c>
      <c r="D398" s="1" t="s">
        <v>1120</v>
      </c>
      <c r="E398" s="6">
        <v>11837</v>
      </c>
      <c r="F398" s="4" t="s">
        <v>131</v>
      </c>
    </row>
    <row r="399" spans="1:6" x14ac:dyDescent="0.25">
      <c r="A399" s="4" t="s">
        <v>7</v>
      </c>
      <c r="B399" s="4" t="s">
        <v>1121</v>
      </c>
      <c r="C399" s="1" t="s">
        <v>1122</v>
      </c>
      <c r="D399" s="1" t="s">
        <v>1123</v>
      </c>
      <c r="E399" s="6">
        <v>36585</v>
      </c>
      <c r="F399" s="4" t="s">
        <v>131</v>
      </c>
    </row>
    <row r="400" spans="1:6" x14ac:dyDescent="0.25">
      <c r="A400" s="4" t="s">
        <v>7</v>
      </c>
      <c r="B400" s="4" t="s">
        <v>1124</v>
      </c>
      <c r="C400" s="1" t="s">
        <v>1125</v>
      </c>
      <c r="D400" s="1" t="s">
        <v>1126</v>
      </c>
      <c r="E400" s="6">
        <v>27910</v>
      </c>
      <c r="F400" s="4" t="s">
        <v>131</v>
      </c>
    </row>
    <row r="401" spans="1:6" x14ac:dyDescent="0.25">
      <c r="A401" s="4" t="s">
        <v>7</v>
      </c>
      <c r="B401" s="4" t="s">
        <v>1127</v>
      </c>
      <c r="C401" s="1" t="s">
        <v>1128</v>
      </c>
      <c r="D401" s="1" t="s">
        <v>1129</v>
      </c>
      <c r="E401" s="6">
        <v>27910</v>
      </c>
      <c r="F401" s="4" t="s">
        <v>131</v>
      </c>
    </row>
    <row r="402" spans="1:6" x14ac:dyDescent="0.25">
      <c r="A402" s="4" t="s">
        <v>7</v>
      </c>
      <c r="B402" s="4" t="s">
        <v>1130</v>
      </c>
      <c r="C402" s="1" t="s">
        <v>1131</v>
      </c>
      <c r="D402" s="1" t="s">
        <v>1132</v>
      </c>
      <c r="E402" s="6">
        <v>27910</v>
      </c>
      <c r="F402" s="4" t="s">
        <v>131</v>
      </c>
    </row>
    <row r="403" spans="1:6" x14ac:dyDescent="0.25">
      <c r="A403" s="4" t="s">
        <v>7</v>
      </c>
      <c r="B403" s="4" t="s">
        <v>1133</v>
      </c>
      <c r="C403" s="1" t="s">
        <v>1134</v>
      </c>
      <c r="D403" s="1" t="s">
        <v>1135</v>
      </c>
      <c r="E403" s="6">
        <v>27910</v>
      </c>
      <c r="F403" s="4" t="s">
        <v>131</v>
      </c>
    </row>
    <row r="404" spans="1:6" x14ac:dyDescent="0.25">
      <c r="A404" s="4" t="s">
        <v>7</v>
      </c>
      <c r="B404" s="4" t="s">
        <v>1136</v>
      </c>
      <c r="C404" s="1" t="s">
        <v>1137</v>
      </c>
      <c r="D404" s="1" t="s">
        <v>1138</v>
      </c>
      <c r="E404" s="6">
        <v>27910</v>
      </c>
      <c r="F404" s="4" t="s">
        <v>131</v>
      </c>
    </row>
    <row r="405" spans="1:6" x14ac:dyDescent="0.25">
      <c r="A405" s="4" t="s">
        <v>7</v>
      </c>
      <c r="B405" s="4" t="s">
        <v>1139</v>
      </c>
      <c r="C405" s="1" t="s">
        <v>1140</v>
      </c>
      <c r="D405" s="1" t="s">
        <v>1141</v>
      </c>
      <c r="E405" s="6">
        <v>16349</v>
      </c>
      <c r="F405" s="4" t="s">
        <v>131</v>
      </c>
    </row>
    <row r="406" spans="1:6" x14ac:dyDescent="0.25">
      <c r="A406" s="4" t="s">
        <v>7</v>
      </c>
      <c r="B406" s="4" t="s">
        <v>1142</v>
      </c>
      <c r="C406" s="1" t="s">
        <v>1143</v>
      </c>
      <c r="D406" s="1" t="s">
        <v>1144</v>
      </c>
      <c r="E406" s="6">
        <v>10899</v>
      </c>
      <c r="F406" s="4" t="s">
        <v>131</v>
      </c>
    </row>
    <row r="407" spans="1:6" x14ac:dyDescent="0.25">
      <c r="A407" s="4" t="s">
        <v>7</v>
      </c>
      <c r="B407" s="4" t="s">
        <v>1145</v>
      </c>
      <c r="C407" s="1" t="s">
        <v>1146</v>
      </c>
      <c r="D407" s="1" t="s">
        <v>1147</v>
      </c>
      <c r="E407" s="6">
        <v>8917</v>
      </c>
      <c r="F407" s="4" t="s">
        <v>131</v>
      </c>
    </row>
    <row r="408" spans="1:6" x14ac:dyDescent="0.25">
      <c r="A408" s="4" t="s">
        <v>7</v>
      </c>
      <c r="B408" s="4" t="s">
        <v>1148</v>
      </c>
      <c r="C408" s="1" t="s">
        <v>1149</v>
      </c>
      <c r="D408" s="1" t="s">
        <v>1135</v>
      </c>
      <c r="E408" s="6">
        <v>28734</v>
      </c>
      <c r="F408" s="4" t="s">
        <v>131</v>
      </c>
    </row>
    <row r="409" spans="1:6" x14ac:dyDescent="0.25">
      <c r="A409" s="4" t="s">
        <v>7</v>
      </c>
      <c r="B409" s="4" t="s">
        <v>1150</v>
      </c>
      <c r="C409" s="1" t="s">
        <v>1151</v>
      </c>
      <c r="D409" s="1" t="s">
        <v>1112</v>
      </c>
      <c r="E409" s="6">
        <v>743</v>
      </c>
      <c r="F409" s="4" t="s">
        <v>131</v>
      </c>
    </row>
    <row r="410" spans="1:6" x14ac:dyDescent="0.25">
      <c r="A410" s="4" t="s">
        <v>7</v>
      </c>
      <c r="B410" s="4" t="s">
        <v>1152</v>
      </c>
      <c r="C410" s="1" t="s">
        <v>1153</v>
      </c>
      <c r="D410" s="1" t="s">
        <v>1154</v>
      </c>
      <c r="E410" s="6">
        <v>9419</v>
      </c>
      <c r="F410" s="4" t="s">
        <v>131</v>
      </c>
    </row>
    <row r="411" spans="1:6" x14ac:dyDescent="0.25">
      <c r="A411" s="4" t="s">
        <v>7</v>
      </c>
      <c r="B411" s="4" t="s">
        <v>1155</v>
      </c>
      <c r="C411" s="1" t="s">
        <v>1156</v>
      </c>
      <c r="D411" s="1" t="s">
        <v>1157</v>
      </c>
      <c r="E411" s="6">
        <v>23064</v>
      </c>
      <c r="F411" s="4" t="s">
        <v>131</v>
      </c>
    </row>
    <row r="412" spans="1:6" x14ac:dyDescent="0.25">
      <c r="A412" s="4" t="s">
        <v>7</v>
      </c>
      <c r="B412" s="4" t="s">
        <v>1158</v>
      </c>
      <c r="C412" s="1" t="s">
        <v>1159</v>
      </c>
      <c r="D412" s="1" t="s">
        <v>1159</v>
      </c>
      <c r="E412" s="6">
        <v>3184</v>
      </c>
      <c r="F412" s="4" t="s">
        <v>131</v>
      </c>
    </row>
    <row r="413" spans="1:6" x14ac:dyDescent="0.25">
      <c r="A413" s="4" t="s">
        <v>7</v>
      </c>
      <c r="B413" s="4" t="s">
        <v>1160</v>
      </c>
      <c r="C413" s="1" t="s">
        <v>1161</v>
      </c>
      <c r="D413" s="1" t="s">
        <v>1161</v>
      </c>
      <c r="E413" s="6">
        <v>6368</v>
      </c>
      <c r="F413" s="4" t="s">
        <v>131</v>
      </c>
    </row>
    <row r="414" spans="1:6" x14ac:dyDescent="0.25">
      <c r="A414" s="4" t="s">
        <v>7</v>
      </c>
      <c r="B414" s="4" t="s">
        <v>1162</v>
      </c>
      <c r="C414" s="1" t="s">
        <v>1163</v>
      </c>
      <c r="D414" s="1" t="s">
        <v>1164</v>
      </c>
      <c r="E414" s="6">
        <v>1611</v>
      </c>
      <c r="F414" s="4" t="s">
        <v>131</v>
      </c>
    </row>
    <row r="415" spans="1:6" x14ac:dyDescent="0.25">
      <c r="A415" s="4" t="s">
        <v>7</v>
      </c>
      <c r="B415" s="4" t="s">
        <v>1165</v>
      </c>
      <c r="C415" s="1" t="s">
        <v>1166</v>
      </c>
      <c r="D415" s="1" t="s">
        <v>1166</v>
      </c>
      <c r="E415" s="6">
        <v>7363</v>
      </c>
      <c r="F415" s="4" t="s">
        <v>131</v>
      </c>
    </row>
    <row r="416" spans="1:6" x14ac:dyDescent="0.25">
      <c r="A416" s="4" t="s">
        <v>7</v>
      </c>
      <c r="B416" s="4" t="s">
        <v>1167</v>
      </c>
      <c r="C416" s="1" t="s">
        <v>1168</v>
      </c>
      <c r="D416" s="1" t="s">
        <v>1169</v>
      </c>
      <c r="E416" s="6">
        <v>8308</v>
      </c>
      <c r="F416" s="4" t="s">
        <v>131</v>
      </c>
    </row>
    <row r="417" spans="1:6" x14ac:dyDescent="0.25">
      <c r="A417" s="4" t="s">
        <v>7</v>
      </c>
      <c r="B417" s="4" t="s">
        <v>1170</v>
      </c>
      <c r="C417" s="1" t="s">
        <v>1171</v>
      </c>
      <c r="D417" s="1" t="s">
        <v>1172</v>
      </c>
      <c r="E417" s="6">
        <v>6337</v>
      </c>
      <c r="F417" s="4" t="s">
        <v>131</v>
      </c>
    </row>
    <row r="418" spans="1:6" x14ac:dyDescent="0.25">
      <c r="A418" s="4" t="s">
        <v>7</v>
      </c>
      <c r="B418" s="4" t="s">
        <v>1173</v>
      </c>
      <c r="C418" s="1" t="s">
        <v>1174</v>
      </c>
      <c r="D418" s="1" t="s">
        <v>1175</v>
      </c>
      <c r="E418" s="6">
        <v>5861</v>
      </c>
      <c r="F418" s="4" t="s">
        <v>131</v>
      </c>
    </row>
    <row r="419" spans="1:6" x14ac:dyDescent="0.25">
      <c r="A419" s="4" t="s">
        <v>7</v>
      </c>
      <c r="B419" s="4" t="s">
        <v>1176</v>
      </c>
      <c r="C419" s="1" t="s">
        <v>1177</v>
      </c>
      <c r="D419" s="1" t="s">
        <v>1178</v>
      </c>
      <c r="E419" s="6">
        <v>4000</v>
      </c>
      <c r="F419" s="4" t="s">
        <v>131</v>
      </c>
    </row>
    <row r="420" spans="1:6" x14ac:dyDescent="0.25">
      <c r="A420" s="4" t="s">
        <v>7</v>
      </c>
      <c r="B420" s="4" t="s">
        <v>1179</v>
      </c>
      <c r="C420" s="1" t="s">
        <v>1180</v>
      </c>
      <c r="D420" s="1" t="s">
        <v>1181</v>
      </c>
      <c r="E420" s="6">
        <v>4428</v>
      </c>
      <c r="F420" s="4" t="s">
        <v>131</v>
      </c>
    </row>
    <row r="421" spans="1:6" x14ac:dyDescent="0.25">
      <c r="A421" s="4" t="s">
        <v>7</v>
      </c>
      <c r="B421" s="4" t="s">
        <v>1182</v>
      </c>
      <c r="C421" s="1" t="s">
        <v>1183</v>
      </c>
      <c r="D421" s="1" t="s">
        <v>1183</v>
      </c>
      <c r="E421" s="6">
        <v>3958</v>
      </c>
      <c r="F421" s="4" t="s">
        <v>131</v>
      </c>
    </row>
    <row r="422" spans="1:6" x14ac:dyDescent="0.25">
      <c r="A422" s="4" t="s">
        <v>7</v>
      </c>
      <c r="B422" s="4" t="s">
        <v>1184</v>
      </c>
      <c r="C422" s="1" t="s">
        <v>1185</v>
      </c>
      <c r="D422" s="1" t="s">
        <v>1186</v>
      </c>
      <c r="E422" s="6">
        <v>568</v>
      </c>
      <c r="F422" s="4" t="s">
        <v>131</v>
      </c>
    </row>
    <row r="423" spans="1:6" x14ac:dyDescent="0.25">
      <c r="A423" s="4" t="s">
        <v>7</v>
      </c>
      <c r="B423" s="4" t="s">
        <v>1187</v>
      </c>
      <c r="C423" s="1" t="s">
        <v>1188</v>
      </c>
      <c r="D423" s="1" t="s">
        <v>1189</v>
      </c>
      <c r="E423" s="6">
        <v>5518</v>
      </c>
      <c r="F423" s="4" t="s">
        <v>131</v>
      </c>
    </row>
    <row r="424" spans="1:6" x14ac:dyDescent="0.25">
      <c r="A424" s="4" t="s">
        <v>7</v>
      </c>
      <c r="B424" s="4" t="s">
        <v>1190</v>
      </c>
      <c r="C424" s="1" t="s">
        <v>1191</v>
      </c>
      <c r="D424" s="1" t="s">
        <v>1191</v>
      </c>
      <c r="E424" s="6">
        <v>32291</v>
      </c>
      <c r="F424" s="4" t="s">
        <v>131</v>
      </c>
    </row>
    <row r="425" spans="1:6" x14ac:dyDescent="0.25">
      <c r="A425" s="4" t="s">
        <v>7</v>
      </c>
      <c r="B425" s="4" t="s">
        <v>1192</v>
      </c>
      <c r="C425" s="1" t="s">
        <v>1193</v>
      </c>
      <c r="D425" s="1" t="s">
        <v>1194</v>
      </c>
      <c r="E425" s="6">
        <v>1987</v>
      </c>
    </row>
    <row r="426" spans="1:6" x14ac:dyDescent="0.25">
      <c r="A426" s="4" t="s">
        <v>7</v>
      </c>
      <c r="B426" s="4" t="s">
        <v>1195</v>
      </c>
      <c r="C426" s="1" t="s">
        <v>1196</v>
      </c>
      <c r="D426" s="1" t="s">
        <v>1196</v>
      </c>
      <c r="E426" s="6">
        <v>3958</v>
      </c>
      <c r="F426" s="4" t="s">
        <v>131</v>
      </c>
    </row>
    <row r="427" spans="1:6" x14ac:dyDescent="0.25">
      <c r="A427" s="4" t="s">
        <v>7</v>
      </c>
      <c r="B427" s="4" t="s">
        <v>1197</v>
      </c>
      <c r="C427" s="1" t="s">
        <v>1198</v>
      </c>
      <c r="D427" s="1" t="s">
        <v>1199</v>
      </c>
      <c r="E427" s="6">
        <v>27910</v>
      </c>
      <c r="F427" s="4" t="s">
        <v>131</v>
      </c>
    </row>
    <row r="428" spans="1:6" x14ac:dyDescent="0.25">
      <c r="A428" s="4" t="s">
        <v>7</v>
      </c>
      <c r="B428" s="4" t="s">
        <v>1200</v>
      </c>
      <c r="C428" s="1" t="s">
        <v>1201</v>
      </c>
      <c r="D428" s="1" t="s">
        <v>1202</v>
      </c>
      <c r="E428" s="6">
        <v>27910</v>
      </c>
      <c r="F428" s="4" t="s">
        <v>131</v>
      </c>
    </row>
    <row r="429" spans="1:6" x14ac:dyDescent="0.25">
      <c r="A429" s="4" t="s">
        <v>7</v>
      </c>
      <c r="B429" s="4" t="s">
        <v>1203</v>
      </c>
      <c r="C429" s="1" t="s">
        <v>1204</v>
      </c>
      <c r="D429" s="1" t="s">
        <v>1100</v>
      </c>
      <c r="E429" s="6">
        <v>27910</v>
      </c>
      <c r="F429" s="4" t="s">
        <v>131</v>
      </c>
    </row>
    <row r="430" spans="1:6" x14ac:dyDescent="0.25">
      <c r="A430" s="4" t="s">
        <v>7</v>
      </c>
      <c r="B430" s="4" t="s">
        <v>1205</v>
      </c>
      <c r="C430" s="1" t="s">
        <v>1206</v>
      </c>
      <c r="D430" s="1" t="s">
        <v>1103</v>
      </c>
      <c r="E430" s="6">
        <v>27910</v>
      </c>
      <c r="F430" s="4" t="s">
        <v>131</v>
      </c>
    </row>
    <row r="431" spans="1:6" x14ac:dyDescent="0.25">
      <c r="A431" s="4" t="s">
        <v>7</v>
      </c>
      <c r="B431" s="4" t="s">
        <v>1207</v>
      </c>
      <c r="C431" s="1" t="s">
        <v>1208</v>
      </c>
      <c r="D431" s="1" t="s">
        <v>1209</v>
      </c>
      <c r="E431" s="6">
        <v>27910</v>
      </c>
      <c r="F431" s="4" t="s">
        <v>131</v>
      </c>
    </row>
    <row r="432" spans="1:6" x14ac:dyDescent="0.25">
      <c r="A432" s="4" t="s">
        <v>7</v>
      </c>
      <c r="B432" s="4" t="s">
        <v>1210</v>
      </c>
      <c r="C432" s="1" t="s">
        <v>1211</v>
      </c>
      <c r="D432" s="1" t="s">
        <v>1212</v>
      </c>
      <c r="E432" s="6">
        <v>27910</v>
      </c>
      <c r="F432" s="4" t="s">
        <v>131</v>
      </c>
    </row>
    <row r="433" spans="1:6" x14ac:dyDescent="0.25">
      <c r="A433" s="4" t="s">
        <v>7</v>
      </c>
      <c r="B433" s="4" t="s">
        <v>1213</v>
      </c>
      <c r="C433" s="1" t="s">
        <v>1214</v>
      </c>
      <c r="D433" s="1" t="s">
        <v>1215</v>
      </c>
      <c r="E433" s="6">
        <v>27910</v>
      </c>
      <c r="F433" s="4" t="s">
        <v>131</v>
      </c>
    </row>
    <row r="434" spans="1:6" x14ac:dyDescent="0.25">
      <c r="A434" s="4" t="s">
        <v>7</v>
      </c>
      <c r="B434" s="4" t="s">
        <v>1216</v>
      </c>
      <c r="C434" s="1" t="s">
        <v>1217</v>
      </c>
      <c r="D434" s="1" t="s">
        <v>1218</v>
      </c>
      <c r="E434" s="6">
        <v>3958</v>
      </c>
      <c r="F434" s="4" t="s">
        <v>131</v>
      </c>
    </row>
    <row r="435" spans="1:6" x14ac:dyDescent="0.25">
      <c r="A435" s="4" t="s">
        <v>7</v>
      </c>
      <c r="B435" s="4" t="s">
        <v>1219</v>
      </c>
      <c r="C435" s="1" t="s">
        <v>1220</v>
      </c>
      <c r="D435" s="1" t="s">
        <v>1221</v>
      </c>
      <c r="E435" s="6">
        <v>20481.93</v>
      </c>
      <c r="F435" s="4" t="s">
        <v>131</v>
      </c>
    </row>
    <row r="436" spans="1:6" x14ac:dyDescent="0.25">
      <c r="A436" s="4" t="s">
        <v>7</v>
      </c>
      <c r="B436" s="4" t="s">
        <v>1222</v>
      </c>
      <c r="C436" s="1" t="s">
        <v>1223</v>
      </c>
      <c r="D436" s="1" t="s">
        <v>1224</v>
      </c>
      <c r="E436" s="6">
        <v>6626.51</v>
      </c>
      <c r="F436" s="4" t="s">
        <v>131</v>
      </c>
    </row>
    <row r="437" spans="1:6" x14ac:dyDescent="0.25">
      <c r="A437" s="4" t="s">
        <v>7</v>
      </c>
      <c r="B437" s="4" t="s">
        <v>1225</v>
      </c>
      <c r="C437" s="1" t="s">
        <v>1226</v>
      </c>
      <c r="D437" s="1" t="s">
        <v>1227</v>
      </c>
      <c r="E437" s="6">
        <v>9638.5499999999993</v>
      </c>
      <c r="F437" s="4" t="s">
        <v>131</v>
      </c>
    </row>
    <row r="438" spans="1:6" x14ac:dyDescent="0.25">
      <c r="A438" s="4" t="s">
        <v>7</v>
      </c>
      <c r="B438" s="4" t="s">
        <v>1228</v>
      </c>
      <c r="C438" s="1" t="s">
        <v>1229</v>
      </c>
      <c r="D438" s="1" t="s">
        <v>707</v>
      </c>
      <c r="E438" s="6">
        <v>4457.83</v>
      </c>
      <c r="F438" s="4" t="s">
        <v>131</v>
      </c>
    </row>
    <row r="439" spans="1:6" x14ac:dyDescent="0.25">
      <c r="A439" s="4" t="s">
        <v>7</v>
      </c>
      <c r="B439" s="4" t="s">
        <v>1230</v>
      </c>
      <c r="C439" s="1" t="s">
        <v>1231</v>
      </c>
      <c r="D439" s="1" t="s">
        <v>1232</v>
      </c>
      <c r="E439" s="6">
        <v>24096.39</v>
      </c>
      <c r="F439" s="4" t="s">
        <v>131</v>
      </c>
    </row>
    <row r="440" spans="1:6" x14ac:dyDescent="0.25">
      <c r="A440" s="4" t="s">
        <v>7</v>
      </c>
      <c r="B440" s="4" t="s">
        <v>1233</v>
      </c>
      <c r="C440" s="1" t="s">
        <v>1234</v>
      </c>
      <c r="D440" s="1" t="s">
        <v>1235</v>
      </c>
      <c r="E440" s="6">
        <v>3012.05</v>
      </c>
      <c r="F440" s="4" t="s">
        <v>131</v>
      </c>
    </row>
    <row r="441" spans="1:6" x14ac:dyDescent="0.25">
      <c r="A441" s="4" t="s">
        <v>7</v>
      </c>
      <c r="B441" s="4" t="s">
        <v>1236</v>
      </c>
      <c r="C441" s="1" t="s">
        <v>1237</v>
      </c>
      <c r="D441" s="1" t="s">
        <v>1238</v>
      </c>
      <c r="E441" s="6">
        <v>3958</v>
      </c>
      <c r="F441" s="4" t="s">
        <v>131</v>
      </c>
    </row>
    <row r="442" spans="1:6" x14ac:dyDescent="0.25">
      <c r="A442" s="4" t="s">
        <v>7</v>
      </c>
      <c r="B442" s="4" t="s">
        <v>1239</v>
      </c>
      <c r="C442" s="1" t="s">
        <v>1240</v>
      </c>
      <c r="D442" s="1" t="s">
        <v>1241</v>
      </c>
      <c r="E442" s="6">
        <v>4047</v>
      </c>
      <c r="F442" s="4" t="s">
        <v>131</v>
      </c>
    </row>
    <row r="443" spans="1:6" x14ac:dyDescent="0.25">
      <c r="A443" s="4" t="s">
        <v>7</v>
      </c>
      <c r="B443" s="4" t="s">
        <v>1242</v>
      </c>
      <c r="C443" s="1" t="s">
        <v>1243</v>
      </c>
      <c r="D443" s="1" t="s">
        <v>1244</v>
      </c>
      <c r="E443" s="6">
        <v>3958</v>
      </c>
      <c r="F443" s="4" t="s">
        <v>131</v>
      </c>
    </row>
    <row r="444" spans="1:6" x14ac:dyDescent="0.25">
      <c r="A444" s="4" t="s">
        <v>7</v>
      </c>
      <c r="B444" s="4" t="s">
        <v>1245</v>
      </c>
      <c r="C444" s="1" t="s">
        <v>1246</v>
      </c>
      <c r="D444" s="1" t="s">
        <v>1247</v>
      </c>
      <c r="E444" s="6">
        <v>3958</v>
      </c>
      <c r="F444" s="4" t="s">
        <v>131</v>
      </c>
    </row>
    <row r="445" spans="1:6" x14ac:dyDescent="0.25">
      <c r="A445" s="4" t="s">
        <v>7</v>
      </c>
      <c r="B445" s="4" t="s">
        <v>1248</v>
      </c>
      <c r="C445" s="1" t="s">
        <v>1249</v>
      </c>
      <c r="D445" s="1" t="s">
        <v>1250</v>
      </c>
      <c r="E445" s="6">
        <v>421</v>
      </c>
      <c r="F445" s="4" t="s">
        <v>131</v>
      </c>
    </row>
    <row r="446" spans="1:6" x14ac:dyDescent="0.25">
      <c r="A446" s="4" t="s">
        <v>7</v>
      </c>
      <c r="B446" s="4" t="s">
        <v>1251</v>
      </c>
      <c r="C446" s="1" t="s">
        <v>1252</v>
      </c>
      <c r="D446" s="1" t="s">
        <v>1253</v>
      </c>
      <c r="E446" s="6">
        <v>3659</v>
      </c>
      <c r="F446" s="4" t="s">
        <v>131</v>
      </c>
    </row>
    <row r="447" spans="1:6" x14ac:dyDescent="0.25">
      <c r="A447" s="4" t="s">
        <v>7</v>
      </c>
      <c r="B447" s="4" t="s">
        <v>1254</v>
      </c>
      <c r="C447" s="1" t="s">
        <v>1255</v>
      </c>
      <c r="D447" s="1" t="s">
        <v>1256</v>
      </c>
      <c r="E447" s="6">
        <v>3958</v>
      </c>
    </row>
    <row r="448" spans="1:6" x14ac:dyDescent="0.25">
      <c r="A448" s="4" t="s">
        <v>7</v>
      </c>
      <c r="B448" s="4" t="s">
        <v>1257</v>
      </c>
      <c r="C448" s="1" t="s">
        <v>1258</v>
      </c>
      <c r="D448" s="1" t="s">
        <v>1259</v>
      </c>
      <c r="E448" s="6">
        <v>6719</v>
      </c>
    </row>
    <row r="449" spans="1:6" x14ac:dyDescent="0.25">
      <c r="A449" s="4" t="s">
        <v>7</v>
      </c>
      <c r="B449" s="4" t="s">
        <v>1260</v>
      </c>
      <c r="C449" s="1" t="s">
        <v>1261</v>
      </c>
      <c r="D449" s="1" t="s">
        <v>1262</v>
      </c>
      <c r="E449" s="6">
        <v>3958</v>
      </c>
      <c r="F449" s="4" t="s">
        <v>131</v>
      </c>
    </row>
    <row r="450" spans="1:6" x14ac:dyDescent="0.25">
      <c r="A450" s="4" t="s">
        <v>7</v>
      </c>
      <c r="B450" s="4" t="s">
        <v>1263</v>
      </c>
      <c r="C450" s="1" t="s">
        <v>1264</v>
      </c>
      <c r="D450" s="1" t="s">
        <v>1265</v>
      </c>
      <c r="E450" s="6">
        <v>9031</v>
      </c>
      <c r="F450" s="4" t="s">
        <v>131</v>
      </c>
    </row>
    <row r="451" spans="1:6" x14ac:dyDescent="0.25">
      <c r="A451" s="4" t="s">
        <v>7</v>
      </c>
      <c r="B451" s="4" t="s">
        <v>1266</v>
      </c>
      <c r="C451" s="1" t="s">
        <v>1267</v>
      </c>
      <c r="D451" s="1" t="s">
        <v>1268</v>
      </c>
      <c r="E451" s="6">
        <v>3958</v>
      </c>
    </row>
    <row r="452" spans="1:6" x14ac:dyDescent="0.25">
      <c r="A452" s="4" t="s">
        <v>7</v>
      </c>
      <c r="B452" s="4" t="s">
        <v>1269</v>
      </c>
      <c r="C452" s="1" t="s">
        <v>1270</v>
      </c>
      <c r="D452" s="1" t="s">
        <v>1271</v>
      </c>
      <c r="E452" s="6">
        <v>3871</v>
      </c>
    </row>
    <row r="453" spans="1:6" x14ac:dyDescent="0.25">
      <c r="A453" s="4" t="s">
        <v>7</v>
      </c>
      <c r="B453" s="4" t="s">
        <v>1272</v>
      </c>
      <c r="C453" s="1" t="s">
        <v>1273</v>
      </c>
      <c r="D453" s="1" t="s">
        <v>1274</v>
      </c>
      <c r="E453" s="6">
        <v>3958</v>
      </c>
    </row>
    <row r="454" spans="1:6" x14ac:dyDescent="0.25">
      <c r="A454" s="4" t="s">
        <v>7</v>
      </c>
      <c r="B454" s="4" t="s">
        <v>1275</v>
      </c>
      <c r="C454" s="1" t="s">
        <v>1276</v>
      </c>
      <c r="D454" s="1" t="s">
        <v>1277</v>
      </c>
      <c r="E454" s="6">
        <v>3958</v>
      </c>
    </row>
    <row r="455" spans="1:6" x14ac:dyDescent="0.25">
      <c r="A455" s="4" t="s">
        <v>7</v>
      </c>
      <c r="B455" s="4" t="s">
        <v>1278</v>
      </c>
      <c r="C455" s="1" t="s">
        <v>1279</v>
      </c>
      <c r="D455" s="1" t="s">
        <v>1280</v>
      </c>
      <c r="E455" s="6">
        <v>3958</v>
      </c>
      <c r="F455" s="4" t="s">
        <v>131</v>
      </c>
    </row>
    <row r="456" spans="1:6" x14ac:dyDescent="0.25">
      <c r="A456" s="4" t="s">
        <v>7</v>
      </c>
      <c r="B456" s="4" t="s">
        <v>1281</v>
      </c>
      <c r="C456" s="1" t="s">
        <v>1282</v>
      </c>
      <c r="D456" s="1" t="s">
        <v>1283</v>
      </c>
      <c r="E456" s="6">
        <v>3958</v>
      </c>
      <c r="F456" s="4" t="s">
        <v>131</v>
      </c>
    </row>
    <row r="457" spans="1:6" x14ac:dyDescent="0.25">
      <c r="A457" s="4" t="s">
        <v>7</v>
      </c>
      <c r="B457" s="4" t="s">
        <v>1284</v>
      </c>
      <c r="C457" s="1" t="s">
        <v>1285</v>
      </c>
      <c r="D457" s="1" t="s">
        <v>1286</v>
      </c>
      <c r="E457" s="6">
        <v>7714</v>
      </c>
    </row>
    <row r="458" spans="1:6" x14ac:dyDescent="0.25">
      <c r="A458" s="4" t="s">
        <v>7</v>
      </c>
      <c r="B458" s="4" t="s">
        <v>1287</v>
      </c>
      <c r="C458" s="1" t="s">
        <v>1288</v>
      </c>
      <c r="D458" s="1" t="s">
        <v>1289</v>
      </c>
      <c r="E458" s="6">
        <v>1909</v>
      </c>
      <c r="F458" s="4" t="s">
        <v>131</v>
      </c>
    </row>
    <row r="459" spans="1:6" x14ac:dyDescent="0.25">
      <c r="A459" s="4" t="s">
        <v>7</v>
      </c>
      <c r="B459" s="4" t="s">
        <v>1290</v>
      </c>
      <c r="C459" s="1" t="s">
        <v>1291</v>
      </c>
      <c r="D459" s="1" t="s">
        <v>1292</v>
      </c>
      <c r="E459" s="6">
        <v>18072.29</v>
      </c>
      <c r="F459" s="4" t="s">
        <v>131</v>
      </c>
    </row>
    <row r="460" spans="1:6" x14ac:dyDescent="0.25">
      <c r="A460" s="4" t="s">
        <v>7</v>
      </c>
      <c r="B460" s="4" t="s">
        <v>1293</v>
      </c>
      <c r="C460" s="1" t="s">
        <v>1294</v>
      </c>
      <c r="D460" s="1" t="s">
        <v>1295</v>
      </c>
      <c r="E460" s="6">
        <v>481.93</v>
      </c>
      <c r="F460" s="4" t="s">
        <v>131</v>
      </c>
    </row>
    <row r="461" spans="1:6" x14ac:dyDescent="0.25">
      <c r="A461" s="4" t="s">
        <v>7</v>
      </c>
      <c r="B461" s="4" t="s">
        <v>1296</v>
      </c>
      <c r="C461" s="1" t="s">
        <v>1297</v>
      </c>
      <c r="D461" s="1" t="s">
        <v>1298</v>
      </c>
      <c r="E461" s="6">
        <v>12653</v>
      </c>
    </row>
    <row r="462" spans="1:6" x14ac:dyDescent="0.25">
      <c r="A462" s="4" t="s">
        <v>7</v>
      </c>
      <c r="B462" s="4" t="s">
        <v>1299</v>
      </c>
      <c r="C462" s="1" t="s">
        <v>1300</v>
      </c>
      <c r="D462" s="1" t="s">
        <v>1301</v>
      </c>
      <c r="E462" s="6">
        <v>8245</v>
      </c>
      <c r="F462" s="4" t="s">
        <v>131</v>
      </c>
    </row>
    <row r="463" spans="1:6" x14ac:dyDescent="0.25">
      <c r="A463" s="4" t="s">
        <v>7</v>
      </c>
      <c r="B463" s="4" t="s">
        <v>1302</v>
      </c>
      <c r="C463" s="1" t="s">
        <v>1303</v>
      </c>
      <c r="D463" s="1" t="s">
        <v>1304</v>
      </c>
      <c r="E463" s="6">
        <v>5746</v>
      </c>
    </row>
    <row r="464" spans="1:6" x14ac:dyDescent="0.25">
      <c r="A464" s="4" t="s">
        <v>7</v>
      </c>
      <c r="B464" s="4" t="s">
        <v>1305</v>
      </c>
      <c r="C464" s="1" t="s">
        <v>1306</v>
      </c>
      <c r="D464" s="1" t="s">
        <v>1307</v>
      </c>
      <c r="E464" s="6">
        <v>25160</v>
      </c>
      <c r="F464" s="4" t="s">
        <v>131</v>
      </c>
    </row>
    <row r="465" spans="1:6" x14ac:dyDescent="0.25">
      <c r="A465" s="4" t="s">
        <v>7</v>
      </c>
      <c r="B465" s="4" t="s">
        <v>1308</v>
      </c>
      <c r="C465" s="1" t="s">
        <v>1309</v>
      </c>
      <c r="D465" s="1" t="s">
        <v>1310</v>
      </c>
      <c r="E465" s="6">
        <v>108</v>
      </c>
      <c r="F465" s="4" t="s">
        <v>131</v>
      </c>
    </row>
    <row r="466" spans="1:6" x14ac:dyDescent="0.25">
      <c r="A466" s="4" t="s">
        <v>7</v>
      </c>
      <c r="B466" s="4" t="s">
        <v>1311</v>
      </c>
      <c r="C466" s="1" t="s">
        <v>1312</v>
      </c>
      <c r="D466" s="1" t="s">
        <v>1313</v>
      </c>
      <c r="E466" s="6">
        <v>6489</v>
      </c>
      <c r="F466" s="4" t="s">
        <v>131</v>
      </c>
    </row>
    <row r="467" spans="1:6" x14ac:dyDescent="0.25">
      <c r="A467" s="4" t="s">
        <v>7</v>
      </c>
      <c r="B467" s="4" t="s">
        <v>1314</v>
      </c>
      <c r="C467" s="1" t="s">
        <v>1315</v>
      </c>
      <c r="D467" s="1" t="s">
        <v>1316</v>
      </c>
      <c r="E467" s="6">
        <v>690</v>
      </c>
      <c r="F467" s="4" t="s">
        <v>131</v>
      </c>
    </row>
    <row r="468" spans="1:6" x14ac:dyDescent="0.25">
      <c r="A468" s="4" t="s">
        <v>7</v>
      </c>
      <c r="B468" s="4" t="s">
        <v>1317</v>
      </c>
      <c r="C468" s="1" t="s">
        <v>1318</v>
      </c>
      <c r="D468" s="1" t="s">
        <v>1319</v>
      </c>
      <c r="E468" s="6">
        <v>7371</v>
      </c>
      <c r="F468" s="4" t="s">
        <v>131</v>
      </c>
    </row>
    <row r="469" spans="1:6" x14ac:dyDescent="0.25">
      <c r="A469" s="4" t="s">
        <v>7</v>
      </c>
      <c r="B469" s="4" t="s">
        <v>1320</v>
      </c>
      <c r="C469" s="1" t="s">
        <v>1321</v>
      </c>
      <c r="D469" s="1" t="s">
        <v>1322</v>
      </c>
      <c r="E469" s="6">
        <v>43863</v>
      </c>
      <c r="F469" s="4" t="s">
        <v>131</v>
      </c>
    </row>
    <row r="470" spans="1:6" x14ac:dyDescent="0.25">
      <c r="A470" s="4" t="s">
        <v>7</v>
      </c>
      <c r="B470" s="4" t="s">
        <v>1323</v>
      </c>
      <c r="C470" s="1" t="s">
        <v>1324</v>
      </c>
      <c r="D470" s="1" t="s">
        <v>1325</v>
      </c>
      <c r="E470" s="6">
        <v>9419</v>
      </c>
      <c r="F470" s="4" t="s">
        <v>131</v>
      </c>
    </row>
    <row r="471" spans="1:6" x14ac:dyDescent="0.25">
      <c r="A471" s="4" t="s">
        <v>7</v>
      </c>
      <c r="B471" s="4" t="s">
        <v>1326</v>
      </c>
      <c r="C471" s="1" t="s">
        <v>1327</v>
      </c>
      <c r="D471" s="1" t="s">
        <v>1328</v>
      </c>
      <c r="E471" s="6">
        <v>3958</v>
      </c>
      <c r="F471" s="4" t="s">
        <v>131</v>
      </c>
    </row>
    <row r="472" spans="1:6" x14ac:dyDescent="0.25">
      <c r="A472" s="4" t="s">
        <v>7</v>
      </c>
      <c r="B472" s="4" t="s">
        <v>1329</v>
      </c>
      <c r="C472" s="1" t="s">
        <v>1330</v>
      </c>
      <c r="D472" s="1" t="s">
        <v>1331</v>
      </c>
      <c r="E472" s="6">
        <v>2188</v>
      </c>
    </row>
    <row r="473" spans="1:6" x14ac:dyDescent="0.25">
      <c r="A473" s="4" t="s">
        <v>7</v>
      </c>
      <c r="B473" s="4" t="s">
        <v>1332</v>
      </c>
      <c r="C473" s="1" t="s">
        <v>1333</v>
      </c>
      <c r="D473" s="1" t="s">
        <v>1334</v>
      </c>
      <c r="E473" s="6">
        <v>1827</v>
      </c>
      <c r="F473" s="4" t="s">
        <v>131</v>
      </c>
    </row>
    <row r="474" spans="1:6" x14ac:dyDescent="0.25">
      <c r="A474" s="4" t="s">
        <v>7</v>
      </c>
      <c r="B474" s="4" t="s">
        <v>1335</v>
      </c>
      <c r="C474" s="1" t="s">
        <v>1318</v>
      </c>
      <c r="D474" s="1" t="s">
        <v>1336</v>
      </c>
      <c r="E474" s="6">
        <v>10262</v>
      </c>
    </row>
    <row r="475" spans="1:6" x14ac:dyDescent="0.25">
      <c r="A475" s="4" t="s">
        <v>7</v>
      </c>
      <c r="B475" s="4" t="s">
        <v>1337</v>
      </c>
      <c r="C475" s="1" t="s">
        <v>1338</v>
      </c>
      <c r="D475" s="1" t="s">
        <v>1339</v>
      </c>
      <c r="E475" s="6">
        <v>67112</v>
      </c>
    </row>
    <row r="476" spans="1:6" x14ac:dyDescent="0.25">
      <c r="A476" s="4" t="s">
        <v>7</v>
      </c>
      <c r="B476" s="4" t="s">
        <v>1340</v>
      </c>
      <c r="C476" s="1" t="s">
        <v>1341</v>
      </c>
      <c r="D476" s="1" t="s">
        <v>1342</v>
      </c>
      <c r="E476" s="6">
        <v>11842</v>
      </c>
    </row>
    <row r="477" spans="1:6" x14ac:dyDescent="0.25">
      <c r="A477" s="4" t="s">
        <v>7</v>
      </c>
      <c r="B477" s="4" t="s">
        <v>1343</v>
      </c>
      <c r="C477" s="1" t="s">
        <v>1344</v>
      </c>
      <c r="D477" s="1" t="s">
        <v>1345</v>
      </c>
      <c r="E477" s="6">
        <v>15230</v>
      </c>
      <c r="F477" s="4" t="s">
        <v>131</v>
      </c>
    </row>
    <row r="478" spans="1:6" x14ac:dyDescent="0.25">
      <c r="A478" s="4" t="s">
        <v>7</v>
      </c>
      <c r="B478" s="4" t="s">
        <v>1346</v>
      </c>
      <c r="C478" s="1" t="s">
        <v>1347</v>
      </c>
      <c r="D478" s="1" t="s">
        <v>1348</v>
      </c>
      <c r="E478" s="6">
        <v>17721</v>
      </c>
    </row>
    <row r="479" spans="1:6" x14ac:dyDescent="0.25">
      <c r="A479" s="4" t="s">
        <v>7</v>
      </c>
      <c r="B479" s="4" t="s">
        <v>1349</v>
      </c>
      <c r="C479" s="1" t="s">
        <v>1350</v>
      </c>
      <c r="D479" s="1" t="s">
        <v>1351</v>
      </c>
      <c r="E479" s="6">
        <v>20819</v>
      </c>
      <c r="F479" s="4" t="s">
        <v>131</v>
      </c>
    </row>
    <row r="480" spans="1:6" x14ac:dyDescent="0.25">
      <c r="A480" s="4" t="s">
        <v>7</v>
      </c>
      <c r="B480" s="4" t="s">
        <v>1352</v>
      </c>
      <c r="C480" s="1" t="s">
        <v>1353</v>
      </c>
      <c r="D480" s="1" t="s">
        <v>1354</v>
      </c>
      <c r="E480" s="6">
        <v>11195</v>
      </c>
    </row>
    <row r="481" spans="1:6" x14ac:dyDescent="0.25">
      <c r="A481" s="4" t="s">
        <v>7</v>
      </c>
      <c r="B481" s="4" t="s">
        <v>1355</v>
      </c>
      <c r="C481" s="1" t="s">
        <v>1356</v>
      </c>
      <c r="D481" s="1" t="s">
        <v>1357</v>
      </c>
      <c r="E481" s="6">
        <v>9419</v>
      </c>
    </row>
    <row r="482" spans="1:6" x14ac:dyDescent="0.25">
      <c r="A482" s="4" t="s">
        <v>7</v>
      </c>
      <c r="B482" s="4" t="s">
        <v>1358</v>
      </c>
      <c r="C482" s="1" t="s">
        <v>1359</v>
      </c>
      <c r="D482" s="1" t="s">
        <v>1360</v>
      </c>
      <c r="E482" s="6">
        <v>10573</v>
      </c>
      <c r="F482" s="4" t="s">
        <v>131</v>
      </c>
    </row>
    <row r="483" spans="1:6" x14ac:dyDescent="0.25">
      <c r="A483" s="4" t="s">
        <v>7</v>
      </c>
      <c r="B483" s="4" t="s">
        <v>1361</v>
      </c>
      <c r="C483" s="1" t="s">
        <v>1362</v>
      </c>
      <c r="D483" s="1" t="s">
        <v>1363</v>
      </c>
      <c r="E483" s="6">
        <v>56304</v>
      </c>
    </row>
    <row r="484" spans="1:6" x14ac:dyDescent="0.25">
      <c r="A484" s="4" t="s">
        <v>7</v>
      </c>
      <c r="B484" s="4" t="s">
        <v>1364</v>
      </c>
      <c r="C484" s="1" t="s">
        <v>1365</v>
      </c>
      <c r="D484" s="1" t="s">
        <v>1366</v>
      </c>
      <c r="E484" s="6">
        <v>3958</v>
      </c>
      <c r="F484" s="4" t="s">
        <v>131</v>
      </c>
    </row>
    <row r="485" spans="1:6" x14ac:dyDescent="0.25">
      <c r="A485" s="4" t="s">
        <v>7</v>
      </c>
      <c r="B485" s="4" t="s">
        <v>1367</v>
      </c>
      <c r="C485" s="1" t="s">
        <v>1368</v>
      </c>
      <c r="D485" s="1" t="s">
        <v>1368</v>
      </c>
      <c r="E485" s="6">
        <v>3958</v>
      </c>
      <c r="F485" s="4" t="s">
        <v>131</v>
      </c>
    </row>
    <row r="486" spans="1:6" x14ac:dyDescent="0.25">
      <c r="A486" s="4" t="s">
        <v>7</v>
      </c>
      <c r="B486" s="4" t="s">
        <v>1369</v>
      </c>
      <c r="C486" s="1" t="s">
        <v>1370</v>
      </c>
      <c r="D486" s="1" t="s">
        <v>1371</v>
      </c>
      <c r="E486" s="6">
        <v>3958</v>
      </c>
      <c r="F486" s="4" t="s">
        <v>131</v>
      </c>
    </row>
    <row r="487" spans="1:6" x14ac:dyDescent="0.25">
      <c r="A487" s="4" t="s">
        <v>7</v>
      </c>
      <c r="B487" s="4" t="s">
        <v>1372</v>
      </c>
      <c r="C487" s="1" t="s">
        <v>1373</v>
      </c>
      <c r="D487" s="1" t="s">
        <v>434</v>
      </c>
      <c r="E487" s="6">
        <v>1508</v>
      </c>
      <c r="F487" s="4" t="s">
        <v>131</v>
      </c>
    </row>
    <row r="488" spans="1:6" x14ac:dyDescent="0.25">
      <c r="A488" s="4" t="s">
        <v>7</v>
      </c>
      <c r="B488" s="4" t="s">
        <v>1374</v>
      </c>
      <c r="C488" s="1" t="s">
        <v>1375</v>
      </c>
      <c r="D488" s="1" t="s">
        <v>434</v>
      </c>
      <c r="E488" s="6">
        <v>3958</v>
      </c>
      <c r="F488" s="4" t="s">
        <v>131</v>
      </c>
    </row>
    <row r="489" spans="1:6" x14ac:dyDescent="0.25">
      <c r="A489" s="4" t="s">
        <v>7</v>
      </c>
      <c r="B489" s="4" t="s">
        <v>1376</v>
      </c>
      <c r="C489" s="1" t="s">
        <v>1377</v>
      </c>
      <c r="D489" s="1" t="s">
        <v>1377</v>
      </c>
      <c r="E489" s="6">
        <v>3958</v>
      </c>
    </row>
    <row r="490" spans="1:6" x14ac:dyDescent="0.25">
      <c r="A490" s="4" t="s">
        <v>7</v>
      </c>
      <c r="B490" s="4" t="s">
        <v>1378</v>
      </c>
      <c r="C490" s="1" t="s">
        <v>1379</v>
      </c>
      <c r="D490" s="1" t="s">
        <v>1380</v>
      </c>
      <c r="E490" s="6">
        <v>807</v>
      </c>
    </row>
    <row r="491" spans="1:6" x14ac:dyDescent="0.25">
      <c r="A491" s="4" t="s">
        <v>7</v>
      </c>
      <c r="B491" s="4" t="s">
        <v>1381</v>
      </c>
      <c r="C491" s="1" t="s">
        <v>1382</v>
      </c>
      <c r="D491" s="1" t="s">
        <v>1383</v>
      </c>
      <c r="E491" s="6">
        <v>275</v>
      </c>
      <c r="F491" s="4" t="s">
        <v>131</v>
      </c>
    </row>
    <row r="492" spans="1:6" x14ac:dyDescent="0.25">
      <c r="A492" s="4" t="s">
        <v>7</v>
      </c>
      <c r="B492" s="4" t="s">
        <v>1384</v>
      </c>
      <c r="C492" s="1" t="s">
        <v>1385</v>
      </c>
      <c r="D492" s="1" t="s">
        <v>1386</v>
      </c>
      <c r="E492" s="6">
        <v>1239</v>
      </c>
      <c r="F492" s="4" t="s">
        <v>131</v>
      </c>
    </row>
    <row r="493" spans="1:6" x14ac:dyDescent="0.25">
      <c r="A493" s="4" t="s">
        <v>7</v>
      </c>
      <c r="B493" s="4" t="s">
        <v>1387</v>
      </c>
      <c r="C493" s="1" t="s">
        <v>1388</v>
      </c>
      <c r="D493" s="1" t="s">
        <v>1389</v>
      </c>
      <c r="E493" s="6">
        <v>62421</v>
      </c>
      <c r="F493" s="4" t="s">
        <v>131</v>
      </c>
    </row>
    <row r="494" spans="1:6" x14ac:dyDescent="0.25">
      <c r="A494" s="4" t="s">
        <v>7</v>
      </c>
      <c r="B494" s="4" t="s">
        <v>1390</v>
      </c>
      <c r="C494" s="1" t="s">
        <v>1391</v>
      </c>
      <c r="D494" s="1" t="s">
        <v>1392</v>
      </c>
      <c r="E494" s="6">
        <v>22893</v>
      </c>
      <c r="F494" s="4" t="s">
        <v>131</v>
      </c>
    </row>
    <row r="495" spans="1:6" x14ac:dyDescent="0.25">
      <c r="A495" s="4" t="s">
        <v>7</v>
      </c>
      <c r="B495" s="4" t="s">
        <v>1393</v>
      </c>
      <c r="C495" s="1" t="s">
        <v>1394</v>
      </c>
      <c r="D495" s="1" t="s">
        <v>1394</v>
      </c>
      <c r="E495" s="6">
        <v>1932</v>
      </c>
      <c r="F495" s="4" t="s">
        <v>131</v>
      </c>
    </row>
    <row r="496" spans="1:6" x14ac:dyDescent="0.25">
      <c r="A496" s="4" t="s">
        <v>7</v>
      </c>
      <c r="B496" s="4" t="s">
        <v>1395</v>
      </c>
      <c r="C496" s="1" t="s">
        <v>1396</v>
      </c>
      <c r="D496" s="1" t="s">
        <v>1397</v>
      </c>
      <c r="E496" s="6">
        <v>2580</v>
      </c>
    </row>
    <row r="497" spans="1:6" x14ac:dyDescent="0.25">
      <c r="A497" s="4" t="s">
        <v>7</v>
      </c>
      <c r="B497" s="4" t="s">
        <v>1398</v>
      </c>
      <c r="C497" s="1" t="s">
        <v>1399</v>
      </c>
      <c r="D497" s="1" t="s">
        <v>1400</v>
      </c>
      <c r="E497" s="6">
        <v>437</v>
      </c>
    </row>
    <row r="498" spans="1:6" x14ac:dyDescent="0.25">
      <c r="A498" s="4" t="s">
        <v>7</v>
      </c>
      <c r="B498" s="4" t="s">
        <v>1401</v>
      </c>
      <c r="C498" s="1" t="s">
        <v>1402</v>
      </c>
      <c r="D498" s="1" t="s">
        <v>1403</v>
      </c>
      <c r="E498" s="6">
        <v>3938</v>
      </c>
      <c r="F498" s="4" t="s">
        <v>131</v>
      </c>
    </row>
    <row r="499" spans="1:6" x14ac:dyDescent="0.25">
      <c r="A499" s="4" t="s">
        <v>7</v>
      </c>
      <c r="B499" s="4" t="s">
        <v>1404</v>
      </c>
      <c r="C499" s="1" t="s">
        <v>1405</v>
      </c>
      <c r="D499" s="1" t="s">
        <v>1406</v>
      </c>
      <c r="E499" s="6">
        <v>8490</v>
      </c>
      <c r="F499" s="4" t="s">
        <v>131</v>
      </c>
    </row>
    <row r="500" spans="1:6" x14ac:dyDescent="0.25">
      <c r="A500" s="4" t="s">
        <v>7</v>
      </c>
      <c r="B500" s="4" t="s">
        <v>1407</v>
      </c>
      <c r="C500" s="1" t="s">
        <v>1408</v>
      </c>
      <c r="D500" s="1" t="s">
        <v>1409</v>
      </c>
      <c r="E500" s="6">
        <v>6698</v>
      </c>
      <c r="F500" s="4" t="s">
        <v>131</v>
      </c>
    </row>
    <row r="501" spans="1:6" x14ac:dyDescent="0.25">
      <c r="A501" s="4" t="s">
        <v>7</v>
      </c>
      <c r="B501" s="4" t="s">
        <v>1410</v>
      </c>
      <c r="C501" s="1" t="s">
        <v>1411</v>
      </c>
      <c r="D501" s="1" t="s">
        <v>1412</v>
      </c>
      <c r="E501" s="6">
        <v>14487</v>
      </c>
    </row>
    <row r="502" spans="1:6" x14ac:dyDescent="0.25">
      <c r="A502" s="4" t="s">
        <v>7</v>
      </c>
      <c r="B502" s="4" t="s">
        <v>1413</v>
      </c>
      <c r="C502" s="1" t="s">
        <v>1414</v>
      </c>
      <c r="D502" s="1" t="s">
        <v>1412</v>
      </c>
      <c r="E502" s="6">
        <v>4430</v>
      </c>
    </row>
    <row r="503" spans="1:6" x14ac:dyDescent="0.25">
      <c r="A503" s="4" t="s">
        <v>7</v>
      </c>
      <c r="B503" s="4" t="s">
        <v>1415</v>
      </c>
      <c r="C503" s="1" t="s">
        <v>1416</v>
      </c>
      <c r="D503" s="1" t="s">
        <v>1417</v>
      </c>
      <c r="E503" s="6">
        <v>29472</v>
      </c>
    </row>
    <row r="504" spans="1:6" x14ac:dyDescent="0.25">
      <c r="A504" s="4" t="s">
        <v>7</v>
      </c>
      <c r="B504" s="4" t="s">
        <v>1418</v>
      </c>
      <c r="C504" s="1" t="s">
        <v>1419</v>
      </c>
      <c r="D504" s="1" t="s">
        <v>1420</v>
      </c>
      <c r="E504" s="6">
        <v>9087</v>
      </c>
      <c r="F504" s="4" t="s">
        <v>131</v>
      </c>
    </row>
    <row r="505" spans="1:6" x14ac:dyDescent="0.25">
      <c r="A505" s="4" t="s">
        <v>7</v>
      </c>
      <c r="B505" s="4" t="s">
        <v>1421</v>
      </c>
      <c r="C505" s="1" t="s">
        <v>1422</v>
      </c>
      <c r="D505" s="1" t="s">
        <v>1423</v>
      </c>
      <c r="E505" s="6">
        <v>13240.96</v>
      </c>
      <c r="F505" s="4" t="s">
        <v>131</v>
      </c>
    </row>
    <row r="506" spans="1:6" x14ac:dyDescent="0.25">
      <c r="A506" s="4" t="s">
        <v>7</v>
      </c>
      <c r="B506" s="4" t="s">
        <v>1424</v>
      </c>
      <c r="C506" s="1" t="s">
        <v>1425</v>
      </c>
      <c r="D506" s="1" t="s">
        <v>1426</v>
      </c>
      <c r="E506" s="6">
        <v>48310</v>
      </c>
      <c r="F506" s="4" t="s">
        <v>131</v>
      </c>
    </row>
    <row r="507" spans="1:6" x14ac:dyDescent="0.25">
      <c r="A507" s="4" t="s">
        <v>7</v>
      </c>
      <c r="B507" s="4" t="s">
        <v>1427</v>
      </c>
      <c r="C507" s="1" t="s">
        <v>1428</v>
      </c>
      <c r="D507" s="1" t="s">
        <v>1429</v>
      </c>
      <c r="E507" s="6">
        <v>13458</v>
      </c>
      <c r="F507" s="4" t="s">
        <v>131</v>
      </c>
    </row>
    <row r="508" spans="1:6" x14ac:dyDescent="0.25">
      <c r="A508" s="4" t="s">
        <v>7</v>
      </c>
      <c r="B508" s="4" t="s">
        <v>1430</v>
      </c>
      <c r="C508" s="1" t="s">
        <v>1431</v>
      </c>
      <c r="D508" s="1" t="s">
        <v>1429</v>
      </c>
      <c r="E508" s="6">
        <v>43043</v>
      </c>
      <c r="F508" s="4" t="s">
        <v>131</v>
      </c>
    </row>
    <row r="509" spans="1:6" x14ac:dyDescent="0.25">
      <c r="A509" s="4" t="s">
        <v>7</v>
      </c>
      <c r="B509" s="4" t="s">
        <v>1432</v>
      </c>
      <c r="C509" s="1" t="s">
        <v>1433</v>
      </c>
      <c r="D509" s="1" t="s">
        <v>1429</v>
      </c>
      <c r="E509" s="6">
        <v>18423</v>
      </c>
      <c r="F509" s="4" t="s">
        <v>131</v>
      </c>
    </row>
    <row r="510" spans="1:6" x14ac:dyDescent="0.25">
      <c r="A510" s="4" t="s">
        <v>7</v>
      </c>
      <c r="B510" s="4" t="s">
        <v>1434</v>
      </c>
      <c r="C510" s="1" t="s">
        <v>1435</v>
      </c>
      <c r="D510" s="1" t="s">
        <v>1436</v>
      </c>
      <c r="E510" s="6">
        <v>1101</v>
      </c>
      <c r="F510" s="4" t="s">
        <v>131</v>
      </c>
    </row>
    <row r="511" spans="1:6" x14ac:dyDescent="0.25">
      <c r="A511" s="4" t="s">
        <v>7</v>
      </c>
      <c r="B511" s="4" t="s">
        <v>1437</v>
      </c>
      <c r="C511" s="1" t="s">
        <v>1438</v>
      </c>
      <c r="D511" s="1" t="s">
        <v>1439</v>
      </c>
      <c r="E511" s="6">
        <v>470</v>
      </c>
    </row>
    <row r="512" spans="1:6" x14ac:dyDescent="0.25">
      <c r="A512" s="4" t="s">
        <v>7</v>
      </c>
      <c r="B512" s="4" t="s">
        <v>1440</v>
      </c>
      <c r="C512" s="1" t="s">
        <v>1441</v>
      </c>
      <c r="D512" s="1" t="s">
        <v>1439</v>
      </c>
      <c r="E512" s="6">
        <v>816</v>
      </c>
    </row>
    <row r="513" spans="1:6" x14ac:dyDescent="0.25">
      <c r="A513" s="4" t="s">
        <v>7</v>
      </c>
      <c r="B513" s="4" t="s">
        <v>1442</v>
      </c>
      <c r="C513" s="1" t="s">
        <v>1443</v>
      </c>
      <c r="D513" s="1" t="s">
        <v>1439</v>
      </c>
      <c r="E513" s="6">
        <v>337</v>
      </c>
    </row>
    <row r="514" spans="1:6" x14ac:dyDescent="0.25">
      <c r="A514" s="4" t="s">
        <v>7</v>
      </c>
      <c r="B514" s="4" t="s">
        <v>1444</v>
      </c>
      <c r="C514" s="1" t="s">
        <v>1445</v>
      </c>
      <c r="D514" s="1" t="s">
        <v>1446</v>
      </c>
      <c r="E514" s="6">
        <v>3958</v>
      </c>
    </row>
    <row r="515" spans="1:6" x14ac:dyDescent="0.25">
      <c r="A515" s="4" t="s">
        <v>7</v>
      </c>
      <c r="B515" s="4" t="s">
        <v>1447</v>
      </c>
      <c r="C515" s="1" t="s">
        <v>1448</v>
      </c>
      <c r="D515" s="1" t="s">
        <v>1449</v>
      </c>
      <c r="E515" s="6">
        <v>15873</v>
      </c>
      <c r="F515" s="4" t="s">
        <v>131</v>
      </c>
    </row>
    <row r="516" spans="1:6" x14ac:dyDescent="0.25">
      <c r="A516" s="4" t="s">
        <v>7</v>
      </c>
      <c r="B516" s="4" t="s">
        <v>1450</v>
      </c>
      <c r="C516" s="1" t="s">
        <v>1451</v>
      </c>
      <c r="D516" s="1" t="s">
        <v>1452</v>
      </c>
      <c r="E516" s="6">
        <v>10573</v>
      </c>
    </row>
    <row r="517" spans="1:6" x14ac:dyDescent="0.25">
      <c r="A517" s="4" t="s">
        <v>7</v>
      </c>
      <c r="B517" s="4" t="s">
        <v>1453</v>
      </c>
      <c r="C517" s="1" t="s">
        <v>1454</v>
      </c>
      <c r="D517" s="1" t="s">
        <v>1455</v>
      </c>
      <c r="E517" s="6">
        <v>46807.23</v>
      </c>
      <c r="F517" s="4" t="s">
        <v>131</v>
      </c>
    </row>
    <row r="518" spans="1:6" x14ac:dyDescent="0.25">
      <c r="A518" s="4" t="s">
        <v>7</v>
      </c>
      <c r="B518" s="4" t="s">
        <v>1456</v>
      </c>
      <c r="C518" s="1" t="s">
        <v>1457</v>
      </c>
      <c r="D518" s="1" t="s">
        <v>1458</v>
      </c>
      <c r="E518" s="6">
        <v>172397</v>
      </c>
      <c r="F518" s="4" t="s">
        <v>131</v>
      </c>
    </row>
    <row r="519" spans="1:6" x14ac:dyDescent="0.25">
      <c r="A519" s="4" t="s">
        <v>7</v>
      </c>
      <c r="B519" s="4" t="s">
        <v>1459</v>
      </c>
      <c r="C519" s="1" t="s">
        <v>1460</v>
      </c>
      <c r="D519" s="1" t="s">
        <v>1461</v>
      </c>
      <c r="E519" s="6">
        <v>4459</v>
      </c>
      <c r="F519" s="4" t="s">
        <v>131</v>
      </c>
    </row>
    <row r="520" spans="1:6" x14ac:dyDescent="0.25">
      <c r="A520" s="4" t="s">
        <v>7</v>
      </c>
      <c r="B520" s="4" t="s">
        <v>1462</v>
      </c>
      <c r="C520" s="1" t="s">
        <v>1463</v>
      </c>
      <c r="D520" s="1" t="s">
        <v>1464</v>
      </c>
      <c r="E520" s="6">
        <v>85485</v>
      </c>
      <c r="F520" s="4" t="s">
        <v>131</v>
      </c>
    </row>
    <row r="521" spans="1:6" x14ac:dyDescent="0.25">
      <c r="A521" s="4" t="s">
        <v>7</v>
      </c>
      <c r="B521" s="4" t="s">
        <v>1465</v>
      </c>
      <c r="C521" s="1" t="s">
        <v>1466</v>
      </c>
      <c r="D521" s="1" t="s">
        <v>1464</v>
      </c>
      <c r="E521" s="6">
        <v>110676</v>
      </c>
      <c r="F521" s="4" t="s">
        <v>131</v>
      </c>
    </row>
    <row r="522" spans="1:6" x14ac:dyDescent="0.25">
      <c r="A522" s="4" t="s">
        <v>7</v>
      </c>
      <c r="B522" s="4" t="s">
        <v>1467</v>
      </c>
      <c r="C522" s="1" t="s">
        <v>1468</v>
      </c>
      <c r="D522" s="1" t="s">
        <v>1464</v>
      </c>
      <c r="E522" s="6">
        <v>46716</v>
      </c>
      <c r="F522" s="4" t="s">
        <v>131</v>
      </c>
    </row>
    <row r="523" spans="1:6" x14ac:dyDescent="0.25">
      <c r="A523" s="4" t="s">
        <v>7</v>
      </c>
      <c r="B523" s="4" t="s">
        <v>1469</v>
      </c>
      <c r="C523" s="1" t="s">
        <v>1470</v>
      </c>
      <c r="D523" s="1" t="s">
        <v>1471</v>
      </c>
      <c r="E523" s="6">
        <v>5675</v>
      </c>
      <c r="F523" s="4" t="s">
        <v>131</v>
      </c>
    </row>
    <row r="524" spans="1:6" x14ac:dyDescent="0.25">
      <c r="A524" s="4" t="s">
        <v>7</v>
      </c>
      <c r="B524" s="4" t="s">
        <v>1472</v>
      </c>
      <c r="C524" s="1" t="s">
        <v>1473</v>
      </c>
      <c r="D524" s="1" t="s">
        <v>1473</v>
      </c>
      <c r="E524" s="6">
        <v>575</v>
      </c>
      <c r="F524" s="4" t="s">
        <v>131</v>
      </c>
    </row>
    <row r="525" spans="1:6" x14ac:dyDescent="0.25">
      <c r="A525" s="4" t="s">
        <v>7</v>
      </c>
      <c r="B525" s="4" t="s">
        <v>1474</v>
      </c>
      <c r="C525" s="1" t="s">
        <v>1475</v>
      </c>
      <c r="D525" s="1" t="s">
        <v>1476</v>
      </c>
      <c r="E525" s="6">
        <v>3958</v>
      </c>
      <c r="F525" s="4" t="s">
        <v>131</v>
      </c>
    </row>
    <row r="526" spans="1:6" x14ac:dyDescent="0.25">
      <c r="A526" s="4" t="s">
        <v>7</v>
      </c>
      <c r="B526" s="4" t="s">
        <v>1477</v>
      </c>
      <c r="C526" s="1" t="s">
        <v>1478</v>
      </c>
      <c r="D526" s="1" t="s">
        <v>1479</v>
      </c>
      <c r="E526" s="6">
        <v>40493.4</v>
      </c>
      <c r="F526" s="4" t="s">
        <v>131</v>
      </c>
    </row>
    <row r="527" spans="1:6" x14ac:dyDescent="0.25">
      <c r="A527" s="4" t="s">
        <v>7</v>
      </c>
      <c r="B527" s="4" t="s">
        <v>1480</v>
      </c>
      <c r="C527" s="1" t="s">
        <v>1481</v>
      </c>
      <c r="D527" s="1" t="s">
        <v>1482</v>
      </c>
      <c r="E527" s="6">
        <v>26024</v>
      </c>
      <c r="F527" s="4" t="s">
        <v>131</v>
      </c>
    </row>
    <row r="528" spans="1:6" x14ac:dyDescent="0.25">
      <c r="A528" s="4" t="s">
        <v>7</v>
      </c>
      <c r="B528" s="4" t="s">
        <v>1483</v>
      </c>
      <c r="C528" s="1" t="s">
        <v>1484</v>
      </c>
      <c r="D528" s="1" t="s">
        <v>1485</v>
      </c>
      <c r="E528" s="6">
        <v>105</v>
      </c>
      <c r="F528" s="4" t="s">
        <v>131</v>
      </c>
    </row>
    <row r="529" spans="1:6" x14ac:dyDescent="0.25">
      <c r="A529" s="4" t="s">
        <v>7</v>
      </c>
      <c r="B529" s="4" t="s">
        <v>1486</v>
      </c>
      <c r="C529" s="1" t="s">
        <v>1487</v>
      </c>
      <c r="D529" s="1" t="s">
        <v>1488</v>
      </c>
      <c r="E529" s="6">
        <v>3958</v>
      </c>
      <c r="F529" s="4" t="s">
        <v>131</v>
      </c>
    </row>
    <row r="530" spans="1:6" x14ac:dyDescent="0.25">
      <c r="A530" s="4" t="s">
        <v>7</v>
      </c>
      <c r="B530" s="4" t="s">
        <v>1489</v>
      </c>
      <c r="C530" s="1" t="s">
        <v>1490</v>
      </c>
      <c r="D530" s="1" t="s">
        <v>331</v>
      </c>
      <c r="E530" s="6">
        <v>12271</v>
      </c>
      <c r="F530" s="4" t="s">
        <v>131</v>
      </c>
    </row>
    <row r="531" spans="1:6" x14ac:dyDescent="0.25">
      <c r="A531" s="4" t="s">
        <v>7</v>
      </c>
      <c r="B531" s="4" t="s">
        <v>1491</v>
      </c>
      <c r="C531" s="1" t="s">
        <v>1492</v>
      </c>
      <c r="D531" s="1" t="s">
        <v>1493</v>
      </c>
      <c r="E531" s="6">
        <v>6698</v>
      </c>
      <c r="F531" s="4" t="s">
        <v>131</v>
      </c>
    </row>
    <row r="532" spans="1:6" x14ac:dyDescent="0.25">
      <c r="A532" s="4" t="s">
        <v>7</v>
      </c>
      <c r="B532" s="4" t="s">
        <v>1494</v>
      </c>
      <c r="C532" s="1" t="s">
        <v>1495</v>
      </c>
      <c r="D532" s="1" t="s">
        <v>1496</v>
      </c>
      <c r="E532" s="6">
        <v>7150</v>
      </c>
    </row>
    <row r="533" spans="1:6" x14ac:dyDescent="0.25">
      <c r="A533" s="4" t="s">
        <v>7</v>
      </c>
      <c r="B533" s="4" t="s">
        <v>1497</v>
      </c>
      <c r="C533" s="1" t="s">
        <v>1498</v>
      </c>
      <c r="D533" s="1" t="s">
        <v>1499</v>
      </c>
      <c r="E533" s="6">
        <v>22563</v>
      </c>
      <c r="F533" s="4" t="s">
        <v>131</v>
      </c>
    </row>
    <row r="534" spans="1:6" x14ac:dyDescent="0.25">
      <c r="A534" s="4" t="s">
        <v>7</v>
      </c>
      <c r="B534" s="4" t="s">
        <v>1500</v>
      </c>
      <c r="C534" s="1" t="s">
        <v>1501</v>
      </c>
      <c r="D534" s="1" t="s">
        <v>1502</v>
      </c>
      <c r="E534" s="6">
        <v>17675</v>
      </c>
      <c r="F534" s="4" t="s">
        <v>131</v>
      </c>
    </row>
    <row r="535" spans="1:6" x14ac:dyDescent="0.25">
      <c r="A535" s="4" t="s">
        <v>7</v>
      </c>
      <c r="B535" s="4" t="s">
        <v>1503</v>
      </c>
      <c r="C535" s="1" t="s">
        <v>1504</v>
      </c>
      <c r="D535" s="1" t="s">
        <v>1505</v>
      </c>
      <c r="E535" s="6">
        <v>5074</v>
      </c>
      <c r="F535" s="4" t="s">
        <v>131</v>
      </c>
    </row>
    <row r="536" spans="1:6" x14ac:dyDescent="0.25">
      <c r="A536" s="4" t="s">
        <v>7</v>
      </c>
      <c r="B536" s="4" t="s">
        <v>1506</v>
      </c>
      <c r="C536" s="1" t="s">
        <v>1507</v>
      </c>
      <c r="D536" s="1" t="s">
        <v>1508</v>
      </c>
      <c r="E536" s="6">
        <v>9419</v>
      </c>
    </row>
    <row r="537" spans="1:6" x14ac:dyDescent="0.25">
      <c r="A537" s="4" t="s">
        <v>7</v>
      </c>
      <c r="B537" s="4" t="s">
        <v>1509</v>
      </c>
      <c r="C537" s="1" t="s">
        <v>1510</v>
      </c>
      <c r="D537" s="1" t="s">
        <v>1510</v>
      </c>
      <c r="E537" s="6">
        <v>9419</v>
      </c>
      <c r="F537" s="4" t="s">
        <v>131</v>
      </c>
    </row>
    <row r="538" spans="1:6" x14ac:dyDescent="0.25">
      <c r="A538" s="4" t="s">
        <v>7</v>
      </c>
      <c r="B538" s="4" t="s">
        <v>1511</v>
      </c>
      <c r="C538" s="1" t="s">
        <v>1512</v>
      </c>
      <c r="D538" s="1" t="s">
        <v>1513</v>
      </c>
      <c r="E538" s="6">
        <v>62243</v>
      </c>
    </row>
    <row r="539" spans="1:6" x14ac:dyDescent="0.25">
      <c r="A539" s="4" t="s">
        <v>7</v>
      </c>
      <c r="B539" s="4" t="s">
        <v>1514</v>
      </c>
      <c r="C539" s="1" t="s">
        <v>1515</v>
      </c>
      <c r="D539" s="1" t="s">
        <v>1516</v>
      </c>
      <c r="E539" s="6">
        <v>42927</v>
      </c>
    </row>
    <row r="540" spans="1:6" x14ac:dyDescent="0.25">
      <c r="A540" s="4" t="s">
        <v>7</v>
      </c>
      <c r="B540" s="4" t="s">
        <v>1517</v>
      </c>
      <c r="C540" s="1" t="s">
        <v>1518</v>
      </c>
      <c r="D540" s="1" t="s">
        <v>1519</v>
      </c>
      <c r="E540" s="6">
        <v>30132.53</v>
      </c>
    </row>
    <row r="541" spans="1:6" x14ac:dyDescent="0.25">
      <c r="A541" s="4" t="s">
        <v>7</v>
      </c>
      <c r="B541" s="4" t="s">
        <v>1520</v>
      </c>
      <c r="C541" s="1" t="s">
        <v>1521</v>
      </c>
      <c r="D541" s="1" t="s">
        <v>1522</v>
      </c>
      <c r="E541" s="6">
        <v>5865.75</v>
      </c>
    </row>
    <row r="542" spans="1:6" x14ac:dyDescent="0.25">
      <c r="A542" s="4" t="s">
        <v>7</v>
      </c>
      <c r="B542" s="4" t="s">
        <v>1523</v>
      </c>
      <c r="C542" s="1" t="s">
        <v>1524</v>
      </c>
      <c r="D542" s="1" t="s">
        <v>1525</v>
      </c>
      <c r="E542" s="6">
        <v>591</v>
      </c>
      <c r="F542" s="4" t="s">
        <v>131</v>
      </c>
    </row>
    <row r="543" spans="1:6" x14ac:dyDescent="0.25">
      <c r="A543" s="4" t="s">
        <v>7</v>
      </c>
      <c r="B543" s="4" t="s">
        <v>1526</v>
      </c>
      <c r="C543" s="1" t="s">
        <v>1527</v>
      </c>
      <c r="D543" s="1" t="s">
        <v>1528</v>
      </c>
      <c r="E543" s="6">
        <v>6709</v>
      </c>
      <c r="F543" s="4" t="s">
        <v>131</v>
      </c>
    </row>
    <row r="544" spans="1:6" x14ac:dyDescent="0.25">
      <c r="A544" s="4" t="s">
        <v>7</v>
      </c>
      <c r="B544" s="4" t="s">
        <v>1529</v>
      </c>
      <c r="C544" s="1" t="s">
        <v>1530</v>
      </c>
      <c r="D544" s="1" t="s">
        <v>1531</v>
      </c>
      <c r="E544" s="6">
        <v>2784</v>
      </c>
    </row>
    <row r="545" spans="1:6" x14ac:dyDescent="0.25">
      <c r="A545" s="4" t="s">
        <v>7</v>
      </c>
      <c r="B545" s="4" t="s">
        <v>1532</v>
      </c>
      <c r="C545" s="1" t="s">
        <v>1533</v>
      </c>
      <c r="D545" s="1" t="s">
        <v>1534</v>
      </c>
      <c r="E545" s="6">
        <v>22706</v>
      </c>
      <c r="F545" s="4" t="s">
        <v>131</v>
      </c>
    </row>
    <row r="546" spans="1:6" x14ac:dyDescent="0.25">
      <c r="A546" s="4" t="s">
        <v>7</v>
      </c>
      <c r="B546" s="4" t="s">
        <v>1535</v>
      </c>
      <c r="C546" s="1" t="s">
        <v>1536</v>
      </c>
      <c r="D546" s="1" t="s">
        <v>1537</v>
      </c>
      <c r="E546" s="6">
        <v>16858</v>
      </c>
      <c r="F546" s="4" t="s">
        <v>131</v>
      </c>
    </row>
    <row r="547" spans="1:6" x14ac:dyDescent="0.25">
      <c r="A547" s="4" t="s">
        <v>7</v>
      </c>
      <c r="B547" s="4" t="s">
        <v>1538</v>
      </c>
      <c r="C547" s="1" t="s">
        <v>1539</v>
      </c>
      <c r="D547" s="1" t="s">
        <v>1540</v>
      </c>
      <c r="E547" s="6">
        <v>2698</v>
      </c>
      <c r="F547" s="4" t="s">
        <v>131</v>
      </c>
    </row>
    <row r="548" spans="1:6" x14ac:dyDescent="0.25">
      <c r="A548" s="4" t="s">
        <v>7</v>
      </c>
      <c r="B548" s="4" t="s">
        <v>1541</v>
      </c>
      <c r="C548" s="1" t="s">
        <v>1542</v>
      </c>
      <c r="D548" s="1" t="s">
        <v>1543</v>
      </c>
      <c r="E548" s="6">
        <v>4337</v>
      </c>
    </row>
    <row r="549" spans="1:6" x14ac:dyDescent="0.25">
      <c r="A549" s="4" t="s">
        <v>7</v>
      </c>
      <c r="B549" s="4" t="s">
        <v>1544</v>
      </c>
      <c r="C549" s="1" t="s">
        <v>1545</v>
      </c>
      <c r="D549" s="1" t="s">
        <v>1546</v>
      </c>
      <c r="E549" s="6">
        <v>4129</v>
      </c>
    </row>
    <row r="550" spans="1:6" x14ac:dyDescent="0.25">
      <c r="A550" s="4" t="s">
        <v>7</v>
      </c>
      <c r="B550" s="4" t="s">
        <v>1547</v>
      </c>
      <c r="C550" s="1" t="s">
        <v>1548</v>
      </c>
      <c r="D550" s="1" t="s">
        <v>1549</v>
      </c>
      <c r="E550" s="6">
        <v>2698</v>
      </c>
      <c r="F550" s="4" t="s">
        <v>131</v>
      </c>
    </row>
    <row r="551" spans="1:6" x14ac:dyDescent="0.25">
      <c r="A551" s="4" t="s">
        <v>7</v>
      </c>
      <c r="B551" s="4" t="s">
        <v>1550</v>
      </c>
      <c r="C551" s="1" t="s">
        <v>1551</v>
      </c>
      <c r="D551" s="1" t="s">
        <v>1552</v>
      </c>
      <c r="E551" s="6">
        <v>2698</v>
      </c>
      <c r="F551" s="4" t="s">
        <v>131</v>
      </c>
    </row>
    <row r="552" spans="1:6" x14ac:dyDescent="0.25">
      <c r="A552" s="4" t="s">
        <v>7</v>
      </c>
      <c r="B552" s="4" t="s">
        <v>1553</v>
      </c>
      <c r="C552" s="1" t="s">
        <v>1554</v>
      </c>
      <c r="D552" s="1" t="s">
        <v>1555</v>
      </c>
      <c r="E552" s="6">
        <v>2698</v>
      </c>
      <c r="F552" s="4" t="s">
        <v>131</v>
      </c>
    </row>
    <row r="553" spans="1:6" x14ac:dyDescent="0.25">
      <c r="A553" s="4" t="s">
        <v>7</v>
      </c>
      <c r="B553" s="4" t="s">
        <v>1556</v>
      </c>
      <c r="C553" s="1" t="s">
        <v>1557</v>
      </c>
      <c r="D553" s="1" t="s">
        <v>1558</v>
      </c>
      <c r="E553" s="6">
        <v>2698</v>
      </c>
      <c r="F553" s="4" t="s">
        <v>131</v>
      </c>
    </row>
    <row r="554" spans="1:6" x14ac:dyDescent="0.25">
      <c r="A554" s="4" t="s">
        <v>7</v>
      </c>
      <c r="B554" s="4" t="s">
        <v>1559</v>
      </c>
      <c r="C554" s="1" t="s">
        <v>1560</v>
      </c>
      <c r="D554" s="1" t="s">
        <v>1561</v>
      </c>
      <c r="E554" s="6">
        <v>2698</v>
      </c>
      <c r="F554" s="4" t="s">
        <v>131</v>
      </c>
    </row>
    <row r="555" spans="1:6" x14ac:dyDescent="0.25">
      <c r="A555" s="4" t="s">
        <v>7</v>
      </c>
      <c r="B555" s="4" t="s">
        <v>1562</v>
      </c>
      <c r="C555" s="1" t="s">
        <v>1563</v>
      </c>
      <c r="D555" s="1" t="s">
        <v>1564</v>
      </c>
      <c r="E555" s="6">
        <v>2698</v>
      </c>
      <c r="F555" s="4" t="s">
        <v>131</v>
      </c>
    </row>
    <row r="556" spans="1:6" x14ac:dyDescent="0.25">
      <c r="A556" s="4" t="s">
        <v>7</v>
      </c>
      <c r="B556" s="4" t="s">
        <v>1565</v>
      </c>
      <c r="C556" s="1" t="s">
        <v>1566</v>
      </c>
      <c r="D556" s="1" t="s">
        <v>1567</v>
      </c>
      <c r="E556" s="6">
        <v>276</v>
      </c>
      <c r="F556" s="4" t="s">
        <v>131</v>
      </c>
    </row>
    <row r="557" spans="1:6" x14ac:dyDescent="0.25">
      <c r="A557" s="4" t="s">
        <v>7</v>
      </c>
      <c r="B557" s="4" t="s">
        <v>1568</v>
      </c>
      <c r="C557" s="1" t="s">
        <v>1569</v>
      </c>
      <c r="D557" s="1" t="s">
        <v>1567</v>
      </c>
      <c r="E557" s="6">
        <v>2698</v>
      </c>
      <c r="F557" s="4" t="s">
        <v>131</v>
      </c>
    </row>
    <row r="558" spans="1:6" x14ac:dyDescent="0.25">
      <c r="A558" s="4" t="s">
        <v>7</v>
      </c>
      <c r="B558" s="4" t="s">
        <v>1570</v>
      </c>
      <c r="C558" s="1" t="s">
        <v>1571</v>
      </c>
      <c r="D558" s="1" t="s">
        <v>1567</v>
      </c>
      <c r="E558" s="6">
        <v>2698</v>
      </c>
      <c r="F558" s="4" t="s">
        <v>131</v>
      </c>
    </row>
    <row r="559" spans="1:6" x14ac:dyDescent="0.25">
      <c r="A559" s="4" t="s">
        <v>7</v>
      </c>
      <c r="B559" s="4" t="s">
        <v>1572</v>
      </c>
      <c r="C559" s="1" t="s">
        <v>1573</v>
      </c>
      <c r="D559" s="1" t="s">
        <v>1567</v>
      </c>
      <c r="E559" s="6">
        <v>135</v>
      </c>
      <c r="F559" s="4" t="s">
        <v>131</v>
      </c>
    </row>
    <row r="560" spans="1:6" x14ac:dyDescent="0.25">
      <c r="A560" s="4" t="s">
        <v>7</v>
      </c>
      <c r="B560" s="4" t="s">
        <v>1574</v>
      </c>
      <c r="C560" s="1" t="s">
        <v>1575</v>
      </c>
      <c r="D560" s="1" t="s">
        <v>1567</v>
      </c>
      <c r="E560" s="6">
        <v>380</v>
      </c>
      <c r="F560" s="4" t="s">
        <v>131</v>
      </c>
    </row>
    <row r="561" spans="1:6" x14ac:dyDescent="0.25">
      <c r="A561" s="4" t="s">
        <v>7</v>
      </c>
      <c r="B561" s="4" t="s">
        <v>1576</v>
      </c>
      <c r="C561" s="1" t="s">
        <v>1577</v>
      </c>
      <c r="D561" s="1" t="s">
        <v>1578</v>
      </c>
      <c r="E561" s="6">
        <v>2698</v>
      </c>
      <c r="F561" s="4" t="s">
        <v>131</v>
      </c>
    </row>
    <row r="562" spans="1:6" x14ac:dyDescent="0.25">
      <c r="A562" s="4" t="s">
        <v>7</v>
      </c>
      <c r="B562" s="4" t="s">
        <v>1579</v>
      </c>
      <c r="C562" s="1" t="s">
        <v>1580</v>
      </c>
      <c r="D562" s="1" t="s">
        <v>1581</v>
      </c>
      <c r="E562" s="6">
        <v>2698</v>
      </c>
      <c r="F562" s="4" t="s">
        <v>131</v>
      </c>
    </row>
    <row r="563" spans="1:6" x14ac:dyDescent="0.25">
      <c r="A563" s="4" t="s">
        <v>7</v>
      </c>
      <c r="B563" s="4" t="s">
        <v>1582</v>
      </c>
      <c r="C563" s="1" t="s">
        <v>1583</v>
      </c>
      <c r="D563" s="1" t="s">
        <v>1584</v>
      </c>
      <c r="E563" s="6">
        <v>2698</v>
      </c>
      <c r="F563" s="4" t="s">
        <v>131</v>
      </c>
    </row>
    <row r="564" spans="1:6" x14ac:dyDescent="0.25">
      <c r="A564" s="4" t="s">
        <v>7</v>
      </c>
      <c r="B564" s="4" t="s">
        <v>1585</v>
      </c>
      <c r="C564" s="1" t="s">
        <v>1586</v>
      </c>
      <c r="D564" s="1" t="s">
        <v>1586</v>
      </c>
      <c r="E564" s="6">
        <v>2698</v>
      </c>
      <c r="F564" s="4" t="s">
        <v>131</v>
      </c>
    </row>
    <row r="565" spans="1:6" x14ac:dyDescent="0.25">
      <c r="A565" s="4" t="s">
        <v>7</v>
      </c>
      <c r="B565" s="4" t="s">
        <v>1587</v>
      </c>
      <c r="C565" s="1" t="s">
        <v>1588</v>
      </c>
      <c r="D565" s="1" t="s">
        <v>1589</v>
      </c>
      <c r="E565" s="6">
        <v>5088</v>
      </c>
    </row>
    <row r="566" spans="1:6" x14ac:dyDescent="0.25">
      <c r="A566" s="4" t="s">
        <v>7</v>
      </c>
      <c r="B566" s="4" t="s">
        <v>1590</v>
      </c>
      <c r="C566" s="1" t="s">
        <v>1591</v>
      </c>
      <c r="D566" s="1" t="s">
        <v>1592</v>
      </c>
      <c r="E566" s="6">
        <v>2319</v>
      </c>
      <c r="F566" s="4" t="s">
        <v>131</v>
      </c>
    </row>
    <row r="567" spans="1:6" x14ac:dyDescent="0.25">
      <c r="A567" s="4" t="s">
        <v>7</v>
      </c>
      <c r="B567" s="4" t="s">
        <v>1593</v>
      </c>
      <c r="C567" s="1" t="s">
        <v>1594</v>
      </c>
      <c r="D567" s="1" t="s">
        <v>1595</v>
      </c>
      <c r="E567" s="6">
        <v>2698</v>
      </c>
      <c r="F567" s="4" t="s">
        <v>131</v>
      </c>
    </row>
    <row r="568" spans="1:6" x14ac:dyDescent="0.25">
      <c r="A568" s="4" t="s">
        <v>7</v>
      </c>
      <c r="B568" s="4" t="s">
        <v>1596</v>
      </c>
      <c r="C568" s="1" t="s">
        <v>1597</v>
      </c>
      <c r="D568" s="1" t="s">
        <v>1597</v>
      </c>
      <c r="E568" s="6">
        <v>3249</v>
      </c>
      <c r="F568" s="4" t="s">
        <v>131</v>
      </c>
    </row>
    <row r="569" spans="1:6" x14ac:dyDescent="0.25">
      <c r="A569" s="4" t="s">
        <v>7</v>
      </c>
      <c r="B569" s="4" t="s">
        <v>1598</v>
      </c>
      <c r="C569" s="1" t="s">
        <v>1599</v>
      </c>
      <c r="D569" s="1" t="s">
        <v>1600</v>
      </c>
      <c r="E569" s="6">
        <v>3391</v>
      </c>
      <c r="F569" s="4" t="s">
        <v>131</v>
      </c>
    </row>
    <row r="570" spans="1:6" x14ac:dyDescent="0.25">
      <c r="A570" s="4" t="s">
        <v>7</v>
      </c>
      <c r="B570" s="4" t="s">
        <v>1601</v>
      </c>
      <c r="C570" s="1" t="s">
        <v>1602</v>
      </c>
      <c r="D570" s="1" t="s">
        <v>1603</v>
      </c>
      <c r="E570" s="6">
        <v>351</v>
      </c>
      <c r="F570" s="4" t="s">
        <v>131</v>
      </c>
    </row>
    <row r="571" spans="1:6" x14ac:dyDescent="0.25">
      <c r="A571" s="4" t="s">
        <v>7</v>
      </c>
      <c r="B571" s="4" t="s">
        <v>1604</v>
      </c>
      <c r="C571" s="1" t="s">
        <v>1605</v>
      </c>
      <c r="D571" s="1" t="s">
        <v>1606</v>
      </c>
      <c r="E571" s="6">
        <v>7700</v>
      </c>
    </row>
    <row r="572" spans="1:6" x14ac:dyDescent="0.25">
      <c r="A572" s="4" t="s">
        <v>7</v>
      </c>
      <c r="B572" s="4" t="s">
        <v>1607</v>
      </c>
      <c r="C572" s="1" t="s">
        <v>1608</v>
      </c>
      <c r="D572" s="1" t="s">
        <v>1609</v>
      </c>
      <c r="E572" s="6">
        <v>1406</v>
      </c>
      <c r="F572" s="4" t="s">
        <v>131</v>
      </c>
    </row>
    <row r="573" spans="1:6" x14ac:dyDescent="0.25">
      <c r="A573" s="4" t="s">
        <v>7</v>
      </c>
      <c r="B573" s="4" t="s">
        <v>1610</v>
      </c>
      <c r="C573" s="1" t="s">
        <v>1611</v>
      </c>
      <c r="D573" s="1" t="s">
        <v>1612</v>
      </c>
      <c r="E573" s="6">
        <v>2506</v>
      </c>
      <c r="F573" s="4" t="s">
        <v>131</v>
      </c>
    </row>
    <row r="574" spans="1:6" x14ac:dyDescent="0.25">
      <c r="A574" s="4" t="s">
        <v>7</v>
      </c>
      <c r="B574" s="4" t="s">
        <v>1613</v>
      </c>
      <c r="C574" s="1" t="s">
        <v>1614</v>
      </c>
      <c r="D574" s="1" t="s">
        <v>1612</v>
      </c>
      <c r="E574" s="6">
        <v>8286</v>
      </c>
    </row>
    <row r="575" spans="1:6" x14ac:dyDescent="0.25">
      <c r="A575" s="4" t="s">
        <v>7</v>
      </c>
      <c r="B575" s="4" t="s">
        <v>1615</v>
      </c>
      <c r="C575" s="1" t="s">
        <v>1616</v>
      </c>
      <c r="D575" s="1" t="s">
        <v>1617</v>
      </c>
      <c r="E575" s="6">
        <v>10424</v>
      </c>
      <c r="F575" s="4" t="s">
        <v>131</v>
      </c>
    </row>
    <row r="576" spans="1:6" x14ac:dyDescent="0.25">
      <c r="A576" s="4" t="s">
        <v>7</v>
      </c>
      <c r="B576" s="4" t="s">
        <v>1618</v>
      </c>
      <c r="C576" s="1" t="s">
        <v>1619</v>
      </c>
      <c r="D576" s="1" t="s">
        <v>1620</v>
      </c>
      <c r="E576" s="6">
        <v>30667</v>
      </c>
    </row>
    <row r="577" spans="1:6" x14ac:dyDescent="0.25">
      <c r="A577" s="4" t="s">
        <v>7</v>
      </c>
      <c r="B577" s="4" t="s">
        <v>1621</v>
      </c>
      <c r="C577" s="1" t="s">
        <v>1622</v>
      </c>
      <c r="D577" s="1" t="s">
        <v>1623</v>
      </c>
      <c r="E577" s="6">
        <v>6.36</v>
      </c>
      <c r="F577" s="4" t="s">
        <v>131</v>
      </c>
    </row>
    <row r="578" spans="1:6" x14ac:dyDescent="0.25">
      <c r="A578" s="4" t="s">
        <v>7</v>
      </c>
      <c r="B578" s="4" t="s">
        <v>1624</v>
      </c>
      <c r="C578" s="1" t="s">
        <v>1625</v>
      </c>
      <c r="D578" s="1" t="s">
        <v>1626</v>
      </c>
      <c r="E578" s="6">
        <v>1097</v>
      </c>
      <c r="F578" s="4" t="s">
        <v>131</v>
      </c>
    </row>
    <row r="579" spans="1:6" x14ac:dyDescent="0.25">
      <c r="A579" s="4" t="s">
        <v>7</v>
      </c>
      <c r="B579" s="4" t="s">
        <v>1627</v>
      </c>
      <c r="C579" s="1" t="s">
        <v>1628</v>
      </c>
      <c r="D579" s="1" t="s">
        <v>1629</v>
      </c>
      <c r="E579" s="6">
        <v>4434</v>
      </c>
      <c r="F579" s="4" t="s">
        <v>131</v>
      </c>
    </row>
    <row r="580" spans="1:6" x14ac:dyDescent="0.25">
      <c r="A580" s="4" t="s">
        <v>7</v>
      </c>
      <c r="B580" s="4" t="s">
        <v>1630</v>
      </c>
      <c r="C580" s="1" t="s">
        <v>1631</v>
      </c>
      <c r="D580" s="1" t="s">
        <v>1631</v>
      </c>
      <c r="E580" s="6">
        <v>3402</v>
      </c>
      <c r="F580" s="4" t="s">
        <v>131</v>
      </c>
    </row>
    <row r="581" spans="1:6" x14ac:dyDescent="0.25">
      <c r="A581" s="4" t="s">
        <v>7</v>
      </c>
      <c r="B581" s="4" t="s">
        <v>1632</v>
      </c>
      <c r="C581" s="1" t="s">
        <v>1633</v>
      </c>
      <c r="D581" s="1" t="s">
        <v>1634</v>
      </c>
      <c r="E581" s="6">
        <v>11353</v>
      </c>
      <c r="F581" s="4" t="s">
        <v>131</v>
      </c>
    </row>
    <row r="582" spans="1:6" x14ac:dyDescent="0.25">
      <c r="A582" s="4" t="s">
        <v>7</v>
      </c>
      <c r="B582" s="4" t="s">
        <v>1635</v>
      </c>
      <c r="C582" s="1" t="s">
        <v>1636</v>
      </c>
      <c r="D582" s="1" t="s">
        <v>1637</v>
      </c>
      <c r="E582" s="6">
        <v>3383</v>
      </c>
      <c r="F582" s="4" t="s">
        <v>131</v>
      </c>
    </row>
    <row r="583" spans="1:6" x14ac:dyDescent="0.25">
      <c r="A583" s="4" t="s">
        <v>7</v>
      </c>
      <c r="B583" s="4" t="s">
        <v>1638</v>
      </c>
      <c r="C583" s="1" t="s">
        <v>1639</v>
      </c>
      <c r="D583" s="1" t="s">
        <v>1640</v>
      </c>
      <c r="E583" s="6">
        <v>578</v>
      </c>
      <c r="F583" s="4" t="s">
        <v>131</v>
      </c>
    </row>
    <row r="584" spans="1:6" x14ac:dyDescent="0.25">
      <c r="A584" s="4" t="s">
        <v>7</v>
      </c>
      <c r="B584" s="4" t="s">
        <v>1641</v>
      </c>
      <c r="C584" s="1" t="s">
        <v>1642</v>
      </c>
      <c r="D584" s="1" t="s">
        <v>1642</v>
      </c>
      <c r="E584" s="6">
        <v>444</v>
      </c>
      <c r="F584" s="4" t="s">
        <v>131</v>
      </c>
    </row>
    <row r="585" spans="1:6" x14ac:dyDescent="0.25">
      <c r="A585" s="4" t="s">
        <v>7</v>
      </c>
      <c r="B585" s="4" t="s">
        <v>1643</v>
      </c>
      <c r="C585" s="1" t="s">
        <v>1644</v>
      </c>
      <c r="D585" s="1" t="s">
        <v>1645</v>
      </c>
      <c r="E585" s="6">
        <v>10322</v>
      </c>
      <c r="F585" s="4" t="s">
        <v>131</v>
      </c>
    </row>
    <row r="586" spans="1:6" x14ac:dyDescent="0.25">
      <c r="A586" s="4" t="s">
        <v>7</v>
      </c>
      <c r="B586" s="4" t="s">
        <v>1646</v>
      </c>
      <c r="C586" s="1" t="s">
        <v>1647</v>
      </c>
      <c r="D586" s="1" t="s">
        <v>1648</v>
      </c>
      <c r="E586" s="6">
        <v>24</v>
      </c>
    </row>
    <row r="587" spans="1:6" x14ac:dyDescent="0.25">
      <c r="A587" s="4" t="s">
        <v>7</v>
      </c>
      <c r="B587" s="4" t="s">
        <v>1649</v>
      </c>
      <c r="C587" s="1" t="s">
        <v>1650</v>
      </c>
      <c r="D587" s="1" t="s">
        <v>1651</v>
      </c>
      <c r="E587" s="6">
        <v>487</v>
      </c>
      <c r="F587" s="4" t="s">
        <v>131</v>
      </c>
    </row>
    <row r="588" spans="1:6" x14ac:dyDescent="0.25">
      <c r="A588" s="4" t="s">
        <v>7</v>
      </c>
      <c r="B588" s="4" t="s">
        <v>1652</v>
      </c>
      <c r="C588" s="1" t="s">
        <v>1653</v>
      </c>
      <c r="D588" s="1" t="s">
        <v>1654</v>
      </c>
      <c r="E588" s="6">
        <v>730</v>
      </c>
      <c r="F588" s="4" t="s">
        <v>131</v>
      </c>
    </row>
    <row r="589" spans="1:6" x14ac:dyDescent="0.25">
      <c r="A589" s="4" t="s">
        <v>7</v>
      </c>
      <c r="B589" s="4" t="s">
        <v>1655</v>
      </c>
      <c r="C589" s="1" t="s">
        <v>1656</v>
      </c>
      <c r="D589" s="1" t="s">
        <v>1657</v>
      </c>
      <c r="E589" s="6">
        <v>7994</v>
      </c>
      <c r="F589" s="4" t="s">
        <v>131</v>
      </c>
    </row>
    <row r="590" spans="1:6" x14ac:dyDescent="0.25">
      <c r="A590" s="4" t="s">
        <v>7</v>
      </c>
      <c r="B590" s="4" t="s">
        <v>1658</v>
      </c>
      <c r="C590" s="1" t="s">
        <v>1659</v>
      </c>
      <c r="D590" s="1" t="s">
        <v>1660</v>
      </c>
      <c r="E590" s="6">
        <v>19480</v>
      </c>
      <c r="F590" s="4" t="s">
        <v>131</v>
      </c>
    </row>
    <row r="591" spans="1:6" x14ac:dyDescent="0.25">
      <c r="A591" s="4" t="s">
        <v>7</v>
      </c>
      <c r="B591" s="4" t="s">
        <v>1661</v>
      </c>
      <c r="C591" s="1" t="s">
        <v>1662</v>
      </c>
      <c r="D591" s="1" t="s">
        <v>1663</v>
      </c>
      <c r="E591" s="6">
        <v>62805.19</v>
      </c>
      <c r="F591" s="4" t="s">
        <v>131</v>
      </c>
    </row>
    <row r="592" spans="1:6" x14ac:dyDescent="0.25">
      <c r="A592" s="4" t="s">
        <v>7</v>
      </c>
      <c r="B592" s="4" t="s">
        <v>1664</v>
      </c>
      <c r="C592" s="1" t="s">
        <v>1665</v>
      </c>
      <c r="D592" s="1" t="s">
        <v>1666</v>
      </c>
      <c r="E592" s="6">
        <v>3938</v>
      </c>
      <c r="F592" s="4" t="s">
        <v>131</v>
      </c>
    </row>
    <row r="593" spans="1:6" x14ac:dyDescent="0.25">
      <c r="A593" s="4" t="s">
        <v>7</v>
      </c>
      <c r="B593" s="4" t="s">
        <v>1667</v>
      </c>
      <c r="C593" s="1" t="s">
        <v>1318</v>
      </c>
      <c r="D593" s="1" t="s">
        <v>1668</v>
      </c>
      <c r="E593" s="6">
        <v>4098</v>
      </c>
      <c r="F593" s="4" t="s">
        <v>131</v>
      </c>
    </row>
    <row r="594" spans="1:6" x14ac:dyDescent="0.25">
      <c r="A594" s="4" t="s">
        <v>7</v>
      </c>
      <c r="B594" s="4" t="s">
        <v>1669</v>
      </c>
      <c r="C594" s="1" t="s">
        <v>1670</v>
      </c>
      <c r="D594" s="1" t="s">
        <v>1671</v>
      </c>
      <c r="E594" s="6">
        <v>10709</v>
      </c>
      <c r="F594" s="4" t="s">
        <v>131</v>
      </c>
    </row>
    <row r="595" spans="1:6" x14ac:dyDescent="0.25">
      <c r="A595" s="4" t="s">
        <v>7</v>
      </c>
      <c r="B595" s="4" t="s">
        <v>1672</v>
      </c>
      <c r="C595" s="1" t="s">
        <v>1673</v>
      </c>
      <c r="D595" s="1" t="s">
        <v>1674</v>
      </c>
      <c r="E595" s="6">
        <v>3958</v>
      </c>
      <c r="F595" s="4" t="s">
        <v>131</v>
      </c>
    </row>
    <row r="596" spans="1:6" x14ac:dyDescent="0.25">
      <c r="A596" s="4" t="s">
        <v>7</v>
      </c>
      <c r="B596" s="4" t="s">
        <v>1675</v>
      </c>
      <c r="C596" s="1" t="s">
        <v>1676</v>
      </c>
      <c r="D596" s="1" t="s">
        <v>1677</v>
      </c>
      <c r="E596" s="6">
        <v>9067</v>
      </c>
    </row>
    <row r="597" spans="1:6" x14ac:dyDescent="0.25">
      <c r="A597" s="4" t="s">
        <v>7</v>
      </c>
      <c r="B597" s="4" t="s">
        <v>1678</v>
      </c>
      <c r="C597" s="1" t="s">
        <v>1679</v>
      </c>
      <c r="D597" s="1" t="s">
        <v>1680</v>
      </c>
      <c r="E597" s="6">
        <v>9367</v>
      </c>
    </row>
    <row r="598" spans="1:6" x14ac:dyDescent="0.25">
      <c r="A598" s="4" t="s">
        <v>7</v>
      </c>
      <c r="B598" s="4" t="s">
        <v>1681</v>
      </c>
      <c r="C598" s="1" t="s">
        <v>1682</v>
      </c>
      <c r="D598" s="1" t="s">
        <v>1683</v>
      </c>
      <c r="E598" s="6">
        <v>12902</v>
      </c>
    </row>
    <row r="599" spans="1:6" x14ac:dyDescent="0.25">
      <c r="A599" s="4" t="s">
        <v>7</v>
      </c>
      <c r="B599" s="4" t="s">
        <v>1684</v>
      </c>
      <c r="C599" s="1" t="s">
        <v>1685</v>
      </c>
      <c r="D599" s="1" t="s">
        <v>1686</v>
      </c>
      <c r="E599" s="6">
        <v>97</v>
      </c>
      <c r="F599" s="4" t="s">
        <v>131</v>
      </c>
    </row>
    <row r="600" spans="1:6" x14ac:dyDescent="0.25">
      <c r="A600" s="4" t="s">
        <v>7</v>
      </c>
      <c r="B600" s="4" t="s">
        <v>1687</v>
      </c>
      <c r="C600" s="1" t="s">
        <v>1688</v>
      </c>
      <c r="D600" s="1" t="s">
        <v>1689</v>
      </c>
      <c r="E600" s="6">
        <v>21467</v>
      </c>
      <c r="F600" s="4" t="s">
        <v>131</v>
      </c>
    </row>
    <row r="601" spans="1:6" x14ac:dyDescent="0.25">
      <c r="A601" s="4" t="s">
        <v>7</v>
      </c>
      <c r="B601" s="4" t="s">
        <v>1690</v>
      </c>
      <c r="C601" s="1" t="s">
        <v>1691</v>
      </c>
      <c r="D601" s="1" t="s">
        <v>1692</v>
      </c>
      <c r="E601" s="6">
        <v>9310</v>
      </c>
      <c r="F601" s="4" t="s">
        <v>131</v>
      </c>
    </row>
    <row r="602" spans="1:6" x14ac:dyDescent="0.25">
      <c r="A602" s="4" t="s">
        <v>7</v>
      </c>
      <c r="B602" s="4" t="s">
        <v>1693</v>
      </c>
      <c r="C602" s="1" t="s">
        <v>1694</v>
      </c>
      <c r="D602" s="1" t="s">
        <v>1452</v>
      </c>
      <c r="E602" s="6">
        <v>955</v>
      </c>
    </row>
    <row r="603" spans="1:6" x14ac:dyDescent="0.25">
      <c r="A603" s="4" t="s">
        <v>7</v>
      </c>
      <c r="B603" s="4" t="s">
        <v>1695</v>
      </c>
      <c r="C603" s="1" t="s">
        <v>1696</v>
      </c>
      <c r="D603" s="1" t="s">
        <v>1697</v>
      </c>
      <c r="E603" s="6">
        <v>148128</v>
      </c>
    </row>
    <row r="604" spans="1:6" x14ac:dyDescent="0.25">
      <c r="A604" s="4" t="s">
        <v>7</v>
      </c>
      <c r="B604" s="4" t="s">
        <v>1698</v>
      </c>
      <c r="C604" s="1" t="s">
        <v>1699</v>
      </c>
      <c r="D604" s="1" t="s">
        <v>1700</v>
      </c>
      <c r="E604" s="6">
        <v>148624</v>
      </c>
    </row>
    <row r="605" spans="1:6" x14ac:dyDescent="0.25">
      <c r="A605" s="4" t="s">
        <v>7</v>
      </c>
      <c r="B605" s="4" t="s">
        <v>1701</v>
      </c>
      <c r="C605" s="1" t="s">
        <v>1702</v>
      </c>
      <c r="D605" s="1" t="s">
        <v>1703</v>
      </c>
      <c r="E605" s="6">
        <v>3938</v>
      </c>
      <c r="F605" s="4" t="s">
        <v>131</v>
      </c>
    </row>
    <row r="606" spans="1:6" x14ac:dyDescent="0.25">
      <c r="A606" s="4" t="s">
        <v>7</v>
      </c>
      <c r="B606" s="4" t="s">
        <v>1704</v>
      </c>
      <c r="C606" s="1" t="s">
        <v>1705</v>
      </c>
      <c r="D606" s="1" t="s">
        <v>1706</v>
      </c>
      <c r="E606" s="6">
        <v>3938</v>
      </c>
    </row>
    <row r="607" spans="1:6" x14ac:dyDescent="0.25">
      <c r="A607" s="4" t="s">
        <v>7</v>
      </c>
      <c r="B607" s="4" t="s">
        <v>1707</v>
      </c>
      <c r="C607" s="1" t="s">
        <v>1708</v>
      </c>
      <c r="D607" s="1" t="s">
        <v>1709</v>
      </c>
      <c r="E607" s="6">
        <v>882</v>
      </c>
      <c r="F607" s="4" t="s">
        <v>131</v>
      </c>
    </row>
    <row r="608" spans="1:6" x14ac:dyDescent="0.25">
      <c r="A608" s="4" t="s">
        <v>7</v>
      </c>
      <c r="B608" s="4" t="s">
        <v>1710</v>
      </c>
      <c r="C608" s="1" t="s">
        <v>1711</v>
      </c>
      <c r="D608" s="1" t="s">
        <v>1513</v>
      </c>
      <c r="E608" s="6">
        <v>21463</v>
      </c>
    </row>
    <row r="609" spans="1:6" x14ac:dyDescent="0.25">
      <c r="A609" s="4" t="s">
        <v>7</v>
      </c>
      <c r="B609" s="4" t="s">
        <v>1712</v>
      </c>
      <c r="C609" s="1" t="s">
        <v>1713</v>
      </c>
      <c r="D609" s="1" t="s">
        <v>1714</v>
      </c>
      <c r="E609" s="6">
        <v>27866</v>
      </c>
    </row>
    <row r="610" spans="1:6" x14ac:dyDescent="0.25">
      <c r="A610" s="4" t="s">
        <v>7</v>
      </c>
      <c r="B610" s="4" t="s">
        <v>1715</v>
      </c>
      <c r="C610" s="1" t="s">
        <v>1716</v>
      </c>
      <c r="D610" s="1" t="s">
        <v>1714</v>
      </c>
      <c r="E610" s="6">
        <v>13003</v>
      </c>
    </row>
    <row r="611" spans="1:6" x14ac:dyDescent="0.25">
      <c r="A611" s="4" t="s">
        <v>7</v>
      </c>
      <c r="B611" s="4" t="s">
        <v>1717</v>
      </c>
      <c r="C611" s="1" t="s">
        <v>1718</v>
      </c>
      <c r="D611" s="1" t="s">
        <v>1719</v>
      </c>
      <c r="E611" s="6">
        <v>2942</v>
      </c>
    </row>
    <row r="612" spans="1:6" x14ac:dyDescent="0.25">
      <c r="A612" s="4" t="s">
        <v>7</v>
      </c>
      <c r="B612" s="4" t="s">
        <v>1720</v>
      </c>
      <c r="C612" s="1" t="s">
        <v>1721</v>
      </c>
      <c r="D612" s="1" t="s">
        <v>1722</v>
      </c>
      <c r="E612" s="6">
        <v>21056</v>
      </c>
    </row>
    <row r="613" spans="1:6" x14ac:dyDescent="0.25">
      <c r="A613" s="4" t="s">
        <v>7</v>
      </c>
      <c r="B613" s="4" t="s">
        <v>1723</v>
      </c>
      <c r="C613" s="1" t="s">
        <v>1724</v>
      </c>
      <c r="D613" s="1" t="s">
        <v>1725</v>
      </c>
      <c r="E613" s="6">
        <v>273</v>
      </c>
      <c r="F613" s="4" t="s">
        <v>131</v>
      </c>
    </row>
    <row r="614" spans="1:6" x14ac:dyDescent="0.25">
      <c r="A614" s="4" t="s">
        <v>7</v>
      </c>
      <c r="B614" s="4" t="s">
        <v>1726</v>
      </c>
      <c r="C614" s="1" t="s">
        <v>1727</v>
      </c>
      <c r="D614" s="1" t="s">
        <v>1728</v>
      </c>
      <c r="E614" s="6">
        <v>551</v>
      </c>
    </row>
    <row r="615" spans="1:6" x14ac:dyDescent="0.25">
      <c r="A615" s="4" t="s">
        <v>7</v>
      </c>
      <c r="B615" s="4" t="s">
        <v>1729</v>
      </c>
      <c r="C615" s="1" t="s">
        <v>1730</v>
      </c>
      <c r="D615" s="1" t="s">
        <v>1728</v>
      </c>
      <c r="E615" s="6">
        <v>579</v>
      </c>
    </row>
    <row r="616" spans="1:6" x14ac:dyDescent="0.25">
      <c r="A616" s="4" t="s">
        <v>7</v>
      </c>
      <c r="B616" s="4" t="s">
        <v>1731</v>
      </c>
      <c r="C616" s="1" t="s">
        <v>1732</v>
      </c>
      <c r="D616" s="1" t="s">
        <v>1733</v>
      </c>
      <c r="E616" s="6">
        <v>15631</v>
      </c>
    </row>
    <row r="617" spans="1:6" x14ac:dyDescent="0.25">
      <c r="A617" s="4" t="s">
        <v>7</v>
      </c>
      <c r="B617" s="4" t="s">
        <v>1734</v>
      </c>
      <c r="C617" s="1" t="s">
        <v>1735</v>
      </c>
      <c r="D617" s="1" t="s">
        <v>1736</v>
      </c>
      <c r="E617" s="6">
        <v>7798</v>
      </c>
    </row>
    <row r="618" spans="1:6" x14ac:dyDescent="0.25">
      <c r="A618" s="4" t="s">
        <v>7</v>
      </c>
      <c r="B618" s="4" t="s">
        <v>1737</v>
      </c>
      <c r="C618" s="1" t="s">
        <v>1738</v>
      </c>
      <c r="D618" s="1" t="s">
        <v>1739</v>
      </c>
      <c r="E618" s="6">
        <v>8490</v>
      </c>
      <c r="F618" s="4" t="s">
        <v>131</v>
      </c>
    </row>
    <row r="619" spans="1:6" x14ac:dyDescent="0.25">
      <c r="A619" s="4" t="s">
        <v>7</v>
      </c>
      <c r="B619" s="4" t="s">
        <v>1740</v>
      </c>
      <c r="C619" s="1" t="s">
        <v>1741</v>
      </c>
      <c r="D619" s="1" t="s">
        <v>1742</v>
      </c>
      <c r="E619" s="6">
        <v>9278</v>
      </c>
    </row>
    <row r="620" spans="1:6" x14ac:dyDescent="0.25">
      <c r="A620" s="4" t="s">
        <v>7</v>
      </c>
      <c r="B620" s="4" t="s">
        <v>1743</v>
      </c>
      <c r="C620" s="1" t="s">
        <v>1744</v>
      </c>
      <c r="D620" s="1" t="s">
        <v>1745</v>
      </c>
      <c r="E620" s="6">
        <v>8490</v>
      </c>
    </row>
    <row r="621" spans="1:6" x14ac:dyDescent="0.25">
      <c r="A621" s="4" t="s">
        <v>7</v>
      </c>
      <c r="B621" s="4" t="s">
        <v>1746</v>
      </c>
      <c r="C621" s="1" t="s">
        <v>1747</v>
      </c>
      <c r="D621" s="1" t="s">
        <v>1748</v>
      </c>
      <c r="E621" s="6">
        <v>9871</v>
      </c>
    </row>
    <row r="622" spans="1:6" x14ac:dyDescent="0.25">
      <c r="A622" s="4" t="s">
        <v>7</v>
      </c>
      <c r="B622" s="4" t="s">
        <v>1749</v>
      </c>
      <c r="C622" s="1" t="s">
        <v>1750</v>
      </c>
      <c r="D622" s="1" t="s">
        <v>1751</v>
      </c>
      <c r="E622" s="6">
        <v>9419</v>
      </c>
    </row>
    <row r="623" spans="1:6" x14ac:dyDescent="0.25">
      <c r="A623" s="4" t="s">
        <v>7</v>
      </c>
      <c r="B623" s="4" t="s">
        <v>1752</v>
      </c>
      <c r="C623" s="1" t="s">
        <v>1753</v>
      </c>
      <c r="D623" s="1" t="s">
        <v>1754</v>
      </c>
      <c r="E623" s="6">
        <v>6306</v>
      </c>
    </row>
    <row r="624" spans="1:6" x14ac:dyDescent="0.25">
      <c r="A624" s="4" t="s">
        <v>7</v>
      </c>
      <c r="B624" s="4" t="s">
        <v>1755</v>
      </c>
      <c r="C624" s="1" t="s">
        <v>1756</v>
      </c>
      <c r="D624" s="1" t="s">
        <v>1757</v>
      </c>
      <c r="E624" s="6">
        <v>264</v>
      </c>
      <c r="F624" s="4" t="s">
        <v>131</v>
      </c>
    </row>
    <row r="625" spans="1:6" x14ac:dyDescent="0.25">
      <c r="A625" s="4" t="s">
        <v>7</v>
      </c>
      <c r="B625" s="4" t="s">
        <v>1758</v>
      </c>
      <c r="C625" s="1" t="s">
        <v>1759</v>
      </c>
      <c r="D625" s="1" t="s">
        <v>1412</v>
      </c>
      <c r="E625" s="6">
        <v>11137</v>
      </c>
      <c r="F625" s="4" t="s">
        <v>131</v>
      </c>
    </row>
    <row r="626" spans="1:6" x14ac:dyDescent="0.25">
      <c r="A626" s="4" t="s">
        <v>7</v>
      </c>
      <c r="B626" s="4" t="s">
        <v>1760</v>
      </c>
      <c r="C626" s="1" t="s">
        <v>1761</v>
      </c>
      <c r="D626" s="1" t="s">
        <v>1762</v>
      </c>
      <c r="E626" s="6">
        <v>14487</v>
      </c>
    </row>
    <row r="627" spans="1:6" x14ac:dyDescent="0.25">
      <c r="A627" s="4" t="s">
        <v>7</v>
      </c>
      <c r="B627" s="4" t="s">
        <v>1763</v>
      </c>
      <c r="C627" s="1" t="s">
        <v>1764</v>
      </c>
      <c r="D627" s="1" t="s">
        <v>1765</v>
      </c>
      <c r="E627" s="6">
        <v>2698</v>
      </c>
      <c r="F627" s="4" t="s">
        <v>131</v>
      </c>
    </row>
    <row r="628" spans="1:6" x14ac:dyDescent="0.25">
      <c r="A628" s="4" t="s">
        <v>7</v>
      </c>
      <c r="B628" s="4" t="s">
        <v>1766</v>
      </c>
      <c r="C628" s="1" t="s">
        <v>1767</v>
      </c>
      <c r="D628" s="1" t="s">
        <v>1768</v>
      </c>
      <c r="E628" s="6">
        <v>3913</v>
      </c>
    </row>
    <row r="629" spans="1:6" x14ac:dyDescent="0.25">
      <c r="A629" s="4" t="s">
        <v>7</v>
      </c>
      <c r="B629" s="4" t="s">
        <v>1769</v>
      </c>
      <c r="C629" s="1" t="s">
        <v>1770</v>
      </c>
      <c r="D629" s="1" t="s">
        <v>1771</v>
      </c>
      <c r="E629" s="6">
        <v>1182</v>
      </c>
      <c r="F629" s="4" t="s">
        <v>131</v>
      </c>
    </row>
    <row r="630" spans="1:6" x14ac:dyDescent="0.25">
      <c r="A630" s="4" t="s">
        <v>7</v>
      </c>
      <c r="B630" s="4" t="s">
        <v>1772</v>
      </c>
      <c r="C630" s="1" t="s">
        <v>1773</v>
      </c>
      <c r="D630" s="1" t="s">
        <v>1774</v>
      </c>
      <c r="E630" s="6">
        <v>15176</v>
      </c>
      <c r="F630" s="4" t="s">
        <v>131</v>
      </c>
    </row>
    <row r="631" spans="1:6" x14ac:dyDescent="0.25">
      <c r="A631" s="4" t="s">
        <v>7</v>
      </c>
      <c r="B631" s="4" t="s">
        <v>1775</v>
      </c>
      <c r="C631" s="1" t="s">
        <v>1776</v>
      </c>
      <c r="D631" s="1" t="s">
        <v>1777</v>
      </c>
      <c r="E631" s="6">
        <v>60</v>
      </c>
      <c r="F631" s="4" t="s">
        <v>131</v>
      </c>
    </row>
    <row r="632" spans="1:6" x14ac:dyDescent="0.25">
      <c r="A632" s="4" t="s">
        <v>7</v>
      </c>
      <c r="B632" s="4" t="s">
        <v>1778</v>
      </c>
      <c r="C632" s="1" t="s">
        <v>1779</v>
      </c>
      <c r="D632" s="1" t="s">
        <v>1780</v>
      </c>
      <c r="E632" s="6">
        <v>2998</v>
      </c>
      <c r="F632" s="4" t="s">
        <v>131</v>
      </c>
    </row>
    <row r="633" spans="1:6" x14ac:dyDescent="0.25">
      <c r="A633" s="4" t="s">
        <v>7</v>
      </c>
      <c r="B633" s="4" t="s">
        <v>1781</v>
      </c>
      <c r="C633" s="1" t="s">
        <v>1782</v>
      </c>
      <c r="D633" s="1" t="s">
        <v>1783</v>
      </c>
      <c r="E633" s="6">
        <v>1636</v>
      </c>
      <c r="F633" s="4" t="s">
        <v>131</v>
      </c>
    </row>
    <row r="634" spans="1:6" x14ac:dyDescent="0.25">
      <c r="A634" s="4" t="s">
        <v>7</v>
      </c>
      <c r="B634" s="4" t="s">
        <v>1784</v>
      </c>
      <c r="C634" s="1" t="s">
        <v>1785</v>
      </c>
      <c r="D634" s="1" t="s">
        <v>1786</v>
      </c>
      <c r="E634" s="6">
        <v>9391</v>
      </c>
      <c r="F634" s="4" t="s">
        <v>131</v>
      </c>
    </row>
    <row r="635" spans="1:6" x14ac:dyDescent="0.25">
      <c r="A635" s="4" t="s">
        <v>7</v>
      </c>
      <c r="B635" s="4" t="s">
        <v>1787</v>
      </c>
      <c r="C635" s="1" t="s">
        <v>1788</v>
      </c>
      <c r="D635" s="1" t="s">
        <v>1789</v>
      </c>
      <c r="E635" s="6">
        <v>849</v>
      </c>
      <c r="F635" s="4" t="s">
        <v>131</v>
      </c>
    </row>
    <row r="636" spans="1:6" x14ac:dyDescent="0.25">
      <c r="A636" s="4" t="s">
        <v>7</v>
      </c>
      <c r="B636" s="4" t="s">
        <v>1790</v>
      </c>
      <c r="C636" s="1" t="s">
        <v>1791</v>
      </c>
      <c r="D636" s="1" t="s">
        <v>1791</v>
      </c>
      <c r="E636" s="6">
        <v>135</v>
      </c>
      <c r="F636" s="4" t="s">
        <v>131</v>
      </c>
    </row>
    <row r="637" spans="1:6" x14ac:dyDescent="0.25">
      <c r="A637" s="4" t="s">
        <v>7</v>
      </c>
      <c r="B637" s="4" t="s">
        <v>1792</v>
      </c>
      <c r="C637" s="1" t="s">
        <v>1793</v>
      </c>
      <c r="D637" s="1" t="s">
        <v>1794</v>
      </c>
      <c r="E637" s="6">
        <v>243</v>
      </c>
      <c r="F637" s="4" t="s">
        <v>131</v>
      </c>
    </row>
    <row r="638" spans="1:6" x14ac:dyDescent="0.25">
      <c r="A638" s="4" t="s">
        <v>7</v>
      </c>
      <c r="B638" s="4" t="s">
        <v>1795</v>
      </c>
      <c r="C638" s="1" t="s">
        <v>1796</v>
      </c>
      <c r="D638" s="1" t="s">
        <v>1797</v>
      </c>
      <c r="E638" s="6">
        <v>793</v>
      </c>
      <c r="F638" s="4" t="s">
        <v>131</v>
      </c>
    </row>
    <row r="639" spans="1:6" x14ac:dyDescent="0.25">
      <c r="A639" s="4" t="s">
        <v>7</v>
      </c>
      <c r="B639" s="4" t="s">
        <v>1798</v>
      </c>
      <c r="C639" s="1" t="s">
        <v>1799</v>
      </c>
      <c r="D639" s="1" t="s">
        <v>1800</v>
      </c>
      <c r="E639" s="6">
        <v>6372</v>
      </c>
    </row>
    <row r="640" spans="1:6" x14ac:dyDescent="0.25">
      <c r="A640" s="4" t="s">
        <v>7</v>
      </c>
      <c r="B640" s="4" t="s">
        <v>1801</v>
      </c>
      <c r="C640" s="1" t="s">
        <v>1802</v>
      </c>
      <c r="D640" s="1" t="s">
        <v>1800</v>
      </c>
      <c r="E640" s="6">
        <v>783</v>
      </c>
    </row>
    <row r="641" spans="1:6" x14ac:dyDescent="0.25">
      <c r="A641" s="4" t="s">
        <v>7</v>
      </c>
      <c r="B641" s="4" t="s">
        <v>1803</v>
      </c>
      <c r="C641" s="1" t="s">
        <v>1804</v>
      </c>
      <c r="D641" s="1" t="s">
        <v>1804</v>
      </c>
      <c r="E641" s="6">
        <v>2552</v>
      </c>
      <c r="F641" s="4" t="s">
        <v>131</v>
      </c>
    </row>
    <row r="642" spans="1:6" x14ac:dyDescent="0.25">
      <c r="A642" s="4" t="s">
        <v>7</v>
      </c>
      <c r="B642" s="4" t="s">
        <v>1805</v>
      </c>
      <c r="C642" s="1" t="s">
        <v>1806</v>
      </c>
      <c r="D642" s="1" t="s">
        <v>1807</v>
      </c>
      <c r="E642" s="6">
        <v>6448</v>
      </c>
    </row>
    <row r="643" spans="1:6" x14ac:dyDescent="0.25">
      <c r="A643" s="4" t="s">
        <v>7</v>
      </c>
      <c r="B643" s="4" t="s">
        <v>1808</v>
      </c>
      <c r="C643" s="1" t="s">
        <v>1809</v>
      </c>
      <c r="D643" s="1" t="s">
        <v>1810</v>
      </c>
      <c r="E643" s="6">
        <v>783</v>
      </c>
    </row>
    <row r="644" spans="1:6" x14ac:dyDescent="0.25">
      <c r="A644" s="4" t="s">
        <v>7</v>
      </c>
      <c r="B644" s="4" t="s">
        <v>1811</v>
      </c>
      <c r="C644" s="1" t="s">
        <v>1812</v>
      </c>
      <c r="D644" s="1" t="s">
        <v>1813</v>
      </c>
      <c r="E644" s="6">
        <v>10222</v>
      </c>
    </row>
    <row r="645" spans="1:6" x14ac:dyDescent="0.25">
      <c r="A645" s="4" t="s">
        <v>7</v>
      </c>
      <c r="B645" s="4" t="s">
        <v>1814</v>
      </c>
      <c r="C645" s="1" t="s">
        <v>1815</v>
      </c>
      <c r="D645" s="1" t="s">
        <v>1816</v>
      </c>
      <c r="E645" s="6">
        <v>9311</v>
      </c>
    </row>
    <row r="646" spans="1:6" x14ac:dyDescent="0.25">
      <c r="A646" s="4" t="s">
        <v>7</v>
      </c>
      <c r="B646" s="4" t="s">
        <v>1817</v>
      </c>
      <c r="C646" s="1" t="s">
        <v>1818</v>
      </c>
      <c r="D646" s="1" t="s">
        <v>1819</v>
      </c>
      <c r="E646" s="6">
        <v>5439</v>
      </c>
      <c r="F646" s="4" t="s">
        <v>131</v>
      </c>
    </row>
    <row r="647" spans="1:6" x14ac:dyDescent="0.25">
      <c r="A647" s="4" t="s">
        <v>7</v>
      </c>
      <c r="B647" s="4" t="s">
        <v>1820</v>
      </c>
      <c r="C647" s="1" t="s">
        <v>1821</v>
      </c>
      <c r="D647" s="1" t="s">
        <v>1822</v>
      </c>
      <c r="E647" s="6">
        <v>1872</v>
      </c>
      <c r="F647" s="4" t="s">
        <v>131</v>
      </c>
    </row>
    <row r="648" spans="1:6" x14ac:dyDescent="0.25">
      <c r="A648" s="4" t="s">
        <v>7</v>
      </c>
      <c r="B648" s="4" t="s">
        <v>1823</v>
      </c>
      <c r="C648" s="1" t="s">
        <v>1824</v>
      </c>
      <c r="D648" s="1" t="s">
        <v>1825</v>
      </c>
      <c r="E648" s="6">
        <v>127</v>
      </c>
    </row>
    <row r="649" spans="1:6" x14ac:dyDescent="0.25">
      <c r="A649" s="4" t="s">
        <v>7</v>
      </c>
      <c r="B649" s="4" t="s">
        <v>1826</v>
      </c>
      <c r="C649" s="1" t="s">
        <v>1827</v>
      </c>
      <c r="D649" s="1" t="s">
        <v>1828</v>
      </c>
      <c r="E649" s="6">
        <v>188</v>
      </c>
    </row>
    <row r="650" spans="1:6" x14ac:dyDescent="0.25">
      <c r="A650" s="4" t="s">
        <v>7</v>
      </c>
      <c r="B650" s="4" t="s">
        <v>1829</v>
      </c>
      <c r="C650" s="1" t="s">
        <v>1830</v>
      </c>
      <c r="D650" s="1" t="s">
        <v>1830</v>
      </c>
      <c r="E650" s="6">
        <v>104</v>
      </c>
    </row>
    <row r="651" spans="1:6" x14ac:dyDescent="0.25">
      <c r="A651" s="4" t="s">
        <v>7</v>
      </c>
      <c r="B651" s="4" t="s">
        <v>1831</v>
      </c>
      <c r="C651" s="1" t="s">
        <v>1832</v>
      </c>
      <c r="D651" s="1" t="s">
        <v>1833</v>
      </c>
      <c r="E651" s="6">
        <v>56</v>
      </c>
    </row>
    <row r="652" spans="1:6" x14ac:dyDescent="0.25">
      <c r="A652" s="4" t="s">
        <v>7</v>
      </c>
      <c r="B652" s="4" t="s">
        <v>1834</v>
      </c>
      <c r="C652" s="1" t="s">
        <v>1835</v>
      </c>
      <c r="D652" s="1" t="s">
        <v>1835</v>
      </c>
      <c r="E652" s="6">
        <v>46</v>
      </c>
    </row>
    <row r="653" spans="1:6" x14ac:dyDescent="0.25">
      <c r="A653" s="4" t="s">
        <v>7</v>
      </c>
      <c r="B653" s="4" t="s">
        <v>1836</v>
      </c>
      <c r="C653" s="1" t="s">
        <v>1837</v>
      </c>
      <c r="D653" s="1" t="s">
        <v>1838</v>
      </c>
      <c r="E653" s="6">
        <v>56</v>
      </c>
    </row>
    <row r="654" spans="1:6" x14ac:dyDescent="0.25">
      <c r="A654" s="4" t="s">
        <v>7</v>
      </c>
      <c r="B654" s="4" t="s">
        <v>1839</v>
      </c>
      <c r="C654" s="1" t="s">
        <v>1840</v>
      </c>
      <c r="D654" s="1" t="s">
        <v>1841</v>
      </c>
      <c r="E654" s="6">
        <v>104</v>
      </c>
    </row>
    <row r="655" spans="1:6" x14ac:dyDescent="0.25">
      <c r="A655" s="4" t="s">
        <v>7</v>
      </c>
      <c r="B655" s="4" t="s">
        <v>1842</v>
      </c>
      <c r="C655" s="1" t="s">
        <v>1843</v>
      </c>
      <c r="D655" s="1" t="s">
        <v>1844</v>
      </c>
      <c r="E655" s="6">
        <v>93</v>
      </c>
    </row>
    <row r="656" spans="1:6" x14ac:dyDescent="0.25">
      <c r="A656" s="4" t="s">
        <v>7</v>
      </c>
      <c r="B656" s="4" t="s">
        <v>1845</v>
      </c>
      <c r="C656" s="1" t="s">
        <v>1846</v>
      </c>
      <c r="D656" s="1" t="s">
        <v>1847</v>
      </c>
      <c r="E656" s="6">
        <v>588</v>
      </c>
    </row>
    <row r="657" spans="1:5" x14ac:dyDescent="0.25">
      <c r="A657" s="4" t="s">
        <v>7</v>
      </c>
      <c r="B657" s="4" t="s">
        <v>1848</v>
      </c>
      <c r="C657" s="1" t="s">
        <v>1849</v>
      </c>
      <c r="D657" s="1" t="s">
        <v>1850</v>
      </c>
      <c r="E657" s="6">
        <v>269</v>
      </c>
    </row>
    <row r="658" spans="1:5" x14ac:dyDescent="0.25">
      <c r="A658" s="4" t="s">
        <v>7</v>
      </c>
      <c r="B658" s="4" t="s">
        <v>1851</v>
      </c>
      <c r="C658" s="1" t="s">
        <v>1852</v>
      </c>
      <c r="D658" s="1" t="s">
        <v>1852</v>
      </c>
      <c r="E658" s="6">
        <v>590</v>
      </c>
    </row>
    <row r="659" spans="1:5" x14ac:dyDescent="0.25">
      <c r="A659" s="4" t="s">
        <v>7</v>
      </c>
      <c r="B659" s="4" t="s">
        <v>1853</v>
      </c>
      <c r="C659" s="1" t="s">
        <v>1852</v>
      </c>
      <c r="D659" s="1" t="s">
        <v>1852</v>
      </c>
      <c r="E659" s="6">
        <v>162</v>
      </c>
    </row>
    <row r="660" spans="1:5" x14ac:dyDescent="0.25">
      <c r="A660" s="4" t="s">
        <v>7</v>
      </c>
      <c r="B660" s="4" t="s">
        <v>1854</v>
      </c>
      <c r="C660" s="1" t="s">
        <v>1855</v>
      </c>
      <c r="D660" s="1" t="s">
        <v>1856</v>
      </c>
      <c r="E660" s="6">
        <v>231</v>
      </c>
    </row>
    <row r="661" spans="1:5" x14ac:dyDescent="0.25">
      <c r="A661" s="4" t="s">
        <v>7</v>
      </c>
      <c r="B661" s="4" t="s">
        <v>1857</v>
      </c>
      <c r="C661" s="1" t="s">
        <v>1858</v>
      </c>
      <c r="D661" s="1" t="s">
        <v>1858</v>
      </c>
      <c r="E661" s="6">
        <v>143</v>
      </c>
    </row>
    <row r="662" spans="1:5" x14ac:dyDescent="0.25">
      <c r="A662" s="4" t="s">
        <v>7</v>
      </c>
      <c r="B662" s="4" t="s">
        <v>1859</v>
      </c>
      <c r="C662" s="1" t="s">
        <v>1860</v>
      </c>
      <c r="D662" s="1" t="s">
        <v>1861</v>
      </c>
      <c r="E662" s="6">
        <v>71</v>
      </c>
    </row>
    <row r="663" spans="1:5" x14ac:dyDescent="0.25">
      <c r="A663" s="4" t="s">
        <v>7</v>
      </c>
      <c r="B663" s="4" t="s">
        <v>1862</v>
      </c>
      <c r="C663" s="1" t="s">
        <v>1863</v>
      </c>
      <c r="D663" s="1" t="s">
        <v>1864</v>
      </c>
      <c r="E663" s="6">
        <v>151</v>
      </c>
    </row>
    <row r="664" spans="1:5" x14ac:dyDescent="0.25">
      <c r="A664" s="4" t="s">
        <v>7</v>
      </c>
      <c r="B664" s="4" t="s">
        <v>1865</v>
      </c>
      <c r="C664" s="1" t="s">
        <v>1866</v>
      </c>
      <c r="D664" s="1" t="s">
        <v>1867</v>
      </c>
      <c r="E664" s="6">
        <v>35</v>
      </c>
    </row>
    <row r="665" spans="1:5" x14ac:dyDescent="0.25">
      <c r="A665" s="4" t="s">
        <v>7</v>
      </c>
      <c r="B665" s="4" t="s">
        <v>1868</v>
      </c>
      <c r="C665" s="1" t="s">
        <v>1869</v>
      </c>
      <c r="D665" s="1" t="s">
        <v>1864</v>
      </c>
      <c r="E665" s="6">
        <v>151</v>
      </c>
    </row>
    <row r="666" spans="1:5" x14ac:dyDescent="0.25">
      <c r="A666" s="4" t="s">
        <v>7</v>
      </c>
      <c r="B666" s="4" t="s">
        <v>1870</v>
      </c>
      <c r="C666" s="1" t="s">
        <v>1871</v>
      </c>
      <c r="D666" s="1" t="s">
        <v>1871</v>
      </c>
      <c r="E666" s="6">
        <v>32</v>
      </c>
    </row>
    <row r="667" spans="1:5" x14ac:dyDescent="0.25">
      <c r="A667" s="4" t="s">
        <v>7</v>
      </c>
      <c r="B667" s="4" t="s">
        <v>1872</v>
      </c>
      <c r="C667" s="1" t="s">
        <v>1873</v>
      </c>
      <c r="D667" s="1" t="s">
        <v>1864</v>
      </c>
      <c r="E667" s="6">
        <v>151</v>
      </c>
    </row>
    <row r="668" spans="1:5" x14ac:dyDescent="0.25">
      <c r="A668" s="4" t="s">
        <v>7</v>
      </c>
      <c r="B668" s="4" t="s">
        <v>1874</v>
      </c>
      <c r="C668" s="1" t="s">
        <v>1875</v>
      </c>
      <c r="D668" s="1" t="s">
        <v>1875</v>
      </c>
      <c r="E668" s="6">
        <v>40</v>
      </c>
    </row>
    <row r="669" spans="1:5" x14ac:dyDescent="0.25">
      <c r="A669" s="4" t="s">
        <v>7</v>
      </c>
      <c r="B669" s="4" t="s">
        <v>1876</v>
      </c>
      <c r="C669" s="1" t="s">
        <v>1877</v>
      </c>
      <c r="D669" s="1" t="s">
        <v>1877</v>
      </c>
      <c r="E669" s="6">
        <v>32</v>
      </c>
    </row>
    <row r="670" spans="1:5" x14ac:dyDescent="0.25">
      <c r="A670" s="4" t="s">
        <v>7</v>
      </c>
      <c r="B670" s="4" t="s">
        <v>1878</v>
      </c>
      <c r="C670" s="1" t="s">
        <v>1879</v>
      </c>
      <c r="D670" s="1" t="s">
        <v>1880</v>
      </c>
      <c r="E670" s="6">
        <v>27</v>
      </c>
    </row>
    <row r="671" spans="1:5" x14ac:dyDescent="0.25">
      <c r="A671" s="4" t="s">
        <v>7</v>
      </c>
      <c r="B671" s="4" t="s">
        <v>1881</v>
      </c>
      <c r="C671" s="1" t="s">
        <v>1882</v>
      </c>
      <c r="D671" s="1" t="s">
        <v>1883</v>
      </c>
      <c r="E671" s="6">
        <v>27</v>
      </c>
    </row>
    <row r="672" spans="1:5" x14ac:dyDescent="0.25">
      <c r="A672" s="4" t="s">
        <v>7</v>
      </c>
      <c r="B672" s="4" t="s">
        <v>1884</v>
      </c>
      <c r="C672" s="1" t="s">
        <v>1885</v>
      </c>
      <c r="D672" s="1" t="s">
        <v>1886</v>
      </c>
      <c r="E672" s="6">
        <v>79</v>
      </c>
    </row>
    <row r="673" spans="1:5" x14ac:dyDescent="0.25">
      <c r="A673" s="4" t="s">
        <v>7</v>
      </c>
      <c r="B673" s="4" t="s">
        <v>1887</v>
      </c>
      <c r="C673" s="1" t="s">
        <v>1888</v>
      </c>
      <c r="D673" s="1" t="s">
        <v>1888</v>
      </c>
      <c r="E673" s="6">
        <v>19</v>
      </c>
    </row>
    <row r="674" spans="1:5" x14ac:dyDescent="0.25">
      <c r="A674" s="4" t="s">
        <v>7</v>
      </c>
      <c r="B674" s="4" t="s">
        <v>1889</v>
      </c>
      <c r="C674" s="1" t="s">
        <v>1890</v>
      </c>
      <c r="D674" s="1" t="s">
        <v>1891</v>
      </c>
      <c r="E674" s="6">
        <v>26</v>
      </c>
    </row>
    <row r="675" spans="1:5" x14ac:dyDescent="0.25">
      <c r="A675" s="4" t="s">
        <v>7</v>
      </c>
      <c r="B675" s="4" t="s">
        <v>1892</v>
      </c>
      <c r="C675" s="1" t="s">
        <v>1893</v>
      </c>
      <c r="D675" s="1" t="s">
        <v>1894</v>
      </c>
      <c r="E675" s="6">
        <v>24</v>
      </c>
    </row>
    <row r="676" spans="1:5" x14ac:dyDescent="0.25">
      <c r="A676" s="4" t="s">
        <v>7</v>
      </c>
      <c r="B676" s="4" t="s">
        <v>1895</v>
      </c>
      <c r="C676" s="1" t="s">
        <v>1896</v>
      </c>
      <c r="D676" s="1" t="s">
        <v>1897</v>
      </c>
      <c r="E676" s="6">
        <v>40</v>
      </c>
    </row>
    <row r="677" spans="1:5" x14ac:dyDescent="0.25">
      <c r="A677" s="4" t="s">
        <v>7</v>
      </c>
      <c r="B677" s="4" t="s">
        <v>1898</v>
      </c>
      <c r="C677" s="1" t="s">
        <v>1899</v>
      </c>
      <c r="D677" s="1" t="s">
        <v>1900</v>
      </c>
      <c r="E677" s="6">
        <v>41</v>
      </c>
    </row>
    <row r="678" spans="1:5" x14ac:dyDescent="0.25">
      <c r="A678" s="4" t="s">
        <v>7</v>
      </c>
      <c r="B678" s="4" t="s">
        <v>1901</v>
      </c>
      <c r="C678" s="1" t="s">
        <v>1902</v>
      </c>
      <c r="D678" s="1" t="s">
        <v>1903</v>
      </c>
      <c r="E678" s="6">
        <v>19</v>
      </c>
    </row>
    <row r="679" spans="1:5" x14ac:dyDescent="0.25">
      <c r="A679" s="4" t="s">
        <v>7</v>
      </c>
      <c r="B679" s="4" t="s">
        <v>1904</v>
      </c>
      <c r="C679" s="1" t="s">
        <v>1905</v>
      </c>
      <c r="D679" s="1" t="s">
        <v>1906</v>
      </c>
      <c r="E679" s="6">
        <v>41</v>
      </c>
    </row>
    <row r="680" spans="1:5" x14ac:dyDescent="0.25">
      <c r="A680" s="4" t="s">
        <v>7</v>
      </c>
      <c r="B680" s="4" t="s">
        <v>1907</v>
      </c>
      <c r="C680" s="1" t="s">
        <v>1908</v>
      </c>
      <c r="D680" s="1" t="s">
        <v>1909</v>
      </c>
      <c r="E680" s="6">
        <v>41</v>
      </c>
    </row>
    <row r="681" spans="1:5" x14ac:dyDescent="0.25">
      <c r="A681" s="4" t="s">
        <v>7</v>
      </c>
      <c r="B681" s="4" t="s">
        <v>1910</v>
      </c>
      <c r="C681" s="1" t="s">
        <v>1911</v>
      </c>
      <c r="D681" s="1" t="s">
        <v>1911</v>
      </c>
      <c r="E681" s="6">
        <v>115</v>
      </c>
    </row>
    <row r="682" spans="1:5" x14ac:dyDescent="0.25">
      <c r="A682" s="4" t="s">
        <v>7</v>
      </c>
      <c r="B682" s="4" t="s">
        <v>1912</v>
      </c>
      <c r="C682" s="1" t="s">
        <v>1913</v>
      </c>
      <c r="D682" s="1" t="s">
        <v>1913</v>
      </c>
      <c r="E682" s="6">
        <v>104</v>
      </c>
    </row>
    <row r="683" spans="1:5" x14ac:dyDescent="0.25">
      <c r="A683" s="4" t="s">
        <v>7</v>
      </c>
      <c r="B683" s="4" t="s">
        <v>1914</v>
      </c>
      <c r="C683" s="1" t="s">
        <v>1915</v>
      </c>
      <c r="D683" s="1" t="s">
        <v>1915</v>
      </c>
      <c r="E683" s="6">
        <v>43</v>
      </c>
    </row>
    <row r="684" spans="1:5" x14ac:dyDescent="0.25">
      <c r="A684" s="4" t="s">
        <v>7</v>
      </c>
      <c r="B684" s="4" t="s">
        <v>1916</v>
      </c>
      <c r="C684" s="1" t="s">
        <v>1917</v>
      </c>
      <c r="D684" s="1" t="s">
        <v>1917</v>
      </c>
      <c r="E684" s="6">
        <v>41</v>
      </c>
    </row>
    <row r="685" spans="1:5" x14ac:dyDescent="0.25">
      <c r="A685" s="4" t="s">
        <v>7</v>
      </c>
      <c r="B685" s="4" t="s">
        <v>1918</v>
      </c>
      <c r="C685" s="1" t="s">
        <v>1919</v>
      </c>
      <c r="D685" s="1" t="s">
        <v>1920</v>
      </c>
      <c r="E685" s="6">
        <v>29</v>
      </c>
    </row>
    <row r="686" spans="1:5" x14ac:dyDescent="0.25">
      <c r="A686" s="4" t="s">
        <v>7</v>
      </c>
      <c r="B686" s="4" t="s">
        <v>1921</v>
      </c>
      <c r="C686" s="1" t="s">
        <v>1922</v>
      </c>
      <c r="D686" s="1" t="s">
        <v>1923</v>
      </c>
      <c r="E686" s="6">
        <v>52.1</v>
      </c>
    </row>
    <row r="687" spans="1:5" x14ac:dyDescent="0.25">
      <c r="A687" s="4" t="s">
        <v>7</v>
      </c>
      <c r="B687" s="4" t="s">
        <v>1924</v>
      </c>
      <c r="C687" s="1" t="s">
        <v>1925</v>
      </c>
      <c r="D687" s="1" t="s">
        <v>1926</v>
      </c>
      <c r="E687" s="6">
        <v>32</v>
      </c>
    </row>
    <row r="688" spans="1:5" x14ac:dyDescent="0.25">
      <c r="A688" s="4" t="s">
        <v>7</v>
      </c>
      <c r="B688" s="4" t="s">
        <v>1927</v>
      </c>
      <c r="C688" s="1" t="s">
        <v>1928</v>
      </c>
      <c r="D688" s="1" t="s">
        <v>1929</v>
      </c>
      <c r="E688" s="6">
        <v>28</v>
      </c>
    </row>
    <row r="689" spans="1:5" x14ac:dyDescent="0.25">
      <c r="A689" s="4" t="s">
        <v>7</v>
      </c>
      <c r="B689" s="4" t="s">
        <v>1930</v>
      </c>
      <c r="C689" s="1" t="s">
        <v>1931</v>
      </c>
      <c r="D689" s="1" t="s">
        <v>1931</v>
      </c>
      <c r="E689" s="6">
        <v>372</v>
      </c>
    </row>
    <row r="690" spans="1:5" x14ac:dyDescent="0.25">
      <c r="A690" s="4" t="s">
        <v>7</v>
      </c>
      <c r="B690" s="4" t="s">
        <v>1932</v>
      </c>
      <c r="C690" s="1" t="s">
        <v>1933</v>
      </c>
      <c r="D690" s="1" t="s">
        <v>1934</v>
      </c>
      <c r="E690" s="6">
        <v>35</v>
      </c>
    </row>
    <row r="691" spans="1:5" x14ac:dyDescent="0.25">
      <c r="A691" s="4" t="s">
        <v>7</v>
      </c>
      <c r="B691" s="4" t="s">
        <v>1935</v>
      </c>
      <c r="C691" s="1" t="s">
        <v>1936</v>
      </c>
      <c r="D691" s="1" t="s">
        <v>1937</v>
      </c>
      <c r="E691" s="6">
        <v>517</v>
      </c>
    </row>
    <row r="692" spans="1:5" x14ac:dyDescent="0.25">
      <c r="A692" s="4" t="s">
        <v>7</v>
      </c>
      <c r="B692" s="4" t="s">
        <v>1938</v>
      </c>
      <c r="C692" s="1" t="s">
        <v>1939</v>
      </c>
      <c r="D692" s="1" t="s">
        <v>1940</v>
      </c>
      <c r="E692" s="6">
        <v>41</v>
      </c>
    </row>
    <row r="693" spans="1:5" x14ac:dyDescent="0.25">
      <c r="A693" s="4" t="s">
        <v>7</v>
      </c>
      <c r="B693" s="4" t="s">
        <v>1941</v>
      </c>
      <c r="C693" s="1" t="s">
        <v>1942</v>
      </c>
      <c r="D693" s="1" t="s">
        <v>1943</v>
      </c>
      <c r="E693" s="6">
        <v>72</v>
      </c>
    </row>
    <row r="694" spans="1:5" x14ac:dyDescent="0.25">
      <c r="A694" s="4" t="s">
        <v>7</v>
      </c>
      <c r="B694" s="4" t="s">
        <v>1944</v>
      </c>
      <c r="C694" s="1" t="s">
        <v>1945</v>
      </c>
      <c r="D694" s="1" t="s">
        <v>1945</v>
      </c>
      <c r="E694" s="6">
        <v>36</v>
      </c>
    </row>
    <row r="695" spans="1:5" x14ac:dyDescent="0.25">
      <c r="A695" s="4" t="s">
        <v>7</v>
      </c>
      <c r="B695" s="4" t="s">
        <v>1946</v>
      </c>
      <c r="C695" s="1" t="s">
        <v>1947</v>
      </c>
      <c r="D695" s="1" t="s">
        <v>1948</v>
      </c>
      <c r="E695" s="6">
        <v>243</v>
      </c>
    </row>
    <row r="696" spans="1:5" x14ac:dyDescent="0.25">
      <c r="A696" s="4" t="s">
        <v>7</v>
      </c>
      <c r="B696" s="4" t="s">
        <v>1949</v>
      </c>
      <c r="C696" s="1" t="s">
        <v>1950</v>
      </c>
      <c r="D696" s="1" t="s">
        <v>1950</v>
      </c>
      <c r="E696" s="6">
        <v>33</v>
      </c>
    </row>
    <row r="697" spans="1:5" x14ac:dyDescent="0.25">
      <c r="A697" s="4" t="s">
        <v>7</v>
      </c>
      <c r="B697" s="4" t="s">
        <v>1951</v>
      </c>
      <c r="C697" s="1" t="s">
        <v>1952</v>
      </c>
      <c r="D697" s="1" t="s">
        <v>1953</v>
      </c>
      <c r="E697" s="6">
        <v>31</v>
      </c>
    </row>
    <row r="698" spans="1:5" x14ac:dyDescent="0.25">
      <c r="A698" s="4" t="s">
        <v>7</v>
      </c>
      <c r="B698" s="4" t="s">
        <v>1954</v>
      </c>
      <c r="C698" s="1" t="s">
        <v>1955</v>
      </c>
      <c r="D698" s="1" t="s">
        <v>1956</v>
      </c>
      <c r="E698" s="6">
        <v>30</v>
      </c>
    </row>
    <row r="699" spans="1:5" x14ac:dyDescent="0.25">
      <c r="A699" s="4" t="s">
        <v>7</v>
      </c>
      <c r="B699" s="4" t="s">
        <v>1957</v>
      </c>
      <c r="C699" s="1" t="s">
        <v>1958</v>
      </c>
      <c r="D699" s="1" t="s">
        <v>1959</v>
      </c>
      <c r="E699" s="6">
        <v>41</v>
      </c>
    </row>
    <row r="700" spans="1:5" x14ac:dyDescent="0.25">
      <c r="A700" s="4" t="s">
        <v>7</v>
      </c>
      <c r="B700" s="4" t="s">
        <v>1960</v>
      </c>
      <c r="C700" s="1" t="s">
        <v>1961</v>
      </c>
      <c r="D700" s="1" t="s">
        <v>1962</v>
      </c>
      <c r="E700" s="6">
        <v>34</v>
      </c>
    </row>
    <row r="701" spans="1:5" x14ac:dyDescent="0.25">
      <c r="A701" s="4" t="s">
        <v>7</v>
      </c>
      <c r="B701" s="4" t="s">
        <v>1963</v>
      </c>
      <c r="C701" s="1" t="s">
        <v>1964</v>
      </c>
      <c r="D701" s="1" t="s">
        <v>1964</v>
      </c>
      <c r="E701" s="6">
        <v>41</v>
      </c>
    </row>
    <row r="702" spans="1:5" x14ac:dyDescent="0.25">
      <c r="A702" s="4" t="s">
        <v>7</v>
      </c>
      <c r="B702" s="4" t="s">
        <v>1965</v>
      </c>
      <c r="C702" s="1" t="s">
        <v>1966</v>
      </c>
      <c r="D702" s="1" t="s">
        <v>1966</v>
      </c>
      <c r="E702" s="6">
        <v>44</v>
      </c>
    </row>
    <row r="703" spans="1:5" x14ac:dyDescent="0.25">
      <c r="A703" s="4" t="s">
        <v>7</v>
      </c>
      <c r="B703" s="4" t="s">
        <v>1967</v>
      </c>
      <c r="C703" s="1" t="s">
        <v>1968</v>
      </c>
      <c r="D703" s="1" t="s">
        <v>1968</v>
      </c>
      <c r="E703" s="6">
        <v>175</v>
      </c>
    </row>
    <row r="704" spans="1:5" x14ac:dyDescent="0.25">
      <c r="A704" s="4" t="s">
        <v>7</v>
      </c>
      <c r="B704" s="4" t="s">
        <v>1969</v>
      </c>
      <c r="C704" s="1" t="s">
        <v>1970</v>
      </c>
      <c r="D704" s="1" t="s">
        <v>1971</v>
      </c>
      <c r="E704" s="6">
        <v>18</v>
      </c>
    </row>
    <row r="705" spans="1:5" x14ac:dyDescent="0.25">
      <c r="A705" s="4" t="s">
        <v>7</v>
      </c>
      <c r="B705" s="4" t="s">
        <v>1972</v>
      </c>
      <c r="C705" s="1" t="s">
        <v>1973</v>
      </c>
      <c r="D705" s="1" t="s">
        <v>1973</v>
      </c>
      <c r="E705" s="6">
        <v>22</v>
      </c>
    </row>
    <row r="706" spans="1:5" x14ac:dyDescent="0.25">
      <c r="A706" s="4" t="s">
        <v>7</v>
      </c>
      <c r="B706" s="4" t="s">
        <v>1974</v>
      </c>
      <c r="C706" s="1" t="s">
        <v>1975</v>
      </c>
      <c r="D706" s="1" t="s">
        <v>1975</v>
      </c>
      <c r="E706" s="6">
        <v>58</v>
      </c>
    </row>
    <row r="707" spans="1:5" x14ac:dyDescent="0.25">
      <c r="A707" s="4" t="s">
        <v>7</v>
      </c>
      <c r="B707" s="4" t="s">
        <v>1976</v>
      </c>
      <c r="C707" s="1" t="s">
        <v>1977</v>
      </c>
      <c r="D707" s="1" t="s">
        <v>1977</v>
      </c>
      <c r="E707" s="6">
        <v>29</v>
      </c>
    </row>
    <row r="708" spans="1:5" x14ac:dyDescent="0.25">
      <c r="A708" s="4" t="s">
        <v>7</v>
      </c>
      <c r="B708" s="4" t="s">
        <v>1978</v>
      </c>
      <c r="C708" s="1" t="s">
        <v>1979</v>
      </c>
      <c r="D708" s="1" t="s">
        <v>1979</v>
      </c>
      <c r="E708" s="6">
        <v>16</v>
      </c>
    </row>
    <row r="709" spans="1:5" x14ac:dyDescent="0.25">
      <c r="A709" s="4" t="s">
        <v>7</v>
      </c>
      <c r="B709" s="4" t="s">
        <v>1980</v>
      </c>
      <c r="C709" s="1" t="s">
        <v>1981</v>
      </c>
      <c r="D709" s="1" t="s">
        <v>1981</v>
      </c>
      <c r="E709" s="6">
        <v>19</v>
      </c>
    </row>
    <row r="710" spans="1:5" x14ac:dyDescent="0.25">
      <c r="A710" s="4" t="s">
        <v>7</v>
      </c>
      <c r="B710" s="4" t="s">
        <v>1982</v>
      </c>
      <c r="C710" s="1" t="s">
        <v>1983</v>
      </c>
      <c r="D710" s="1" t="s">
        <v>1983</v>
      </c>
      <c r="E710" s="6">
        <v>19</v>
      </c>
    </row>
    <row r="711" spans="1:5" x14ac:dyDescent="0.25">
      <c r="A711" s="4" t="s">
        <v>7</v>
      </c>
      <c r="B711" s="4" t="s">
        <v>1984</v>
      </c>
      <c r="C711" s="1" t="s">
        <v>1985</v>
      </c>
      <c r="D711" s="1" t="s">
        <v>1986</v>
      </c>
      <c r="E711" s="6">
        <v>34</v>
      </c>
    </row>
    <row r="712" spans="1:5" x14ac:dyDescent="0.25">
      <c r="A712" s="4" t="s">
        <v>7</v>
      </c>
      <c r="B712" s="4" t="s">
        <v>1987</v>
      </c>
      <c r="C712" s="1" t="s">
        <v>1988</v>
      </c>
      <c r="D712" s="1" t="s">
        <v>1989</v>
      </c>
      <c r="E712" s="6">
        <v>597</v>
      </c>
    </row>
    <row r="713" spans="1:5" x14ac:dyDescent="0.25">
      <c r="A713" s="4" t="s">
        <v>7</v>
      </c>
      <c r="B713" s="4" t="s">
        <v>1990</v>
      </c>
      <c r="C713" s="1" t="s">
        <v>1991</v>
      </c>
      <c r="D713" s="1" t="s">
        <v>1991</v>
      </c>
      <c r="E713" s="6">
        <v>31</v>
      </c>
    </row>
    <row r="714" spans="1:5" x14ac:dyDescent="0.25">
      <c r="A714" s="4" t="s">
        <v>7</v>
      </c>
      <c r="B714" s="4" t="s">
        <v>1992</v>
      </c>
      <c r="C714" s="1" t="s">
        <v>1993</v>
      </c>
      <c r="D714" s="1" t="s">
        <v>1993</v>
      </c>
      <c r="E714" s="6">
        <v>34</v>
      </c>
    </row>
    <row r="715" spans="1:5" x14ac:dyDescent="0.25">
      <c r="A715" s="4" t="s">
        <v>7</v>
      </c>
      <c r="B715" s="4" t="s">
        <v>1994</v>
      </c>
      <c r="C715" s="1" t="s">
        <v>1995</v>
      </c>
      <c r="D715" s="1" t="s">
        <v>1996</v>
      </c>
      <c r="E715" s="6">
        <v>24</v>
      </c>
    </row>
    <row r="716" spans="1:5" x14ac:dyDescent="0.25">
      <c r="A716" s="4" t="s">
        <v>7</v>
      </c>
      <c r="B716" s="4" t="s">
        <v>1997</v>
      </c>
      <c r="C716" s="1" t="s">
        <v>1998</v>
      </c>
      <c r="D716" s="1" t="s">
        <v>1998</v>
      </c>
      <c r="E716" s="6">
        <v>49</v>
      </c>
    </row>
    <row r="717" spans="1:5" x14ac:dyDescent="0.25">
      <c r="A717" s="4" t="s">
        <v>7</v>
      </c>
      <c r="B717" s="4" t="s">
        <v>1999</v>
      </c>
      <c r="C717" s="1" t="s">
        <v>2000</v>
      </c>
      <c r="D717" s="1" t="s">
        <v>2001</v>
      </c>
      <c r="E717" s="6">
        <v>94</v>
      </c>
    </row>
    <row r="718" spans="1:5" x14ac:dyDescent="0.25">
      <c r="A718" s="4" t="s">
        <v>7</v>
      </c>
      <c r="B718" s="4" t="s">
        <v>2002</v>
      </c>
      <c r="C718" s="1" t="s">
        <v>2003</v>
      </c>
      <c r="D718" s="1" t="s">
        <v>2004</v>
      </c>
      <c r="E718" s="6">
        <v>31</v>
      </c>
    </row>
    <row r="719" spans="1:5" x14ac:dyDescent="0.25">
      <c r="A719" s="4" t="s">
        <v>7</v>
      </c>
      <c r="B719" s="4" t="s">
        <v>2005</v>
      </c>
      <c r="C719" s="1" t="s">
        <v>2006</v>
      </c>
      <c r="D719" s="1" t="s">
        <v>2007</v>
      </c>
      <c r="E719" s="6">
        <v>25</v>
      </c>
    </row>
    <row r="720" spans="1:5" x14ac:dyDescent="0.25">
      <c r="A720" s="4" t="s">
        <v>7</v>
      </c>
      <c r="B720" s="4" t="s">
        <v>2008</v>
      </c>
      <c r="C720" s="1" t="s">
        <v>2009</v>
      </c>
      <c r="D720" s="1" t="s">
        <v>2010</v>
      </c>
      <c r="E720" s="6">
        <v>27</v>
      </c>
    </row>
    <row r="721" spans="1:5" x14ac:dyDescent="0.25">
      <c r="A721" s="4" t="s">
        <v>7</v>
      </c>
      <c r="B721" s="4" t="s">
        <v>2011</v>
      </c>
      <c r="C721" s="1" t="s">
        <v>2012</v>
      </c>
      <c r="D721" s="1" t="s">
        <v>2013</v>
      </c>
      <c r="E721" s="6">
        <v>27</v>
      </c>
    </row>
    <row r="722" spans="1:5" x14ac:dyDescent="0.25">
      <c r="A722" s="4" t="s">
        <v>7</v>
      </c>
      <c r="B722" s="4" t="s">
        <v>2014</v>
      </c>
      <c r="C722" s="1" t="s">
        <v>2015</v>
      </c>
      <c r="D722" s="1" t="s">
        <v>2015</v>
      </c>
      <c r="E722" s="6">
        <v>19</v>
      </c>
    </row>
    <row r="723" spans="1:5" x14ac:dyDescent="0.25">
      <c r="A723" s="4" t="s">
        <v>7</v>
      </c>
      <c r="B723" s="4" t="s">
        <v>2016</v>
      </c>
      <c r="C723" s="1" t="s">
        <v>2017</v>
      </c>
      <c r="D723" s="1" t="s">
        <v>2017</v>
      </c>
      <c r="E723" s="6">
        <v>33</v>
      </c>
    </row>
    <row r="724" spans="1:5" x14ac:dyDescent="0.25">
      <c r="A724" s="4" t="s">
        <v>7</v>
      </c>
      <c r="B724" s="4" t="s">
        <v>2018</v>
      </c>
      <c r="C724" s="1" t="s">
        <v>2019</v>
      </c>
      <c r="D724" s="1" t="s">
        <v>2019</v>
      </c>
      <c r="E724" s="6">
        <v>64</v>
      </c>
    </row>
    <row r="725" spans="1:5" x14ac:dyDescent="0.25">
      <c r="A725" s="4" t="s">
        <v>7</v>
      </c>
      <c r="B725" s="4" t="s">
        <v>2020</v>
      </c>
      <c r="C725" s="1" t="s">
        <v>2021</v>
      </c>
      <c r="D725" s="1" t="s">
        <v>2022</v>
      </c>
      <c r="E725" s="6">
        <v>140</v>
      </c>
    </row>
    <row r="726" spans="1:5" x14ac:dyDescent="0.25">
      <c r="A726" s="4" t="s">
        <v>7</v>
      </c>
      <c r="B726" s="4" t="s">
        <v>2023</v>
      </c>
      <c r="C726" s="1" t="s">
        <v>2024</v>
      </c>
      <c r="D726" s="1" t="s">
        <v>2025</v>
      </c>
      <c r="E726" s="6">
        <v>67</v>
      </c>
    </row>
    <row r="727" spans="1:5" x14ac:dyDescent="0.25">
      <c r="A727" s="4" t="s">
        <v>7</v>
      </c>
      <c r="B727" s="4" t="s">
        <v>2026</v>
      </c>
      <c r="C727" s="1" t="s">
        <v>2027</v>
      </c>
      <c r="D727" s="1" t="s">
        <v>2028</v>
      </c>
      <c r="E727" s="6">
        <v>161</v>
      </c>
    </row>
    <row r="728" spans="1:5" x14ac:dyDescent="0.25">
      <c r="A728" s="4" t="s">
        <v>7</v>
      </c>
      <c r="B728" s="4" t="s">
        <v>2029</v>
      </c>
      <c r="C728" s="1" t="s">
        <v>2030</v>
      </c>
      <c r="D728" s="1" t="s">
        <v>2031</v>
      </c>
      <c r="E728" s="6">
        <v>82</v>
      </c>
    </row>
    <row r="729" spans="1:5" x14ac:dyDescent="0.25">
      <c r="A729" s="4" t="s">
        <v>7</v>
      </c>
      <c r="B729" s="4" t="s">
        <v>2032</v>
      </c>
      <c r="C729" s="1" t="s">
        <v>1852</v>
      </c>
      <c r="D729" s="1" t="s">
        <v>1852</v>
      </c>
      <c r="E729" s="6">
        <v>345</v>
      </c>
    </row>
    <row r="730" spans="1:5" x14ac:dyDescent="0.25">
      <c r="A730" s="4" t="s">
        <v>7</v>
      </c>
      <c r="B730" s="4" t="s">
        <v>2033</v>
      </c>
      <c r="C730" s="1" t="s">
        <v>2034</v>
      </c>
      <c r="D730" s="1" t="s">
        <v>2034</v>
      </c>
      <c r="E730" s="6">
        <v>38</v>
      </c>
    </row>
    <row r="731" spans="1:5" x14ac:dyDescent="0.25">
      <c r="A731" s="4" t="s">
        <v>7</v>
      </c>
      <c r="B731" s="4" t="s">
        <v>2035</v>
      </c>
      <c r="C731" s="1" t="s">
        <v>2036</v>
      </c>
      <c r="D731" s="1" t="s">
        <v>2037</v>
      </c>
      <c r="E731" s="6">
        <v>48</v>
      </c>
    </row>
    <row r="732" spans="1:5" x14ac:dyDescent="0.25">
      <c r="A732" s="4" t="s">
        <v>7</v>
      </c>
      <c r="B732" s="4" t="s">
        <v>2038</v>
      </c>
      <c r="C732" s="1" t="s">
        <v>2039</v>
      </c>
      <c r="D732" s="1" t="s">
        <v>2039</v>
      </c>
      <c r="E732" s="6">
        <v>41</v>
      </c>
    </row>
    <row r="733" spans="1:5" x14ac:dyDescent="0.25">
      <c r="A733" s="4" t="s">
        <v>7</v>
      </c>
      <c r="B733" s="4" t="s">
        <v>2040</v>
      </c>
      <c r="C733" s="1" t="s">
        <v>2041</v>
      </c>
      <c r="D733" s="1" t="s">
        <v>2041</v>
      </c>
      <c r="E733" s="6">
        <v>78</v>
      </c>
    </row>
    <row r="734" spans="1:5" x14ac:dyDescent="0.25">
      <c r="A734" s="4" t="s">
        <v>7</v>
      </c>
      <c r="B734" s="4" t="s">
        <v>2042</v>
      </c>
      <c r="C734" s="1" t="s">
        <v>2043</v>
      </c>
      <c r="D734" s="1" t="s">
        <v>2044</v>
      </c>
      <c r="E734" s="6">
        <v>384</v>
      </c>
    </row>
    <row r="735" spans="1:5" x14ac:dyDescent="0.25">
      <c r="A735" s="4" t="s">
        <v>7</v>
      </c>
      <c r="B735" s="4" t="s">
        <v>2045</v>
      </c>
      <c r="C735" s="1" t="s">
        <v>2046</v>
      </c>
      <c r="D735" s="1" t="s">
        <v>2047</v>
      </c>
      <c r="E735" s="6">
        <v>215</v>
      </c>
    </row>
    <row r="736" spans="1:5" x14ac:dyDescent="0.25">
      <c r="A736" s="4" t="s">
        <v>7</v>
      </c>
      <c r="B736" s="4" t="s">
        <v>2048</v>
      </c>
      <c r="C736" s="1" t="s">
        <v>2049</v>
      </c>
      <c r="D736" s="1" t="s">
        <v>2050</v>
      </c>
      <c r="E736" s="6">
        <v>238</v>
      </c>
    </row>
    <row r="737" spans="1:5" x14ac:dyDescent="0.25">
      <c r="A737" s="4" t="s">
        <v>7</v>
      </c>
      <c r="B737" s="4" t="s">
        <v>2051</v>
      </c>
      <c r="C737" s="1" t="s">
        <v>2052</v>
      </c>
      <c r="D737" s="1" t="s">
        <v>2053</v>
      </c>
      <c r="E737" s="6">
        <v>92</v>
      </c>
    </row>
    <row r="738" spans="1:5" x14ac:dyDescent="0.25">
      <c r="A738" s="4" t="s">
        <v>7</v>
      </c>
      <c r="B738" s="4" t="s">
        <v>2054</v>
      </c>
      <c r="C738" s="1" t="s">
        <v>2055</v>
      </c>
      <c r="D738" s="1" t="s">
        <v>2056</v>
      </c>
      <c r="E738" s="6">
        <v>1418</v>
      </c>
    </row>
    <row r="739" spans="1:5" x14ac:dyDescent="0.25">
      <c r="A739" s="4" t="s">
        <v>7</v>
      </c>
      <c r="B739" s="4" t="s">
        <v>2057</v>
      </c>
      <c r="C739" s="1" t="s">
        <v>2058</v>
      </c>
      <c r="D739" s="1" t="s">
        <v>2058</v>
      </c>
      <c r="E739" s="6">
        <v>133</v>
      </c>
    </row>
    <row r="740" spans="1:5" x14ac:dyDescent="0.25">
      <c r="A740" s="4" t="s">
        <v>7</v>
      </c>
      <c r="B740" s="4" t="s">
        <v>2059</v>
      </c>
      <c r="C740" s="1" t="s">
        <v>2060</v>
      </c>
      <c r="D740" s="1" t="s">
        <v>2061</v>
      </c>
      <c r="E740" s="6">
        <v>230</v>
      </c>
    </row>
    <row r="741" spans="1:5" x14ac:dyDescent="0.25">
      <c r="A741" s="4" t="s">
        <v>7</v>
      </c>
      <c r="B741" s="4" t="s">
        <v>2062</v>
      </c>
      <c r="C741" s="1" t="s">
        <v>2063</v>
      </c>
      <c r="D741" s="1" t="s">
        <v>2063</v>
      </c>
      <c r="E741" s="6">
        <v>79</v>
      </c>
    </row>
    <row r="742" spans="1:5" x14ac:dyDescent="0.25">
      <c r="A742" s="4" t="s">
        <v>7</v>
      </c>
      <c r="B742" s="4" t="s">
        <v>2064</v>
      </c>
      <c r="C742" s="1" t="s">
        <v>2065</v>
      </c>
      <c r="D742" s="1" t="s">
        <v>2066</v>
      </c>
      <c r="E742" s="6">
        <v>139</v>
      </c>
    </row>
    <row r="743" spans="1:5" x14ac:dyDescent="0.25">
      <c r="A743" s="4" t="s">
        <v>7</v>
      </c>
      <c r="B743" s="4" t="s">
        <v>2067</v>
      </c>
      <c r="C743" s="1" t="s">
        <v>2068</v>
      </c>
      <c r="D743" s="1" t="s">
        <v>2069</v>
      </c>
      <c r="E743" s="6">
        <v>49</v>
      </c>
    </row>
    <row r="744" spans="1:5" x14ac:dyDescent="0.25">
      <c r="A744" s="4" t="s">
        <v>7</v>
      </c>
      <c r="B744" s="4" t="s">
        <v>2070</v>
      </c>
      <c r="C744" s="1" t="s">
        <v>2071</v>
      </c>
      <c r="D744" s="1" t="s">
        <v>2072</v>
      </c>
      <c r="E744" s="6">
        <v>184</v>
      </c>
    </row>
    <row r="745" spans="1:5" x14ac:dyDescent="0.25">
      <c r="A745" s="4" t="s">
        <v>7</v>
      </c>
      <c r="B745" s="4" t="s">
        <v>2073</v>
      </c>
      <c r="C745" s="1" t="s">
        <v>2074</v>
      </c>
      <c r="D745" s="1" t="s">
        <v>2075</v>
      </c>
      <c r="E745" s="6">
        <v>341</v>
      </c>
    </row>
    <row r="746" spans="1:5" x14ac:dyDescent="0.25">
      <c r="A746" s="4" t="s">
        <v>7</v>
      </c>
      <c r="B746" s="4" t="s">
        <v>2076</v>
      </c>
      <c r="C746" s="1" t="s">
        <v>2077</v>
      </c>
      <c r="D746" s="1" t="s">
        <v>2078</v>
      </c>
      <c r="E746" s="6">
        <v>227</v>
      </c>
    </row>
    <row r="747" spans="1:5" x14ac:dyDescent="0.25">
      <c r="A747" s="4" t="s">
        <v>7</v>
      </c>
      <c r="B747" s="4" t="s">
        <v>2079</v>
      </c>
      <c r="C747" s="1" t="s">
        <v>2080</v>
      </c>
      <c r="D747" s="1" t="s">
        <v>2080</v>
      </c>
      <c r="E747" s="6">
        <v>398</v>
      </c>
    </row>
    <row r="748" spans="1:5" x14ac:dyDescent="0.25">
      <c r="A748" s="4" t="s">
        <v>7</v>
      </c>
      <c r="B748" s="4" t="s">
        <v>2081</v>
      </c>
      <c r="C748" s="1" t="s">
        <v>2082</v>
      </c>
      <c r="D748" s="1" t="s">
        <v>2082</v>
      </c>
      <c r="E748" s="6">
        <v>173.63</v>
      </c>
    </row>
    <row r="749" spans="1:5" x14ac:dyDescent="0.25">
      <c r="A749" s="4" t="s">
        <v>7</v>
      </c>
      <c r="B749" s="4" t="s">
        <v>2083</v>
      </c>
      <c r="C749" s="1" t="s">
        <v>2084</v>
      </c>
      <c r="D749" s="1" t="s">
        <v>2085</v>
      </c>
      <c r="E749" s="6">
        <v>269</v>
      </c>
    </row>
    <row r="750" spans="1:5" x14ac:dyDescent="0.25">
      <c r="A750" s="4" t="s">
        <v>7</v>
      </c>
      <c r="B750" s="4" t="s">
        <v>2086</v>
      </c>
      <c r="C750" s="1" t="s">
        <v>2087</v>
      </c>
      <c r="D750" s="1" t="s">
        <v>2085</v>
      </c>
      <c r="E750" s="6">
        <v>269</v>
      </c>
    </row>
    <row r="751" spans="1:5" x14ac:dyDescent="0.25">
      <c r="A751" s="4" t="s">
        <v>7</v>
      </c>
      <c r="B751" s="4" t="s">
        <v>2088</v>
      </c>
      <c r="C751" s="1" t="s">
        <v>2089</v>
      </c>
      <c r="D751" s="1" t="s">
        <v>2090</v>
      </c>
      <c r="E751" s="6">
        <v>392</v>
      </c>
    </row>
    <row r="752" spans="1:5" x14ac:dyDescent="0.25">
      <c r="A752" s="4" t="s">
        <v>7</v>
      </c>
      <c r="B752" s="4" t="s">
        <v>2091</v>
      </c>
      <c r="C752" s="1" t="s">
        <v>2092</v>
      </c>
      <c r="D752" s="1" t="s">
        <v>2085</v>
      </c>
      <c r="E752" s="6">
        <v>892</v>
      </c>
    </row>
    <row r="753" spans="1:5" x14ac:dyDescent="0.25">
      <c r="A753" s="4" t="s">
        <v>7</v>
      </c>
      <c r="B753" s="4" t="s">
        <v>2093</v>
      </c>
      <c r="C753" s="1" t="s">
        <v>2094</v>
      </c>
      <c r="D753" s="1" t="s">
        <v>2095</v>
      </c>
      <c r="E753" s="6">
        <v>216</v>
      </c>
    </row>
    <row r="754" spans="1:5" x14ac:dyDescent="0.25">
      <c r="A754" s="4" t="s">
        <v>7</v>
      </c>
      <c r="B754" s="4" t="s">
        <v>2096</v>
      </c>
      <c r="C754" s="1" t="s">
        <v>2097</v>
      </c>
      <c r="D754" s="1" t="s">
        <v>2085</v>
      </c>
      <c r="E754" s="6">
        <v>269</v>
      </c>
    </row>
    <row r="755" spans="1:5" x14ac:dyDescent="0.25">
      <c r="A755" s="4" t="s">
        <v>7</v>
      </c>
      <c r="B755" s="4" t="s">
        <v>2098</v>
      </c>
      <c r="C755" s="1" t="s">
        <v>2099</v>
      </c>
      <c r="D755" s="1" t="s">
        <v>2100</v>
      </c>
      <c r="E755" s="6">
        <v>114</v>
      </c>
    </row>
    <row r="756" spans="1:5" x14ac:dyDescent="0.25">
      <c r="A756" s="4" t="s">
        <v>7</v>
      </c>
      <c r="B756" s="4" t="s">
        <v>2101</v>
      </c>
      <c r="C756" s="1" t="s">
        <v>2102</v>
      </c>
      <c r="D756" s="1" t="s">
        <v>2085</v>
      </c>
      <c r="E756" s="6">
        <v>269</v>
      </c>
    </row>
    <row r="757" spans="1:5" x14ac:dyDescent="0.25">
      <c r="A757" s="4" t="s">
        <v>7</v>
      </c>
      <c r="B757" s="4" t="s">
        <v>2103</v>
      </c>
      <c r="C757" s="1" t="s">
        <v>2104</v>
      </c>
      <c r="D757" s="1" t="s">
        <v>2085</v>
      </c>
      <c r="E757" s="6">
        <v>269</v>
      </c>
    </row>
    <row r="758" spans="1:5" x14ac:dyDescent="0.25">
      <c r="A758" s="4" t="s">
        <v>7</v>
      </c>
      <c r="B758" s="4" t="s">
        <v>2105</v>
      </c>
      <c r="C758" s="1" t="s">
        <v>2106</v>
      </c>
      <c r="D758" s="1" t="s">
        <v>2085</v>
      </c>
      <c r="E758" s="6">
        <v>269</v>
      </c>
    </row>
    <row r="759" spans="1:5" x14ac:dyDescent="0.25">
      <c r="A759" s="4" t="s">
        <v>7</v>
      </c>
      <c r="B759" s="4" t="s">
        <v>2107</v>
      </c>
      <c r="C759" s="1" t="s">
        <v>2108</v>
      </c>
      <c r="D759" s="1" t="s">
        <v>2085</v>
      </c>
      <c r="E759" s="6">
        <v>269</v>
      </c>
    </row>
    <row r="760" spans="1:5" x14ac:dyDescent="0.25">
      <c r="A760" s="4" t="s">
        <v>7</v>
      </c>
      <c r="B760" s="4" t="s">
        <v>2109</v>
      </c>
      <c r="C760" s="1" t="s">
        <v>2110</v>
      </c>
      <c r="D760" s="1" t="s">
        <v>2085</v>
      </c>
      <c r="E760" s="6">
        <v>269</v>
      </c>
    </row>
    <row r="761" spans="1:5" x14ac:dyDescent="0.25">
      <c r="A761" s="4" t="s">
        <v>7</v>
      </c>
      <c r="B761" s="4" t="s">
        <v>2111</v>
      </c>
      <c r="C761" s="1" t="s">
        <v>2112</v>
      </c>
      <c r="D761" s="1" t="s">
        <v>2085</v>
      </c>
      <c r="E761" s="6">
        <v>437</v>
      </c>
    </row>
    <row r="762" spans="1:5" x14ac:dyDescent="0.25">
      <c r="A762" s="4" t="s">
        <v>7</v>
      </c>
      <c r="B762" s="4" t="s">
        <v>2113</v>
      </c>
      <c r="C762" s="1" t="s">
        <v>2114</v>
      </c>
      <c r="D762" s="1" t="s">
        <v>2115</v>
      </c>
      <c r="E762" s="6">
        <v>269</v>
      </c>
    </row>
    <row r="763" spans="1:5" x14ac:dyDescent="0.25">
      <c r="A763" s="4" t="s">
        <v>7</v>
      </c>
      <c r="B763" s="4" t="s">
        <v>2116</v>
      </c>
      <c r="C763" s="1" t="s">
        <v>2117</v>
      </c>
      <c r="D763" s="1" t="s">
        <v>2085</v>
      </c>
      <c r="E763" s="6">
        <v>269</v>
      </c>
    </row>
    <row r="764" spans="1:5" x14ac:dyDescent="0.25">
      <c r="A764" s="4" t="s">
        <v>7</v>
      </c>
      <c r="B764" s="4" t="s">
        <v>2118</v>
      </c>
      <c r="C764" s="1" t="s">
        <v>2119</v>
      </c>
      <c r="D764" s="1" t="s">
        <v>2120</v>
      </c>
      <c r="E764" s="6">
        <v>246</v>
      </c>
    </row>
    <row r="765" spans="1:5" x14ac:dyDescent="0.25">
      <c r="A765" s="4" t="s">
        <v>7</v>
      </c>
      <c r="B765" s="4" t="s">
        <v>2121</v>
      </c>
      <c r="C765" s="1" t="s">
        <v>2122</v>
      </c>
      <c r="D765" s="1" t="s">
        <v>2123</v>
      </c>
      <c r="E765" s="6">
        <v>212</v>
      </c>
    </row>
    <row r="766" spans="1:5" x14ac:dyDescent="0.25">
      <c r="A766" s="4" t="s">
        <v>7</v>
      </c>
      <c r="B766" s="4" t="s">
        <v>2124</v>
      </c>
      <c r="C766" s="1" t="s">
        <v>2125</v>
      </c>
      <c r="D766" s="1" t="s">
        <v>2126</v>
      </c>
      <c r="E766" s="6">
        <v>156</v>
      </c>
    </row>
    <row r="767" spans="1:5" x14ac:dyDescent="0.25">
      <c r="A767" s="4" t="s">
        <v>7</v>
      </c>
      <c r="B767" s="4" t="s">
        <v>2127</v>
      </c>
      <c r="C767" s="1" t="s">
        <v>2128</v>
      </c>
      <c r="D767" s="1" t="s">
        <v>2085</v>
      </c>
      <c r="E767" s="6">
        <v>269</v>
      </c>
    </row>
    <row r="768" spans="1:5" x14ac:dyDescent="0.25">
      <c r="A768" s="4" t="s">
        <v>7</v>
      </c>
      <c r="B768" s="4" t="s">
        <v>2129</v>
      </c>
      <c r="C768" s="1" t="s">
        <v>2130</v>
      </c>
      <c r="D768" s="1" t="s">
        <v>2123</v>
      </c>
      <c r="E768" s="6">
        <v>212</v>
      </c>
    </row>
    <row r="769" spans="1:5" x14ac:dyDescent="0.25">
      <c r="A769" s="4" t="s">
        <v>7</v>
      </c>
      <c r="B769" s="4" t="s">
        <v>2131</v>
      </c>
      <c r="C769" s="1" t="s">
        <v>2132</v>
      </c>
      <c r="D769" s="1" t="s">
        <v>2133</v>
      </c>
      <c r="E769" s="6">
        <v>90</v>
      </c>
    </row>
    <row r="770" spans="1:5" x14ac:dyDescent="0.25">
      <c r="A770" s="4" t="s">
        <v>7</v>
      </c>
      <c r="B770" s="4" t="s">
        <v>2134</v>
      </c>
      <c r="C770" s="1" t="s">
        <v>2135</v>
      </c>
      <c r="D770" s="1" t="s">
        <v>2136</v>
      </c>
      <c r="E770" s="6">
        <v>58</v>
      </c>
    </row>
    <row r="771" spans="1:5" x14ac:dyDescent="0.25">
      <c r="A771" s="4" t="s">
        <v>7</v>
      </c>
      <c r="B771" s="4" t="s">
        <v>2137</v>
      </c>
      <c r="C771" s="1" t="s">
        <v>2138</v>
      </c>
      <c r="D771" s="1" t="s">
        <v>2139</v>
      </c>
      <c r="E771" s="6">
        <v>122</v>
      </c>
    </row>
    <row r="772" spans="1:5" x14ac:dyDescent="0.25">
      <c r="A772" s="4" t="s">
        <v>7</v>
      </c>
      <c r="B772" s="4" t="s">
        <v>2140</v>
      </c>
      <c r="C772" s="1" t="s">
        <v>2141</v>
      </c>
      <c r="D772" s="1" t="s">
        <v>2142</v>
      </c>
      <c r="E772" s="6">
        <v>137</v>
      </c>
    </row>
    <row r="773" spans="1:5" x14ac:dyDescent="0.25">
      <c r="A773" s="4" t="s">
        <v>7</v>
      </c>
      <c r="B773" s="4" t="s">
        <v>2143</v>
      </c>
      <c r="C773" s="1" t="s">
        <v>2144</v>
      </c>
      <c r="D773" s="1" t="s">
        <v>2142</v>
      </c>
      <c r="E773" s="6">
        <v>137</v>
      </c>
    </row>
    <row r="774" spans="1:5" x14ac:dyDescent="0.25">
      <c r="A774" s="4" t="s">
        <v>7</v>
      </c>
      <c r="B774" s="4" t="s">
        <v>2145</v>
      </c>
      <c r="C774" s="1" t="s">
        <v>2146</v>
      </c>
      <c r="D774" s="1" t="s">
        <v>2142</v>
      </c>
      <c r="E774" s="6">
        <v>137</v>
      </c>
    </row>
    <row r="775" spans="1:5" x14ac:dyDescent="0.25">
      <c r="A775" s="4" t="s">
        <v>7</v>
      </c>
      <c r="B775" s="4" t="s">
        <v>2147</v>
      </c>
      <c r="C775" s="1" t="s">
        <v>2148</v>
      </c>
      <c r="D775" s="1" t="s">
        <v>2148</v>
      </c>
      <c r="E775" s="6">
        <v>198</v>
      </c>
    </row>
    <row r="776" spans="1:5" x14ac:dyDescent="0.25">
      <c r="A776" s="4" t="s">
        <v>7</v>
      </c>
      <c r="B776" s="4" t="s">
        <v>2149</v>
      </c>
      <c r="C776" s="1" t="s">
        <v>2150</v>
      </c>
      <c r="D776" s="1" t="s">
        <v>2151</v>
      </c>
      <c r="E776" s="6">
        <v>243</v>
      </c>
    </row>
    <row r="777" spans="1:5" x14ac:dyDescent="0.25">
      <c r="A777" s="4" t="s">
        <v>7</v>
      </c>
      <c r="B777" s="4" t="s">
        <v>2152</v>
      </c>
      <c r="C777" s="1" t="s">
        <v>2153</v>
      </c>
      <c r="D777" s="1" t="s">
        <v>2154</v>
      </c>
      <c r="E777" s="6">
        <v>626.54999999999995</v>
      </c>
    </row>
    <row r="778" spans="1:5" x14ac:dyDescent="0.25">
      <c r="A778" s="4" t="s">
        <v>7</v>
      </c>
      <c r="B778" s="4" t="s">
        <v>2155</v>
      </c>
      <c r="C778" s="1" t="s">
        <v>2156</v>
      </c>
      <c r="D778" s="1" t="s">
        <v>2157</v>
      </c>
      <c r="E778" s="6">
        <v>626.54999999999995</v>
      </c>
    </row>
    <row r="779" spans="1:5" x14ac:dyDescent="0.25">
      <c r="A779" s="4" t="s">
        <v>7</v>
      </c>
      <c r="B779" s="4" t="s">
        <v>2158</v>
      </c>
      <c r="C779" s="1" t="s">
        <v>2159</v>
      </c>
      <c r="D779" s="1" t="s">
        <v>2160</v>
      </c>
      <c r="E779" s="6">
        <v>386</v>
      </c>
    </row>
    <row r="780" spans="1:5" x14ac:dyDescent="0.25">
      <c r="A780" s="4" t="s">
        <v>7</v>
      </c>
      <c r="B780" s="4" t="s">
        <v>2161</v>
      </c>
      <c r="C780" s="1" t="s">
        <v>2162</v>
      </c>
      <c r="D780" s="1" t="s">
        <v>2163</v>
      </c>
      <c r="E780" s="6">
        <v>386</v>
      </c>
    </row>
    <row r="781" spans="1:5" x14ac:dyDescent="0.25">
      <c r="A781" s="4" t="s">
        <v>7</v>
      </c>
      <c r="B781" s="4" t="s">
        <v>2164</v>
      </c>
      <c r="C781" s="1" t="s">
        <v>2165</v>
      </c>
      <c r="D781" s="1" t="s">
        <v>2166</v>
      </c>
      <c r="E781" s="6">
        <v>122</v>
      </c>
    </row>
    <row r="782" spans="1:5" x14ac:dyDescent="0.25">
      <c r="A782" s="4" t="s">
        <v>7</v>
      </c>
      <c r="B782" s="4" t="s">
        <v>2167</v>
      </c>
      <c r="C782" s="1" t="s">
        <v>2168</v>
      </c>
      <c r="D782" s="1" t="s">
        <v>2169</v>
      </c>
      <c r="E782" s="6">
        <v>139</v>
      </c>
    </row>
    <row r="783" spans="1:5" x14ac:dyDescent="0.25">
      <c r="A783" s="4" t="s">
        <v>7</v>
      </c>
      <c r="B783" s="4" t="s">
        <v>2170</v>
      </c>
      <c r="C783" s="1" t="s">
        <v>2171</v>
      </c>
      <c r="D783" s="1" t="s">
        <v>2172</v>
      </c>
      <c r="E783" s="6">
        <v>240</v>
      </c>
    </row>
    <row r="784" spans="1:5" x14ac:dyDescent="0.25">
      <c r="A784" s="4" t="s">
        <v>7</v>
      </c>
      <c r="B784" s="4" t="s">
        <v>2173</v>
      </c>
      <c r="C784" s="1" t="s">
        <v>2174</v>
      </c>
      <c r="D784" s="1" t="s">
        <v>2123</v>
      </c>
      <c r="E784" s="6">
        <v>212</v>
      </c>
    </row>
    <row r="785" spans="1:5" x14ac:dyDescent="0.25">
      <c r="A785" s="4" t="s">
        <v>7</v>
      </c>
      <c r="B785" s="4" t="s">
        <v>2175</v>
      </c>
      <c r="C785" s="1" t="s">
        <v>2176</v>
      </c>
      <c r="D785" s="1" t="s">
        <v>2177</v>
      </c>
      <c r="E785" s="6">
        <v>415</v>
      </c>
    </row>
    <row r="786" spans="1:5" x14ac:dyDescent="0.25">
      <c r="A786" s="4" t="s">
        <v>7</v>
      </c>
      <c r="B786" s="4" t="s">
        <v>2178</v>
      </c>
      <c r="C786" s="1" t="s">
        <v>2179</v>
      </c>
      <c r="D786" s="1" t="s">
        <v>2180</v>
      </c>
      <c r="E786" s="6">
        <v>174</v>
      </c>
    </row>
    <row r="787" spans="1:5" x14ac:dyDescent="0.25">
      <c r="A787" s="4" t="s">
        <v>7</v>
      </c>
      <c r="B787" s="4" t="s">
        <v>2181</v>
      </c>
      <c r="C787" s="1" t="s">
        <v>2182</v>
      </c>
      <c r="D787" s="1" t="s">
        <v>2183</v>
      </c>
      <c r="E787" s="6">
        <v>184</v>
      </c>
    </row>
    <row r="788" spans="1:5" x14ac:dyDescent="0.25">
      <c r="A788" s="4" t="s">
        <v>7</v>
      </c>
      <c r="B788" s="4" t="s">
        <v>2184</v>
      </c>
      <c r="C788" s="1" t="s">
        <v>1824</v>
      </c>
      <c r="D788" s="1" t="s">
        <v>1825</v>
      </c>
      <c r="E788" s="6">
        <v>217</v>
      </c>
    </row>
    <row r="789" spans="1:5" x14ac:dyDescent="0.25">
      <c r="A789" s="4" t="s">
        <v>7</v>
      </c>
      <c r="B789" s="4" t="s">
        <v>2185</v>
      </c>
      <c r="C789" s="1" t="s">
        <v>1849</v>
      </c>
      <c r="D789" s="1" t="s">
        <v>1850</v>
      </c>
      <c r="E789" s="6">
        <v>397</v>
      </c>
    </row>
    <row r="790" spans="1:5" x14ac:dyDescent="0.25">
      <c r="A790" s="4" t="s">
        <v>7</v>
      </c>
      <c r="B790" s="4" t="s">
        <v>2186</v>
      </c>
      <c r="C790" s="1" t="s">
        <v>1830</v>
      </c>
      <c r="D790" s="1" t="s">
        <v>1830</v>
      </c>
      <c r="E790" s="6">
        <v>300</v>
      </c>
    </row>
    <row r="791" spans="1:5" x14ac:dyDescent="0.25">
      <c r="A791" s="4" t="s">
        <v>7</v>
      </c>
      <c r="B791" s="4" t="s">
        <v>2187</v>
      </c>
      <c r="C791" s="1" t="s">
        <v>1832</v>
      </c>
      <c r="D791" s="1" t="s">
        <v>1833</v>
      </c>
      <c r="E791" s="6">
        <v>56</v>
      </c>
    </row>
    <row r="792" spans="1:5" x14ac:dyDescent="0.25">
      <c r="A792" s="4" t="s">
        <v>7</v>
      </c>
      <c r="B792" s="4" t="s">
        <v>2188</v>
      </c>
      <c r="C792" s="1" t="s">
        <v>1835</v>
      </c>
      <c r="D792" s="1" t="s">
        <v>1835</v>
      </c>
      <c r="E792" s="6">
        <v>46</v>
      </c>
    </row>
    <row r="793" spans="1:5" x14ac:dyDescent="0.25">
      <c r="A793" s="4" t="s">
        <v>7</v>
      </c>
      <c r="B793" s="4" t="s">
        <v>2189</v>
      </c>
      <c r="C793" s="1" t="s">
        <v>1837</v>
      </c>
      <c r="D793" s="1" t="s">
        <v>1838</v>
      </c>
      <c r="E793" s="6">
        <v>56</v>
      </c>
    </row>
    <row r="794" spans="1:5" x14ac:dyDescent="0.25">
      <c r="A794" s="4" t="s">
        <v>7</v>
      </c>
      <c r="B794" s="4" t="s">
        <v>2190</v>
      </c>
      <c r="C794" s="1" t="s">
        <v>1840</v>
      </c>
      <c r="D794" s="1" t="s">
        <v>1841</v>
      </c>
      <c r="E794" s="6">
        <v>104</v>
      </c>
    </row>
    <row r="795" spans="1:5" x14ac:dyDescent="0.25">
      <c r="A795" s="4" t="s">
        <v>7</v>
      </c>
      <c r="B795" s="4" t="s">
        <v>2191</v>
      </c>
      <c r="C795" s="1" t="s">
        <v>1843</v>
      </c>
      <c r="D795" s="1" t="s">
        <v>1844</v>
      </c>
      <c r="E795" s="6">
        <v>93</v>
      </c>
    </row>
    <row r="796" spans="1:5" x14ac:dyDescent="0.25">
      <c r="A796" s="4" t="s">
        <v>7</v>
      </c>
      <c r="B796" s="4" t="s">
        <v>2192</v>
      </c>
      <c r="C796" s="1" t="s">
        <v>1858</v>
      </c>
      <c r="D796" s="1" t="s">
        <v>1858</v>
      </c>
      <c r="E796" s="6">
        <v>143</v>
      </c>
    </row>
    <row r="797" spans="1:5" x14ac:dyDescent="0.25">
      <c r="A797" s="4" t="s">
        <v>7</v>
      </c>
      <c r="B797" s="4" t="s">
        <v>2193</v>
      </c>
      <c r="C797" s="1" t="s">
        <v>1871</v>
      </c>
      <c r="D797" s="1" t="s">
        <v>1871</v>
      </c>
      <c r="E797" s="6">
        <v>57</v>
      </c>
    </row>
    <row r="798" spans="1:5" x14ac:dyDescent="0.25">
      <c r="A798" s="4" t="s">
        <v>7</v>
      </c>
      <c r="B798" s="4" t="s">
        <v>2194</v>
      </c>
      <c r="C798" s="1" t="s">
        <v>1869</v>
      </c>
      <c r="D798" s="1" t="s">
        <v>1864</v>
      </c>
      <c r="E798" s="6">
        <v>181</v>
      </c>
    </row>
    <row r="799" spans="1:5" x14ac:dyDescent="0.25">
      <c r="A799" s="4" t="s">
        <v>7</v>
      </c>
      <c r="B799" s="4" t="s">
        <v>2195</v>
      </c>
      <c r="C799" s="1" t="s">
        <v>1875</v>
      </c>
      <c r="D799" s="1" t="s">
        <v>1875</v>
      </c>
      <c r="E799" s="6">
        <v>83</v>
      </c>
    </row>
    <row r="800" spans="1:5" x14ac:dyDescent="0.25">
      <c r="A800" s="4" t="s">
        <v>7</v>
      </c>
      <c r="B800" s="4" t="s">
        <v>2196</v>
      </c>
      <c r="C800" s="1" t="s">
        <v>1877</v>
      </c>
      <c r="D800" s="1" t="s">
        <v>1877</v>
      </c>
      <c r="E800" s="6">
        <v>164</v>
      </c>
    </row>
    <row r="801" spans="1:5" x14ac:dyDescent="0.25">
      <c r="A801" s="4" t="s">
        <v>7</v>
      </c>
      <c r="B801" s="4" t="s">
        <v>2197</v>
      </c>
      <c r="C801" s="1" t="s">
        <v>2198</v>
      </c>
      <c r="D801" s="1" t="s">
        <v>2199</v>
      </c>
      <c r="E801" s="6">
        <v>70</v>
      </c>
    </row>
    <row r="802" spans="1:5" x14ac:dyDescent="0.25">
      <c r="A802" s="4" t="s">
        <v>7</v>
      </c>
      <c r="B802" s="4" t="s">
        <v>2200</v>
      </c>
      <c r="C802" s="1" t="s">
        <v>1882</v>
      </c>
      <c r="D802" s="1" t="s">
        <v>1883</v>
      </c>
      <c r="E802" s="6">
        <v>194</v>
      </c>
    </row>
    <row r="803" spans="1:5" x14ac:dyDescent="0.25">
      <c r="A803" s="4" t="s">
        <v>7</v>
      </c>
      <c r="B803" s="4" t="s">
        <v>2201</v>
      </c>
      <c r="C803" s="1" t="s">
        <v>1885</v>
      </c>
      <c r="D803" s="1" t="s">
        <v>1886</v>
      </c>
      <c r="E803" s="6">
        <v>39</v>
      </c>
    </row>
    <row r="804" spans="1:5" x14ac:dyDescent="0.25">
      <c r="A804" s="4" t="s">
        <v>7</v>
      </c>
      <c r="B804" s="4" t="s">
        <v>2202</v>
      </c>
      <c r="C804" s="1" t="s">
        <v>1888</v>
      </c>
      <c r="D804" s="1" t="s">
        <v>1888</v>
      </c>
      <c r="E804" s="6">
        <v>118</v>
      </c>
    </row>
    <row r="805" spans="1:5" x14ac:dyDescent="0.25">
      <c r="A805" s="4" t="s">
        <v>7</v>
      </c>
      <c r="B805" s="4" t="s">
        <v>2203</v>
      </c>
      <c r="C805" s="1" t="s">
        <v>1890</v>
      </c>
      <c r="D805" s="1" t="s">
        <v>1891</v>
      </c>
      <c r="E805" s="6">
        <v>226</v>
      </c>
    </row>
    <row r="806" spans="1:5" x14ac:dyDescent="0.25">
      <c r="A806" s="4" t="s">
        <v>7</v>
      </c>
      <c r="B806" s="4" t="s">
        <v>2204</v>
      </c>
      <c r="C806" s="1" t="s">
        <v>1899</v>
      </c>
      <c r="D806" s="1" t="s">
        <v>1900</v>
      </c>
      <c r="E806" s="6">
        <v>41</v>
      </c>
    </row>
    <row r="807" spans="1:5" x14ac:dyDescent="0.25">
      <c r="A807" s="4" t="s">
        <v>7</v>
      </c>
      <c r="B807" s="4" t="s">
        <v>2205</v>
      </c>
      <c r="C807" s="1" t="s">
        <v>2206</v>
      </c>
      <c r="D807" s="1" t="s">
        <v>2207</v>
      </c>
      <c r="E807" s="6">
        <v>19</v>
      </c>
    </row>
    <row r="808" spans="1:5" x14ac:dyDescent="0.25">
      <c r="A808" s="4" t="s">
        <v>7</v>
      </c>
      <c r="B808" s="4" t="s">
        <v>2208</v>
      </c>
      <c r="C808" s="1" t="s">
        <v>1905</v>
      </c>
      <c r="D808" s="1" t="s">
        <v>1906</v>
      </c>
      <c r="E808" s="6">
        <v>41</v>
      </c>
    </row>
    <row r="809" spans="1:5" x14ac:dyDescent="0.25">
      <c r="A809" s="4" t="s">
        <v>7</v>
      </c>
      <c r="B809" s="4" t="s">
        <v>2209</v>
      </c>
      <c r="C809" s="1" t="s">
        <v>2210</v>
      </c>
      <c r="D809" s="1" t="s">
        <v>2211</v>
      </c>
      <c r="E809" s="6">
        <v>140</v>
      </c>
    </row>
    <row r="810" spans="1:5" x14ac:dyDescent="0.25">
      <c r="A810" s="4" t="s">
        <v>7</v>
      </c>
      <c r="B810" s="4" t="s">
        <v>2212</v>
      </c>
      <c r="C810" s="1" t="s">
        <v>1908</v>
      </c>
      <c r="D810" s="1" t="s">
        <v>1909</v>
      </c>
      <c r="E810" s="6">
        <v>41</v>
      </c>
    </row>
    <row r="811" spans="1:5" x14ac:dyDescent="0.25">
      <c r="A811" s="4" t="s">
        <v>7</v>
      </c>
      <c r="B811" s="4" t="s">
        <v>2213</v>
      </c>
      <c r="C811" s="1" t="s">
        <v>1911</v>
      </c>
      <c r="D811" s="1" t="s">
        <v>1911</v>
      </c>
      <c r="E811" s="6">
        <v>208</v>
      </c>
    </row>
    <row r="812" spans="1:5" x14ac:dyDescent="0.25">
      <c r="A812" s="4" t="s">
        <v>7</v>
      </c>
      <c r="B812" s="4" t="s">
        <v>2214</v>
      </c>
      <c r="C812" s="1" t="s">
        <v>1913</v>
      </c>
      <c r="D812" s="1" t="s">
        <v>1913</v>
      </c>
      <c r="E812" s="6">
        <v>214</v>
      </c>
    </row>
    <row r="813" spans="1:5" x14ac:dyDescent="0.25">
      <c r="A813" s="4" t="s">
        <v>7</v>
      </c>
      <c r="B813" s="4" t="s">
        <v>2215</v>
      </c>
      <c r="C813" s="1" t="s">
        <v>1915</v>
      </c>
      <c r="D813" s="1" t="s">
        <v>1915</v>
      </c>
      <c r="E813" s="6">
        <v>43</v>
      </c>
    </row>
    <row r="814" spans="1:5" x14ac:dyDescent="0.25">
      <c r="A814" s="4" t="s">
        <v>7</v>
      </c>
      <c r="B814" s="4" t="s">
        <v>2216</v>
      </c>
      <c r="C814" s="1" t="s">
        <v>1917</v>
      </c>
      <c r="D814" s="1" t="s">
        <v>1917</v>
      </c>
      <c r="E814" s="6">
        <v>41</v>
      </c>
    </row>
    <row r="815" spans="1:5" x14ac:dyDescent="0.25">
      <c r="A815" s="4" t="s">
        <v>7</v>
      </c>
      <c r="B815" s="4" t="s">
        <v>2217</v>
      </c>
      <c r="C815" s="1" t="s">
        <v>1919</v>
      </c>
      <c r="D815" s="1" t="s">
        <v>1920</v>
      </c>
      <c r="E815" s="6">
        <v>202</v>
      </c>
    </row>
    <row r="816" spans="1:5" x14ac:dyDescent="0.25">
      <c r="A816" s="4" t="s">
        <v>7</v>
      </c>
      <c r="B816" s="4" t="s">
        <v>2218</v>
      </c>
      <c r="C816" s="1" t="s">
        <v>1925</v>
      </c>
      <c r="D816" s="1" t="s">
        <v>1926</v>
      </c>
      <c r="E816" s="6">
        <v>97</v>
      </c>
    </row>
    <row r="817" spans="1:5" x14ac:dyDescent="0.25">
      <c r="A817" s="4" t="s">
        <v>7</v>
      </c>
      <c r="B817" s="4" t="s">
        <v>2219</v>
      </c>
      <c r="C817" s="1" t="s">
        <v>1931</v>
      </c>
      <c r="D817" s="1" t="s">
        <v>1931</v>
      </c>
      <c r="E817" s="6">
        <v>162</v>
      </c>
    </row>
    <row r="818" spans="1:5" x14ac:dyDescent="0.25">
      <c r="A818" s="4" t="s">
        <v>7</v>
      </c>
      <c r="B818" s="4" t="s">
        <v>2220</v>
      </c>
      <c r="C818" s="1" t="s">
        <v>1933</v>
      </c>
      <c r="D818" s="1" t="s">
        <v>1934</v>
      </c>
      <c r="E818" s="6">
        <v>35</v>
      </c>
    </row>
    <row r="819" spans="1:5" x14ac:dyDescent="0.25">
      <c r="A819" s="4" t="s">
        <v>7</v>
      </c>
      <c r="B819" s="4" t="s">
        <v>2221</v>
      </c>
      <c r="C819" s="1" t="s">
        <v>1936</v>
      </c>
      <c r="D819" s="1" t="s">
        <v>1937</v>
      </c>
      <c r="E819" s="6">
        <v>390</v>
      </c>
    </row>
    <row r="820" spans="1:5" x14ac:dyDescent="0.25">
      <c r="A820" s="4" t="s">
        <v>7</v>
      </c>
      <c r="B820" s="4" t="s">
        <v>2222</v>
      </c>
      <c r="C820" s="1" t="s">
        <v>1942</v>
      </c>
      <c r="D820" s="1" t="s">
        <v>1943</v>
      </c>
      <c r="E820" s="6">
        <v>72</v>
      </c>
    </row>
    <row r="821" spans="1:5" x14ac:dyDescent="0.25">
      <c r="A821" s="4" t="s">
        <v>7</v>
      </c>
      <c r="B821" s="4" t="s">
        <v>2223</v>
      </c>
      <c r="C821" s="1" t="s">
        <v>1945</v>
      </c>
      <c r="D821" s="1" t="s">
        <v>1945</v>
      </c>
      <c r="E821" s="6">
        <v>36</v>
      </c>
    </row>
    <row r="822" spans="1:5" x14ac:dyDescent="0.25">
      <c r="A822" s="4" t="s">
        <v>7</v>
      </c>
      <c r="B822" s="4" t="s">
        <v>2224</v>
      </c>
      <c r="C822" s="1" t="s">
        <v>1950</v>
      </c>
      <c r="D822" s="1" t="s">
        <v>1950</v>
      </c>
      <c r="E822" s="6">
        <v>195</v>
      </c>
    </row>
    <row r="823" spans="1:5" x14ac:dyDescent="0.25">
      <c r="A823" s="4" t="s">
        <v>7</v>
      </c>
      <c r="B823" s="4" t="s">
        <v>2225</v>
      </c>
      <c r="C823" s="1" t="s">
        <v>1958</v>
      </c>
      <c r="D823" s="1" t="s">
        <v>1959</v>
      </c>
      <c r="E823" s="6">
        <v>447</v>
      </c>
    </row>
    <row r="824" spans="1:5" x14ac:dyDescent="0.25">
      <c r="A824" s="4" t="s">
        <v>7</v>
      </c>
      <c r="B824" s="4" t="s">
        <v>2226</v>
      </c>
      <c r="C824" s="1" t="s">
        <v>1961</v>
      </c>
      <c r="D824" s="1" t="s">
        <v>1962</v>
      </c>
      <c r="E824" s="6">
        <v>34</v>
      </c>
    </row>
    <row r="825" spans="1:5" x14ac:dyDescent="0.25">
      <c r="A825" s="4" t="s">
        <v>7</v>
      </c>
      <c r="B825" s="4" t="s">
        <v>2227</v>
      </c>
      <c r="C825" s="1" t="s">
        <v>1964</v>
      </c>
      <c r="D825" s="1" t="s">
        <v>1964</v>
      </c>
      <c r="E825" s="6">
        <v>159</v>
      </c>
    </row>
    <row r="826" spans="1:5" x14ac:dyDescent="0.25">
      <c r="A826" s="4" t="s">
        <v>7</v>
      </c>
      <c r="B826" s="4" t="s">
        <v>2228</v>
      </c>
      <c r="C826" s="1" t="s">
        <v>1966</v>
      </c>
      <c r="D826" s="1" t="s">
        <v>1966</v>
      </c>
      <c r="E826" s="6">
        <v>44</v>
      </c>
    </row>
    <row r="827" spans="1:5" x14ac:dyDescent="0.25">
      <c r="A827" s="4" t="s">
        <v>7</v>
      </c>
      <c r="B827" s="4" t="s">
        <v>2229</v>
      </c>
      <c r="C827" s="1" t="s">
        <v>1968</v>
      </c>
      <c r="D827" s="1" t="s">
        <v>1968</v>
      </c>
      <c r="E827" s="6">
        <v>175</v>
      </c>
    </row>
    <row r="828" spans="1:5" x14ac:dyDescent="0.25">
      <c r="A828" s="4" t="s">
        <v>7</v>
      </c>
      <c r="B828" s="4" t="s">
        <v>2230</v>
      </c>
      <c r="C828" s="1" t="s">
        <v>1973</v>
      </c>
      <c r="D828" s="1" t="s">
        <v>1973</v>
      </c>
      <c r="E828" s="6">
        <v>22</v>
      </c>
    </row>
    <row r="829" spans="1:5" x14ac:dyDescent="0.25">
      <c r="A829" s="4" t="s">
        <v>7</v>
      </c>
      <c r="B829" s="4" t="s">
        <v>2231</v>
      </c>
      <c r="C829" s="1" t="s">
        <v>1975</v>
      </c>
      <c r="D829" s="1" t="s">
        <v>1975</v>
      </c>
      <c r="E829" s="6">
        <v>58</v>
      </c>
    </row>
    <row r="830" spans="1:5" x14ac:dyDescent="0.25">
      <c r="A830" s="4" t="s">
        <v>7</v>
      </c>
      <c r="B830" s="4" t="s">
        <v>2232</v>
      </c>
      <c r="C830" s="1" t="s">
        <v>1979</v>
      </c>
      <c r="D830" s="1" t="s">
        <v>1979</v>
      </c>
      <c r="E830" s="6">
        <v>177</v>
      </c>
    </row>
    <row r="831" spans="1:5" x14ac:dyDescent="0.25">
      <c r="A831" s="4" t="s">
        <v>7</v>
      </c>
      <c r="B831" s="4" t="s">
        <v>2233</v>
      </c>
      <c r="C831" s="1" t="s">
        <v>1981</v>
      </c>
      <c r="D831" s="1" t="s">
        <v>1981</v>
      </c>
      <c r="E831" s="6">
        <v>19</v>
      </c>
    </row>
    <row r="832" spans="1:5" x14ac:dyDescent="0.25">
      <c r="A832" s="4" t="s">
        <v>7</v>
      </c>
      <c r="B832" s="4" t="s">
        <v>2234</v>
      </c>
      <c r="C832" s="1" t="s">
        <v>1983</v>
      </c>
      <c r="D832" s="1" t="s">
        <v>1983</v>
      </c>
      <c r="E832" s="6">
        <v>119</v>
      </c>
    </row>
    <row r="833" spans="1:5" x14ac:dyDescent="0.25">
      <c r="A833" s="4" t="s">
        <v>7</v>
      </c>
      <c r="B833" s="4" t="s">
        <v>2235</v>
      </c>
      <c r="C833" s="1" t="s">
        <v>1985</v>
      </c>
      <c r="D833" s="1" t="s">
        <v>1986</v>
      </c>
      <c r="E833" s="6">
        <v>110</v>
      </c>
    </row>
    <row r="834" spans="1:5" x14ac:dyDescent="0.25">
      <c r="A834" s="4" t="s">
        <v>7</v>
      </c>
      <c r="B834" s="4" t="s">
        <v>2236</v>
      </c>
      <c r="C834" s="1" t="s">
        <v>1988</v>
      </c>
      <c r="D834" s="1" t="s">
        <v>1989</v>
      </c>
      <c r="E834" s="6">
        <v>195</v>
      </c>
    </row>
    <row r="835" spans="1:5" x14ac:dyDescent="0.25">
      <c r="A835" s="4" t="s">
        <v>7</v>
      </c>
      <c r="B835" s="4" t="s">
        <v>2237</v>
      </c>
      <c r="C835" s="1" t="s">
        <v>1993</v>
      </c>
      <c r="D835" s="1" t="s">
        <v>1993</v>
      </c>
      <c r="E835" s="6">
        <v>132</v>
      </c>
    </row>
    <row r="836" spans="1:5" x14ac:dyDescent="0.25">
      <c r="A836" s="4" t="s">
        <v>7</v>
      </c>
      <c r="B836" s="4" t="s">
        <v>2238</v>
      </c>
      <c r="C836" s="1" t="s">
        <v>1995</v>
      </c>
      <c r="D836" s="1" t="s">
        <v>1996</v>
      </c>
      <c r="E836" s="6">
        <v>24</v>
      </c>
    </row>
    <row r="837" spans="1:5" x14ac:dyDescent="0.25">
      <c r="A837" s="4" t="s">
        <v>7</v>
      </c>
      <c r="B837" s="4" t="s">
        <v>2239</v>
      </c>
      <c r="C837" s="1" t="s">
        <v>1998</v>
      </c>
      <c r="D837" s="1" t="s">
        <v>1998</v>
      </c>
      <c r="E837" s="6">
        <v>49</v>
      </c>
    </row>
    <row r="838" spans="1:5" x14ac:dyDescent="0.25">
      <c r="A838" s="4" t="s">
        <v>7</v>
      </c>
      <c r="B838" s="4" t="s">
        <v>2240</v>
      </c>
      <c r="C838" s="1" t="s">
        <v>2000</v>
      </c>
      <c r="D838" s="1" t="s">
        <v>2001</v>
      </c>
      <c r="E838" s="6">
        <v>94</v>
      </c>
    </row>
    <row r="839" spans="1:5" x14ac:dyDescent="0.25">
      <c r="A839" s="4" t="s">
        <v>7</v>
      </c>
      <c r="B839" s="4" t="s">
        <v>2241</v>
      </c>
      <c r="C839" s="1" t="s">
        <v>2003</v>
      </c>
      <c r="D839" s="1" t="s">
        <v>2004</v>
      </c>
      <c r="E839" s="6">
        <v>31</v>
      </c>
    </row>
    <row r="840" spans="1:5" x14ac:dyDescent="0.25">
      <c r="A840" s="4" t="s">
        <v>7</v>
      </c>
      <c r="B840" s="4" t="s">
        <v>2242</v>
      </c>
      <c r="C840" s="1" t="s">
        <v>2009</v>
      </c>
      <c r="D840" s="1" t="s">
        <v>2010</v>
      </c>
      <c r="E840" s="6">
        <v>27</v>
      </c>
    </row>
    <row r="841" spans="1:5" x14ac:dyDescent="0.25">
      <c r="A841" s="4" t="s">
        <v>7</v>
      </c>
      <c r="B841" s="4" t="s">
        <v>2243</v>
      </c>
      <c r="C841" s="1" t="s">
        <v>2015</v>
      </c>
      <c r="D841" s="1" t="s">
        <v>2015</v>
      </c>
      <c r="E841" s="6">
        <v>19</v>
      </c>
    </row>
    <row r="842" spans="1:5" x14ac:dyDescent="0.25">
      <c r="A842" s="4" t="s">
        <v>7</v>
      </c>
      <c r="B842" s="4" t="s">
        <v>2244</v>
      </c>
      <c r="C842" s="1" t="s">
        <v>2019</v>
      </c>
      <c r="D842" s="1" t="s">
        <v>2019</v>
      </c>
      <c r="E842" s="6">
        <v>97</v>
      </c>
    </row>
    <row r="843" spans="1:5" x14ac:dyDescent="0.25">
      <c r="A843" s="4" t="s">
        <v>7</v>
      </c>
      <c r="B843" s="4" t="s">
        <v>2245</v>
      </c>
      <c r="C843" s="1" t="s">
        <v>2021</v>
      </c>
      <c r="D843" s="1" t="s">
        <v>2022</v>
      </c>
      <c r="E843" s="6">
        <v>140</v>
      </c>
    </row>
    <row r="844" spans="1:5" x14ac:dyDescent="0.25">
      <c r="A844" s="4" t="s">
        <v>7</v>
      </c>
      <c r="B844" s="4" t="s">
        <v>2246</v>
      </c>
      <c r="C844" s="1" t="s">
        <v>2024</v>
      </c>
      <c r="D844" s="1" t="s">
        <v>2025</v>
      </c>
      <c r="E844" s="6">
        <v>67</v>
      </c>
    </row>
    <row r="845" spans="1:5" x14ac:dyDescent="0.25">
      <c r="A845" s="4" t="s">
        <v>7</v>
      </c>
      <c r="B845" s="4" t="s">
        <v>2247</v>
      </c>
      <c r="C845" s="1" t="s">
        <v>2027</v>
      </c>
      <c r="D845" s="1" t="s">
        <v>2028</v>
      </c>
      <c r="E845" s="6">
        <v>163</v>
      </c>
    </row>
    <row r="846" spans="1:5" x14ac:dyDescent="0.25">
      <c r="A846" s="4" t="s">
        <v>7</v>
      </c>
      <c r="B846" s="4" t="s">
        <v>2248</v>
      </c>
      <c r="C846" s="1" t="s">
        <v>2030</v>
      </c>
      <c r="D846" s="1" t="s">
        <v>2031</v>
      </c>
      <c r="E846" s="6">
        <v>545</v>
      </c>
    </row>
    <row r="847" spans="1:5" x14ac:dyDescent="0.25">
      <c r="A847" s="4" t="s">
        <v>7</v>
      </c>
      <c r="B847" s="4" t="s">
        <v>2249</v>
      </c>
      <c r="C847" s="1" t="s">
        <v>2036</v>
      </c>
      <c r="D847" s="1" t="s">
        <v>2037</v>
      </c>
      <c r="E847" s="6">
        <v>48</v>
      </c>
    </row>
    <row r="848" spans="1:5" x14ac:dyDescent="0.25">
      <c r="A848" s="4" t="s">
        <v>7</v>
      </c>
      <c r="B848" s="4" t="s">
        <v>2250</v>
      </c>
      <c r="C848" s="1" t="s">
        <v>2039</v>
      </c>
      <c r="D848" s="1" t="s">
        <v>2039</v>
      </c>
      <c r="E848" s="6">
        <v>41</v>
      </c>
    </row>
    <row r="849" spans="1:5" x14ac:dyDescent="0.25">
      <c r="A849" s="4" t="s">
        <v>7</v>
      </c>
      <c r="B849" s="4" t="s">
        <v>2251</v>
      </c>
      <c r="C849" s="1" t="s">
        <v>2041</v>
      </c>
      <c r="D849" s="1" t="s">
        <v>2041</v>
      </c>
      <c r="E849" s="6">
        <v>78</v>
      </c>
    </row>
    <row r="850" spans="1:5" x14ac:dyDescent="0.25">
      <c r="A850" s="4" t="s">
        <v>7</v>
      </c>
      <c r="B850" s="4" t="s">
        <v>2252</v>
      </c>
      <c r="C850" s="1" t="s">
        <v>2046</v>
      </c>
      <c r="D850" s="1" t="s">
        <v>2047</v>
      </c>
      <c r="E850" s="6">
        <v>215</v>
      </c>
    </row>
    <row r="851" spans="1:5" x14ac:dyDescent="0.25">
      <c r="A851" s="4" t="s">
        <v>7</v>
      </c>
      <c r="B851" s="4" t="s">
        <v>2253</v>
      </c>
      <c r="C851" s="1" t="s">
        <v>2254</v>
      </c>
      <c r="D851" s="1" t="s">
        <v>2255</v>
      </c>
      <c r="E851" s="6">
        <v>81</v>
      </c>
    </row>
    <row r="852" spans="1:5" x14ac:dyDescent="0.25">
      <c r="A852" s="4" t="s">
        <v>7</v>
      </c>
      <c r="B852" s="4" t="s">
        <v>2256</v>
      </c>
      <c r="C852" s="1" t="s">
        <v>2052</v>
      </c>
      <c r="D852" s="1" t="s">
        <v>2053</v>
      </c>
      <c r="E852" s="6">
        <v>228</v>
      </c>
    </row>
    <row r="853" spans="1:5" x14ac:dyDescent="0.25">
      <c r="A853" s="4" t="s">
        <v>7</v>
      </c>
      <c r="B853" s="4" t="s">
        <v>2257</v>
      </c>
      <c r="C853" s="1" t="s">
        <v>2058</v>
      </c>
      <c r="D853" s="1" t="s">
        <v>2058</v>
      </c>
      <c r="E853" s="6">
        <v>133</v>
      </c>
    </row>
    <row r="854" spans="1:5" x14ac:dyDescent="0.25">
      <c r="A854" s="4" t="s">
        <v>7</v>
      </c>
      <c r="B854" s="4" t="s">
        <v>2258</v>
      </c>
      <c r="C854" s="1" t="s">
        <v>2063</v>
      </c>
      <c r="D854" s="1" t="s">
        <v>2063</v>
      </c>
      <c r="E854" s="6">
        <v>79</v>
      </c>
    </row>
    <row r="855" spans="1:5" x14ac:dyDescent="0.25">
      <c r="A855" s="4" t="s">
        <v>7</v>
      </c>
      <c r="B855" s="4" t="s">
        <v>2259</v>
      </c>
      <c r="C855" s="1" t="s">
        <v>2071</v>
      </c>
      <c r="D855" s="1" t="s">
        <v>2072</v>
      </c>
      <c r="E855" s="6">
        <v>184</v>
      </c>
    </row>
    <row r="856" spans="1:5" x14ac:dyDescent="0.25">
      <c r="A856" s="4" t="s">
        <v>7</v>
      </c>
      <c r="B856" s="4" t="s">
        <v>2260</v>
      </c>
      <c r="C856" s="1" t="s">
        <v>2261</v>
      </c>
      <c r="D856" s="1" t="s">
        <v>2261</v>
      </c>
      <c r="E856" s="6">
        <v>218</v>
      </c>
    </row>
    <row r="857" spans="1:5" x14ac:dyDescent="0.25">
      <c r="A857" s="4" t="s">
        <v>7</v>
      </c>
      <c r="B857" s="4" t="s">
        <v>2262</v>
      </c>
      <c r="C857" s="1" t="s">
        <v>2084</v>
      </c>
      <c r="D857" s="1" t="s">
        <v>2085</v>
      </c>
      <c r="E857" s="6">
        <v>179</v>
      </c>
    </row>
    <row r="858" spans="1:5" x14ac:dyDescent="0.25">
      <c r="A858" s="4" t="s">
        <v>7</v>
      </c>
      <c r="B858" s="4" t="s">
        <v>2263</v>
      </c>
      <c r="C858" s="1" t="s">
        <v>2089</v>
      </c>
      <c r="D858" s="1" t="s">
        <v>2090</v>
      </c>
      <c r="E858" s="6">
        <v>392</v>
      </c>
    </row>
    <row r="859" spans="1:5" x14ac:dyDescent="0.25">
      <c r="A859" s="4" t="s">
        <v>7</v>
      </c>
      <c r="B859" s="4" t="s">
        <v>2264</v>
      </c>
      <c r="C859" s="1" t="s">
        <v>2094</v>
      </c>
      <c r="D859" s="1" t="s">
        <v>2095</v>
      </c>
      <c r="E859" s="6">
        <v>216</v>
      </c>
    </row>
    <row r="860" spans="1:5" x14ac:dyDescent="0.25">
      <c r="A860" s="4" t="s">
        <v>7</v>
      </c>
      <c r="B860" s="4" t="s">
        <v>2265</v>
      </c>
      <c r="C860" s="1" t="s">
        <v>2097</v>
      </c>
      <c r="D860" s="1" t="s">
        <v>2085</v>
      </c>
      <c r="E860" s="6">
        <v>456</v>
      </c>
    </row>
    <row r="861" spans="1:5" x14ac:dyDescent="0.25">
      <c r="A861" s="4" t="s">
        <v>7</v>
      </c>
      <c r="B861" s="4" t="s">
        <v>2266</v>
      </c>
      <c r="C861" s="1" t="s">
        <v>2267</v>
      </c>
      <c r="D861" s="1" t="s">
        <v>2085</v>
      </c>
      <c r="E861" s="6">
        <v>269</v>
      </c>
    </row>
    <row r="862" spans="1:5" x14ac:dyDescent="0.25">
      <c r="A862" s="4" t="s">
        <v>7</v>
      </c>
      <c r="B862" s="4" t="s">
        <v>2268</v>
      </c>
      <c r="C862" s="1" t="s">
        <v>2269</v>
      </c>
      <c r="D862" s="1" t="s">
        <v>2085</v>
      </c>
      <c r="E862" s="6">
        <v>269</v>
      </c>
    </row>
    <row r="863" spans="1:5" x14ac:dyDescent="0.25">
      <c r="A863" s="4" t="s">
        <v>7</v>
      </c>
      <c r="B863" s="4" t="s">
        <v>2270</v>
      </c>
      <c r="C863" s="1" t="s">
        <v>2114</v>
      </c>
      <c r="D863" s="1" t="s">
        <v>2115</v>
      </c>
      <c r="E863" s="6">
        <v>269</v>
      </c>
    </row>
    <row r="864" spans="1:5" x14ac:dyDescent="0.25">
      <c r="A864" s="4" t="s">
        <v>7</v>
      </c>
      <c r="B864" s="4" t="s">
        <v>2271</v>
      </c>
      <c r="C864" s="1" t="s">
        <v>2110</v>
      </c>
      <c r="D864" s="1" t="s">
        <v>2085</v>
      </c>
      <c r="E864" s="6">
        <v>467</v>
      </c>
    </row>
    <row r="865" spans="1:5" x14ac:dyDescent="0.25">
      <c r="A865" s="4" t="s">
        <v>7</v>
      </c>
      <c r="B865" s="4" t="s">
        <v>2272</v>
      </c>
      <c r="C865" s="1" t="s">
        <v>2119</v>
      </c>
      <c r="D865" s="1" t="s">
        <v>2120</v>
      </c>
      <c r="E865" s="6">
        <v>246</v>
      </c>
    </row>
    <row r="866" spans="1:5" x14ac:dyDescent="0.25">
      <c r="A866" s="4" t="s">
        <v>7</v>
      </c>
      <c r="B866" s="4" t="s">
        <v>2273</v>
      </c>
      <c r="C866" s="1" t="s">
        <v>2274</v>
      </c>
      <c r="D866" s="1" t="s">
        <v>2085</v>
      </c>
      <c r="E866" s="6">
        <v>269</v>
      </c>
    </row>
    <row r="867" spans="1:5" x14ac:dyDescent="0.25">
      <c r="A867" s="4" t="s">
        <v>7</v>
      </c>
      <c r="B867" s="4" t="s">
        <v>2275</v>
      </c>
      <c r="C867" s="1" t="s">
        <v>2276</v>
      </c>
      <c r="D867" s="1" t="s">
        <v>2133</v>
      </c>
      <c r="E867" s="6">
        <v>90</v>
      </c>
    </row>
    <row r="868" spans="1:5" x14ac:dyDescent="0.25">
      <c r="A868" s="4" t="s">
        <v>7</v>
      </c>
      <c r="B868" s="4" t="s">
        <v>2277</v>
      </c>
      <c r="C868" s="1" t="s">
        <v>2135</v>
      </c>
      <c r="D868" s="1" t="s">
        <v>2136</v>
      </c>
      <c r="E868" s="6">
        <v>46</v>
      </c>
    </row>
    <row r="869" spans="1:5" x14ac:dyDescent="0.25">
      <c r="A869" s="4" t="s">
        <v>7</v>
      </c>
      <c r="B869" s="4" t="s">
        <v>2278</v>
      </c>
      <c r="C869" s="1" t="s">
        <v>2138</v>
      </c>
      <c r="D869" s="1" t="s">
        <v>2139</v>
      </c>
      <c r="E869" s="6">
        <v>122</v>
      </c>
    </row>
    <row r="870" spans="1:5" x14ac:dyDescent="0.25">
      <c r="A870" s="4" t="s">
        <v>7</v>
      </c>
      <c r="B870" s="4" t="s">
        <v>2279</v>
      </c>
      <c r="C870" s="1" t="s">
        <v>2280</v>
      </c>
      <c r="D870" s="1" t="s">
        <v>2142</v>
      </c>
      <c r="E870" s="6">
        <v>229</v>
      </c>
    </row>
    <row r="871" spans="1:5" x14ac:dyDescent="0.25">
      <c r="A871" s="4" t="s">
        <v>7</v>
      </c>
      <c r="B871" s="4" t="s">
        <v>2281</v>
      </c>
      <c r="C871" s="1" t="s">
        <v>2282</v>
      </c>
      <c r="D871" s="1" t="s">
        <v>2282</v>
      </c>
      <c r="E871" s="6">
        <v>198</v>
      </c>
    </row>
    <row r="872" spans="1:5" x14ac:dyDescent="0.25">
      <c r="A872" s="4" t="s">
        <v>7</v>
      </c>
      <c r="B872" s="4" t="s">
        <v>2283</v>
      </c>
      <c r="C872" s="1" t="s">
        <v>2168</v>
      </c>
      <c r="D872" s="1" t="s">
        <v>2169</v>
      </c>
      <c r="E872" s="6">
        <v>139</v>
      </c>
    </row>
    <row r="873" spans="1:5" x14ac:dyDescent="0.25">
      <c r="A873" s="4" t="s">
        <v>7</v>
      </c>
      <c r="B873" s="4" t="s">
        <v>2284</v>
      </c>
      <c r="C873" s="1" t="s">
        <v>2176</v>
      </c>
      <c r="D873" s="1" t="s">
        <v>2177</v>
      </c>
      <c r="E873" s="6">
        <v>294</v>
      </c>
    </row>
    <row r="874" spans="1:5" x14ac:dyDescent="0.25">
      <c r="A874" s="4" t="s">
        <v>7</v>
      </c>
      <c r="B874" s="4" t="s">
        <v>2285</v>
      </c>
      <c r="C874" s="1" t="s">
        <v>2179</v>
      </c>
      <c r="D874" s="1" t="s">
        <v>2180</v>
      </c>
      <c r="E874" s="6">
        <v>343</v>
      </c>
    </row>
    <row r="875" spans="1:5" x14ac:dyDescent="0.25">
      <c r="A875" s="4" t="s">
        <v>7</v>
      </c>
      <c r="B875" s="4" t="s">
        <v>2286</v>
      </c>
      <c r="C875" s="1" t="s">
        <v>1928</v>
      </c>
      <c r="D875" s="1" t="s">
        <v>1929</v>
      </c>
      <c r="E875" s="6">
        <v>28</v>
      </c>
    </row>
    <row r="876" spans="1:5" x14ac:dyDescent="0.25">
      <c r="A876" s="4" t="s">
        <v>7</v>
      </c>
      <c r="B876" s="4" t="s">
        <v>2287</v>
      </c>
      <c r="C876" s="1" t="s">
        <v>2288</v>
      </c>
      <c r="D876" s="1" t="s">
        <v>2288</v>
      </c>
      <c r="E876" s="6">
        <v>56</v>
      </c>
    </row>
    <row r="877" spans="1:5" x14ac:dyDescent="0.25">
      <c r="A877" s="4" t="s">
        <v>7</v>
      </c>
      <c r="B877" s="4" t="s">
        <v>2289</v>
      </c>
      <c r="C877" s="1" t="s">
        <v>2290</v>
      </c>
      <c r="D877" s="1" t="s">
        <v>2291</v>
      </c>
      <c r="E877" s="6">
        <v>34</v>
      </c>
    </row>
    <row r="878" spans="1:5" x14ac:dyDescent="0.25">
      <c r="A878" s="4" t="s">
        <v>7</v>
      </c>
      <c r="B878" s="4" t="s">
        <v>2292</v>
      </c>
      <c r="C878" s="1" t="s">
        <v>2293</v>
      </c>
      <c r="D878" s="1" t="s">
        <v>2294</v>
      </c>
      <c r="E878" s="6">
        <v>34</v>
      </c>
    </row>
    <row r="879" spans="1:5" x14ac:dyDescent="0.25">
      <c r="A879" s="4" t="s">
        <v>7</v>
      </c>
      <c r="B879" s="4" t="s">
        <v>2295</v>
      </c>
      <c r="C879" s="1" t="s">
        <v>2296</v>
      </c>
      <c r="D879" s="1" t="s">
        <v>2297</v>
      </c>
      <c r="E879" s="6">
        <v>36</v>
      </c>
    </row>
    <row r="880" spans="1:5" x14ac:dyDescent="0.25">
      <c r="A880" s="4" t="s">
        <v>7</v>
      </c>
      <c r="B880" s="4" t="s">
        <v>2298</v>
      </c>
      <c r="C880" s="1" t="s">
        <v>2299</v>
      </c>
      <c r="D880" s="1" t="s">
        <v>2300</v>
      </c>
      <c r="E880" s="6">
        <v>492</v>
      </c>
    </row>
    <row r="881" spans="1:5" x14ac:dyDescent="0.25">
      <c r="A881" s="4" t="s">
        <v>7</v>
      </c>
      <c r="B881" s="4" t="s">
        <v>2301</v>
      </c>
      <c r="C881" s="1" t="s">
        <v>2302</v>
      </c>
      <c r="D881" s="1" t="s">
        <v>2303</v>
      </c>
      <c r="E881" s="6">
        <v>1412.33</v>
      </c>
    </row>
    <row r="882" spans="1:5" x14ac:dyDescent="0.25">
      <c r="A882" s="4" t="s">
        <v>7</v>
      </c>
      <c r="B882" s="4" t="s">
        <v>2304</v>
      </c>
      <c r="C882" s="1" t="s">
        <v>2305</v>
      </c>
      <c r="D882" s="1" t="s">
        <v>2306</v>
      </c>
      <c r="E882" s="6">
        <v>298</v>
      </c>
    </row>
    <row r="883" spans="1:5" x14ac:dyDescent="0.25">
      <c r="A883" s="4" t="s">
        <v>7</v>
      </c>
      <c r="B883" s="4" t="s">
        <v>2307</v>
      </c>
      <c r="C883" s="1" t="s">
        <v>2308</v>
      </c>
      <c r="D883" s="1" t="s">
        <v>2309</v>
      </c>
      <c r="E883" s="6">
        <v>394</v>
      </c>
    </row>
    <row r="884" spans="1:5" x14ac:dyDescent="0.25">
      <c r="A884" s="4" t="s">
        <v>7</v>
      </c>
      <c r="B884" s="4" t="s">
        <v>2310</v>
      </c>
      <c r="C884" s="1" t="s">
        <v>2311</v>
      </c>
      <c r="D884" s="1" t="s">
        <v>2312</v>
      </c>
      <c r="E884" s="6">
        <v>391</v>
      </c>
    </row>
    <row r="885" spans="1:5" x14ac:dyDescent="0.25">
      <c r="A885" s="4" t="s">
        <v>7</v>
      </c>
      <c r="B885" s="4" t="s">
        <v>2313</v>
      </c>
      <c r="C885" s="1" t="s">
        <v>2314</v>
      </c>
      <c r="D885" s="1" t="s">
        <v>2315</v>
      </c>
      <c r="E885" s="6">
        <v>382</v>
      </c>
    </row>
    <row r="886" spans="1:5" x14ac:dyDescent="0.25">
      <c r="A886" s="4" t="s">
        <v>7</v>
      </c>
      <c r="B886" s="4" t="s">
        <v>2316</v>
      </c>
      <c r="C886" s="1" t="s">
        <v>2317</v>
      </c>
      <c r="D886" s="1" t="s">
        <v>2318</v>
      </c>
      <c r="E886" s="6">
        <v>455</v>
      </c>
    </row>
    <row r="887" spans="1:5" x14ac:dyDescent="0.25">
      <c r="A887" s="4" t="s">
        <v>7</v>
      </c>
      <c r="B887" s="4" t="s">
        <v>2319</v>
      </c>
      <c r="C887" s="1" t="s">
        <v>2320</v>
      </c>
      <c r="D887" s="1" t="s">
        <v>2321</v>
      </c>
      <c r="E887" s="6">
        <v>357</v>
      </c>
    </row>
    <row r="888" spans="1:5" x14ac:dyDescent="0.25">
      <c r="A888" s="4" t="s">
        <v>7</v>
      </c>
      <c r="B888" s="4" t="s">
        <v>2322</v>
      </c>
      <c r="C888" s="1" t="s">
        <v>2323</v>
      </c>
      <c r="D888" s="1" t="s">
        <v>2324</v>
      </c>
      <c r="E888" s="6">
        <v>1249</v>
      </c>
    </row>
    <row r="889" spans="1:5" x14ac:dyDescent="0.25">
      <c r="A889" s="4" t="s">
        <v>7</v>
      </c>
      <c r="B889" s="4" t="s">
        <v>2325</v>
      </c>
      <c r="C889" s="1" t="s">
        <v>2326</v>
      </c>
      <c r="D889" s="1" t="s">
        <v>2327</v>
      </c>
      <c r="E889" s="6">
        <v>233</v>
      </c>
    </row>
    <row r="890" spans="1:5" x14ac:dyDescent="0.25">
      <c r="A890" s="4" t="s">
        <v>7</v>
      </c>
      <c r="B890" s="4" t="s">
        <v>2328</v>
      </c>
      <c r="C890" s="1" t="s">
        <v>2329</v>
      </c>
      <c r="D890" s="1" t="s">
        <v>2330</v>
      </c>
      <c r="E890" s="6">
        <v>1052</v>
      </c>
    </row>
    <row r="891" spans="1:5" x14ac:dyDescent="0.25">
      <c r="A891" s="4" t="s">
        <v>7</v>
      </c>
      <c r="B891" s="4" t="s">
        <v>2331</v>
      </c>
      <c r="C891" s="1" t="s">
        <v>2332</v>
      </c>
      <c r="D891" s="1" t="s">
        <v>2333</v>
      </c>
      <c r="E891" s="6">
        <v>803</v>
      </c>
    </row>
    <row r="892" spans="1:5" x14ac:dyDescent="0.25">
      <c r="A892" s="4" t="s">
        <v>7</v>
      </c>
      <c r="B892" s="4" t="s">
        <v>2334</v>
      </c>
      <c r="C892" s="1" t="s">
        <v>2335</v>
      </c>
      <c r="D892" s="1" t="s">
        <v>2336</v>
      </c>
      <c r="E892" s="6">
        <v>438</v>
      </c>
    </row>
    <row r="893" spans="1:5" x14ac:dyDescent="0.25">
      <c r="A893" s="4" t="s">
        <v>7</v>
      </c>
      <c r="B893" s="4" t="s">
        <v>2337</v>
      </c>
      <c r="C893" s="1" t="s">
        <v>2338</v>
      </c>
      <c r="D893" s="1" t="s">
        <v>2339</v>
      </c>
      <c r="E893" s="6">
        <v>311</v>
      </c>
    </row>
    <row r="894" spans="1:5" x14ac:dyDescent="0.25">
      <c r="A894" s="4" t="s">
        <v>7</v>
      </c>
      <c r="B894" s="4" t="s">
        <v>2340</v>
      </c>
      <c r="C894" s="1" t="s">
        <v>2341</v>
      </c>
      <c r="D894" s="1" t="s">
        <v>2342</v>
      </c>
      <c r="E894" s="6">
        <v>357</v>
      </c>
    </row>
    <row r="895" spans="1:5" x14ac:dyDescent="0.25">
      <c r="A895" s="4" t="s">
        <v>7</v>
      </c>
      <c r="B895" s="4" t="s">
        <v>2343</v>
      </c>
      <c r="C895" s="1" t="s">
        <v>2344</v>
      </c>
      <c r="D895" s="1" t="s">
        <v>2345</v>
      </c>
      <c r="E895" s="6">
        <v>916</v>
      </c>
    </row>
    <row r="896" spans="1:5" x14ac:dyDescent="0.25">
      <c r="A896" s="4" t="s">
        <v>7</v>
      </c>
      <c r="B896" s="4" t="s">
        <v>2346</v>
      </c>
      <c r="C896" s="1" t="s">
        <v>2347</v>
      </c>
      <c r="D896" s="1" t="s">
        <v>2348</v>
      </c>
      <c r="E896" s="6">
        <v>1883</v>
      </c>
    </row>
    <row r="897" spans="1:5" x14ac:dyDescent="0.25">
      <c r="A897" s="4" t="s">
        <v>7</v>
      </c>
      <c r="B897" s="4" t="s">
        <v>2349</v>
      </c>
      <c r="C897" s="1" t="s">
        <v>2350</v>
      </c>
      <c r="D897" s="1" t="s">
        <v>2350</v>
      </c>
      <c r="E897" s="6">
        <v>263</v>
      </c>
    </row>
    <row r="898" spans="1:5" x14ac:dyDescent="0.25">
      <c r="A898" s="4" t="s">
        <v>7</v>
      </c>
      <c r="B898" s="4" t="s">
        <v>2351</v>
      </c>
      <c r="C898" s="1" t="s">
        <v>2352</v>
      </c>
      <c r="D898" s="1" t="s">
        <v>2353</v>
      </c>
      <c r="E898" s="6">
        <v>504</v>
      </c>
    </row>
    <row r="899" spans="1:5" x14ac:dyDescent="0.25">
      <c r="A899" s="4" t="s">
        <v>7</v>
      </c>
      <c r="B899" s="4" t="s">
        <v>2354</v>
      </c>
      <c r="C899" s="1" t="s">
        <v>2355</v>
      </c>
      <c r="D899" s="1" t="s">
        <v>2356</v>
      </c>
      <c r="E899" s="6">
        <v>517</v>
      </c>
    </row>
    <row r="900" spans="1:5" x14ac:dyDescent="0.25">
      <c r="A900" s="4" t="s">
        <v>7</v>
      </c>
      <c r="B900" s="4" t="s">
        <v>2357</v>
      </c>
      <c r="C900" s="1" t="s">
        <v>2358</v>
      </c>
      <c r="D900" s="1" t="s">
        <v>2359</v>
      </c>
      <c r="E900" s="6">
        <v>826</v>
      </c>
    </row>
    <row r="901" spans="1:5" x14ac:dyDescent="0.25">
      <c r="A901" s="4" t="s">
        <v>7</v>
      </c>
      <c r="B901" s="4" t="s">
        <v>2360</v>
      </c>
      <c r="C901" s="1" t="s">
        <v>2361</v>
      </c>
      <c r="D901" s="1" t="s">
        <v>2362</v>
      </c>
      <c r="E901" s="6">
        <v>350</v>
      </c>
    </row>
    <row r="902" spans="1:5" x14ac:dyDescent="0.25">
      <c r="A902" s="4" t="s">
        <v>7</v>
      </c>
      <c r="B902" s="4" t="s">
        <v>2363</v>
      </c>
      <c r="C902" s="1" t="s">
        <v>2364</v>
      </c>
      <c r="D902" s="1" t="s">
        <v>2365</v>
      </c>
      <c r="E902" s="6">
        <v>425</v>
      </c>
    </row>
    <row r="903" spans="1:5" x14ac:dyDescent="0.25">
      <c r="A903" s="4" t="s">
        <v>7</v>
      </c>
      <c r="B903" s="4" t="s">
        <v>2366</v>
      </c>
      <c r="C903" s="1" t="s">
        <v>2367</v>
      </c>
      <c r="D903" s="1" t="s">
        <v>2368</v>
      </c>
      <c r="E903" s="6">
        <v>150</v>
      </c>
    </row>
    <row r="904" spans="1:5" x14ac:dyDescent="0.25">
      <c r="A904" s="4" t="s">
        <v>7</v>
      </c>
      <c r="B904" s="4" t="s">
        <v>2369</v>
      </c>
      <c r="C904" s="1" t="s">
        <v>2370</v>
      </c>
      <c r="D904" s="1" t="s">
        <v>2371</v>
      </c>
      <c r="E904" s="6">
        <v>1176</v>
      </c>
    </row>
    <row r="905" spans="1:5" x14ac:dyDescent="0.25">
      <c r="A905" s="4" t="s">
        <v>7</v>
      </c>
      <c r="B905" s="4" t="s">
        <v>2372</v>
      </c>
      <c r="C905" s="1" t="s">
        <v>2373</v>
      </c>
      <c r="D905" s="1" t="s">
        <v>2374</v>
      </c>
      <c r="E905" s="6">
        <v>496</v>
      </c>
    </row>
    <row r="906" spans="1:5" x14ac:dyDescent="0.25">
      <c r="A906" s="4" t="s">
        <v>7</v>
      </c>
      <c r="B906" s="4" t="s">
        <v>2375</v>
      </c>
      <c r="C906" s="1" t="s">
        <v>2376</v>
      </c>
      <c r="D906" s="1" t="s">
        <v>2377</v>
      </c>
      <c r="E906" s="6">
        <v>365</v>
      </c>
    </row>
    <row r="907" spans="1:5" x14ac:dyDescent="0.25">
      <c r="A907" s="4" t="s">
        <v>7</v>
      </c>
      <c r="B907" s="4" t="s">
        <v>2378</v>
      </c>
      <c r="C907" s="1" t="s">
        <v>2379</v>
      </c>
      <c r="D907" s="1" t="s">
        <v>2380</v>
      </c>
      <c r="E907" s="6">
        <v>862</v>
      </c>
    </row>
    <row r="908" spans="1:5" x14ac:dyDescent="0.25">
      <c r="A908" s="4" t="s">
        <v>7</v>
      </c>
      <c r="B908" s="4" t="s">
        <v>2381</v>
      </c>
      <c r="C908" s="1" t="s">
        <v>2382</v>
      </c>
      <c r="D908" s="1" t="s">
        <v>2383</v>
      </c>
      <c r="E908" s="6">
        <v>287</v>
      </c>
    </row>
    <row r="909" spans="1:5" x14ac:dyDescent="0.25">
      <c r="A909" s="4" t="s">
        <v>7</v>
      </c>
      <c r="B909" s="4" t="s">
        <v>2384</v>
      </c>
      <c r="C909" s="1" t="s">
        <v>2385</v>
      </c>
      <c r="D909" s="1" t="s">
        <v>2386</v>
      </c>
      <c r="E909" s="6">
        <v>1553</v>
      </c>
    </row>
    <row r="910" spans="1:5" x14ac:dyDescent="0.25">
      <c r="A910" s="4" t="s">
        <v>7</v>
      </c>
      <c r="B910" s="4" t="s">
        <v>2387</v>
      </c>
      <c r="C910" s="1" t="s">
        <v>2388</v>
      </c>
      <c r="D910" s="1" t="s">
        <v>2389</v>
      </c>
      <c r="E910" s="6">
        <v>228</v>
      </c>
    </row>
    <row r="911" spans="1:5" x14ac:dyDescent="0.25">
      <c r="A911" s="4" t="s">
        <v>7</v>
      </c>
      <c r="B911" s="4" t="s">
        <v>2390</v>
      </c>
      <c r="C911" s="1" t="s">
        <v>2391</v>
      </c>
      <c r="D911" s="1" t="s">
        <v>2392</v>
      </c>
      <c r="E911" s="6">
        <v>731</v>
      </c>
    </row>
    <row r="912" spans="1:5" x14ac:dyDescent="0.25">
      <c r="A912" s="4" t="s">
        <v>7</v>
      </c>
      <c r="B912" s="4" t="s">
        <v>2393</v>
      </c>
      <c r="C912" s="1" t="s">
        <v>2394</v>
      </c>
      <c r="D912" s="1" t="s">
        <v>2395</v>
      </c>
      <c r="E912" s="6">
        <v>621</v>
      </c>
    </row>
    <row r="913" spans="1:5" x14ac:dyDescent="0.25">
      <c r="A913" s="4" t="s">
        <v>7</v>
      </c>
      <c r="B913" s="4" t="s">
        <v>2396</v>
      </c>
      <c r="C913" s="1" t="s">
        <v>2397</v>
      </c>
      <c r="D913" s="1" t="s">
        <v>2398</v>
      </c>
      <c r="E913" s="6">
        <v>0.01</v>
      </c>
    </row>
    <row r="914" spans="1:5" x14ac:dyDescent="0.25">
      <c r="A914" s="4" t="s">
        <v>7</v>
      </c>
      <c r="B914" s="4" t="s">
        <v>2399</v>
      </c>
      <c r="C914" s="1" t="s">
        <v>2400</v>
      </c>
      <c r="D914" s="1" t="s">
        <v>2401</v>
      </c>
      <c r="E914" s="6">
        <v>1736</v>
      </c>
    </row>
    <row r="915" spans="1:5" x14ac:dyDescent="0.25">
      <c r="A915" s="4" t="s">
        <v>7</v>
      </c>
      <c r="B915" s="4" t="s">
        <v>2402</v>
      </c>
      <c r="C915" s="1" t="s">
        <v>2403</v>
      </c>
      <c r="D915" s="1" t="s">
        <v>2404</v>
      </c>
      <c r="E915" s="6">
        <v>2028</v>
      </c>
    </row>
    <row r="916" spans="1:5" x14ac:dyDescent="0.25">
      <c r="A916" s="4" t="s">
        <v>7</v>
      </c>
      <c r="B916" s="4" t="s">
        <v>2405</v>
      </c>
      <c r="C916" s="1" t="s">
        <v>2406</v>
      </c>
      <c r="D916" s="1" t="s">
        <v>2407</v>
      </c>
      <c r="E916" s="6">
        <v>225</v>
      </c>
    </row>
    <row r="917" spans="1:5" x14ac:dyDescent="0.25">
      <c r="A917" s="4" t="s">
        <v>7</v>
      </c>
      <c r="B917" s="4" t="s">
        <v>2408</v>
      </c>
      <c r="C917" s="1" t="s">
        <v>2409</v>
      </c>
      <c r="D917" s="1" t="s">
        <v>2410</v>
      </c>
      <c r="E917" s="6">
        <v>1326</v>
      </c>
    </row>
    <row r="918" spans="1:5" x14ac:dyDescent="0.25">
      <c r="A918" s="4" t="s">
        <v>7</v>
      </c>
      <c r="B918" s="4" t="s">
        <v>2411</v>
      </c>
      <c r="C918" s="1" t="s">
        <v>2412</v>
      </c>
      <c r="D918" s="1" t="s">
        <v>2413</v>
      </c>
      <c r="E918" s="6">
        <v>245</v>
      </c>
    </row>
    <row r="919" spans="1:5" x14ac:dyDescent="0.25">
      <c r="A919" s="4" t="s">
        <v>7</v>
      </c>
      <c r="B919" s="4" t="s">
        <v>2414</v>
      </c>
      <c r="C919" s="1" t="s">
        <v>2415</v>
      </c>
      <c r="D919" s="1" t="s">
        <v>2416</v>
      </c>
      <c r="E919" s="6">
        <v>403</v>
      </c>
    </row>
    <row r="920" spans="1:5" x14ac:dyDescent="0.25">
      <c r="A920" s="4" t="s">
        <v>7</v>
      </c>
      <c r="B920" s="4" t="s">
        <v>2417</v>
      </c>
      <c r="C920" s="1" t="s">
        <v>2418</v>
      </c>
      <c r="D920" s="1" t="s">
        <v>2419</v>
      </c>
      <c r="E920" s="6">
        <v>637</v>
      </c>
    </row>
    <row r="921" spans="1:5" x14ac:dyDescent="0.25">
      <c r="A921" s="4" t="s">
        <v>7</v>
      </c>
      <c r="B921" s="4" t="s">
        <v>2420</v>
      </c>
      <c r="C921" s="1" t="s">
        <v>2421</v>
      </c>
      <c r="D921" s="1" t="s">
        <v>2422</v>
      </c>
      <c r="E921" s="6">
        <v>1348</v>
      </c>
    </row>
    <row r="922" spans="1:5" x14ac:dyDescent="0.25">
      <c r="A922" s="4" t="s">
        <v>7</v>
      </c>
      <c r="B922" s="4" t="s">
        <v>2423</v>
      </c>
      <c r="C922" s="1" t="s">
        <v>2424</v>
      </c>
      <c r="D922" s="1" t="s">
        <v>2425</v>
      </c>
      <c r="E922" s="6">
        <v>1604</v>
      </c>
    </row>
    <row r="923" spans="1:5" x14ac:dyDescent="0.25">
      <c r="A923" s="4" t="s">
        <v>7</v>
      </c>
      <c r="B923" s="4" t="s">
        <v>2426</v>
      </c>
      <c r="C923" s="1" t="s">
        <v>2427</v>
      </c>
      <c r="D923" s="1" t="s">
        <v>2428</v>
      </c>
      <c r="E923" s="6">
        <v>2929</v>
      </c>
    </row>
    <row r="924" spans="1:5" x14ac:dyDescent="0.25">
      <c r="A924" s="4" t="s">
        <v>7</v>
      </c>
      <c r="B924" s="4" t="s">
        <v>2429</v>
      </c>
      <c r="C924" s="1" t="s">
        <v>2430</v>
      </c>
      <c r="D924" s="1" t="s">
        <v>2431</v>
      </c>
      <c r="E924" s="6">
        <v>212</v>
      </c>
    </row>
    <row r="925" spans="1:5" x14ac:dyDescent="0.25">
      <c r="A925" s="4" t="s">
        <v>7</v>
      </c>
      <c r="B925" s="4" t="s">
        <v>2432</v>
      </c>
      <c r="C925" s="1" t="s">
        <v>2433</v>
      </c>
      <c r="D925" s="1" t="s">
        <v>2434</v>
      </c>
      <c r="E925" s="6">
        <v>6454</v>
      </c>
    </row>
    <row r="926" spans="1:5" x14ac:dyDescent="0.25">
      <c r="A926" s="4" t="s">
        <v>7</v>
      </c>
      <c r="B926" s="4" t="s">
        <v>2435</v>
      </c>
      <c r="C926" s="1" t="s">
        <v>2436</v>
      </c>
      <c r="D926" s="1" t="s">
        <v>2437</v>
      </c>
      <c r="E926" s="6">
        <v>3229</v>
      </c>
    </row>
    <row r="927" spans="1:5" x14ac:dyDescent="0.25">
      <c r="A927" s="4" t="s">
        <v>7</v>
      </c>
      <c r="B927" s="4" t="s">
        <v>2438</v>
      </c>
      <c r="C927" s="1" t="s">
        <v>2439</v>
      </c>
      <c r="D927" s="1" t="s">
        <v>2440</v>
      </c>
      <c r="E927" s="6">
        <v>4571</v>
      </c>
    </row>
    <row r="928" spans="1:5" x14ac:dyDescent="0.25">
      <c r="A928" s="4" t="s">
        <v>7</v>
      </c>
      <c r="B928" s="4" t="s">
        <v>2441</v>
      </c>
      <c r="C928" s="1" t="s">
        <v>2442</v>
      </c>
      <c r="D928" s="1" t="s">
        <v>2443</v>
      </c>
      <c r="E928" s="6">
        <v>1934</v>
      </c>
    </row>
    <row r="929" spans="1:5" x14ac:dyDescent="0.25">
      <c r="A929" s="4" t="s">
        <v>7</v>
      </c>
      <c r="B929" s="4" t="s">
        <v>2444</v>
      </c>
      <c r="C929" s="1" t="s">
        <v>2445</v>
      </c>
      <c r="D929" s="1" t="s">
        <v>2446</v>
      </c>
      <c r="E929" s="6">
        <v>5675</v>
      </c>
    </row>
    <row r="930" spans="1:5" x14ac:dyDescent="0.25">
      <c r="A930" s="4" t="s">
        <v>7</v>
      </c>
      <c r="B930" s="4" t="s">
        <v>2447</v>
      </c>
      <c r="C930" s="1" t="s">
        <v>2448</v>
      </c>
      <c r="D930" s="1" t="s">
        <v>2449</v>
      </c>
      <c r="E930" s="6">
        <v>4032</v>
      </c>
    </row>
    <row r="931" spans="1:5" x14ac:dyDescent="0.25">
      <c r="A931" s="4" t="s">
        <v>7</v>
      </c>
      <c r="B931" s="4" t="s">
        <v>2450</v>
      </c>
      <c r="C931" s="1" t="s">
        <v>2451</v>
      </c>
      <c r="D931" s="1" t="s">
        <v>2452</v>
      </c>
      <c r="E931" s="6">
        <v>4413</v>
      </c>
    </row>
    <row r="932" spans="1:5" x14ac:dyDescent="0.25">
      <c r="A932" s="4" t="s">
        <v>7</v>
      </c>
      <c r="B932" s="4" t="s">
        <v>2453</v>
      </c>
      <c r="C932" s="1" t="s">
        <v>2454</v>
      </c>
      <c r="D932" s="1" t="s">
        <v>2455</v>
      </c>
      <c r="E932" s="6">
        <v>1320</v>
      </c>
    </row>
    <row r="933" spans="1:5" x14ac:dyDescent="0.25">
      <c r="A933" s="4" t="s">
        <v>7</v>
      </c>
      <c r="B933" s="4" t="s">
        <v>2456</v>
      </c>
      <c r="C933" s="1" t="s">
        <v>2457</v>
      </c>
      <c r="D933" s="1" t="s">
        <v>2458</v>
      </c>
      <c r="E933" s="6">
        <v>2904</v>
      </c>
    </row>
    <row r="934" spans="1:5" x14ac:dyDescent="0.25">
      <c r="A934" s="4" t="s">
        <v>7</v>
      </c>
      <c r="B934" s="4" t="s">
        <v>2459</v>
      </c>
      <c r="C934" s="1" t="s">
        <v>2460</v>
      </c>
      <c r="D934" s="1" t="s">
        <v>2461</v>
      </c>
      <c r="E934" s="6">
        <v>3113</v>
      </c>
    </row>
    <row r="935" spans="1:5" x14ac:dyDescent="0.25">
      <c r="A935" s="4" t="s">
        <v>7</v>
      </c>
      <c r="B935" s="4" t="s">
        <v>2462</v>
      </c>
      <c r="C935" s="1" t="s">
        <v>2463</v>
      </c>
      <c r="D935" s="1" t="s">
        <v>2464</v>
      </c>
      <c r="E935" s="6">
        <v>1702</v>
      </c>
    </row>
    <row r="936" spans="1:5" x14ac:dyDescent="0.25">
      <c r="A936" s="4" t="s">
        <v>7</v>
      </c>
      <c r="B936" s="4" t="s">
        <v>2465</v>
      </c>
      <c r="C936" s="1" t="s">
        <v>2466</v>
      </c>
      <c r="D936" s="1" t="s">
        <v>2467</v>
      </c>
      <c r="E936" s="6">
        <v>8539</v>
      </c>
    </row>
    <row r="937" spans="1:5" x14ac:dyDescent="0.25">
      <c r="A937" s="4" t="s">
        <v>7</v>
      </c>
      <c r="B937" s="4" t="s">
        <v>2468</v>
      </c>
      <c r="C937" s="1" t="s">
        <v>2469</v>
      </c>
      <c r="D937" s="1" t="s">
        <v>2470</v>
      </c>
      <c r="E937" s="6">
        <v>3179</v>
      </c>
    </row>
    <row r="938" spans="1:5" x14ac:dyDescent="0.25">
      <c r="A938" s="4" t="s">
        <v>7</v>
      </c>
      <c r="B938" s="4" t="s">
        <v>2471</v>
      </c>
      <c r="C938" s="1" t="s">
        <v>2472</v>
      </c>
      <c r="D938" s="1" t="s">
        <v>2473</v>
      </c>
      <c r="E938" s="6">
        <v>4812</v>
      </c>
    </row>
    <row r="939" spans="1:5" x14ac:dyDescent="0.25">
      <c r="A939" s="4" t="s">
        <v>7</v>
      </c>
      <c r="B939" s="4" t="s">
        <v>2474</v>
      </c>
      <c r="C939" s="1" t="s">
        <v>2475</v>
      </c>
      <c r="D939" s="1" t="s">
        <v>2476</v>
      </c>
      <c r="E939" s="6">
        <v>7216</v>
      </c>
    </row>
    <row r="940" spans="1:5" x14ac:dyDescent="0.25">
      <c r="A940" s="4" t="s">
        <v>7</v>
      </c>
      <c r="B940" s="4" t="s">
        <v>2477</v>
      </c>
      <c r="C940" s="1" t="s">
        <v>2478</v>
      </c>
      <c r="D940" s="1" t="s">
        <v>2479</v>
      </c>
      <c r="E940" s="6">
        <v>13315.67</v>
      </c>
    </row>
    <row r="941" spans="1:5" x14ac:dyDescent="0.25">
      <c r="A941" s="4" t="s">
        <v>7</v>
      </c>
      <c r="B941" s="4" t="s">
        <v>2480</v>
      </c>
      <c r="C941" s="1" t="s">
        <v>2481</v>
      </c>
      <c r="D941" s="1" t="s">
        <v>2482</v>
      </c>
      <c r="E941" s="6">
        <v>38797.69</v>
      </c>
    </row>
    <row r="942" spans="1:5" x14ac:dyDescent="0.25">
      <c r="A942" s="4" t="s">
        <v>7</v>
      </c>
      <c r="B942" s="4" t="s">
        <v>2483</v>
      </c>
      <c r="C942" s="1" t="s">
        <v>2484</v>
      </c>
      <c r="D942" s="1" t="s">
        <v>2485</v>
      </c>
      <c r="E942" s="6">
        <v>1507</v>
      </c>
    </row>
    <row r="943" spans="1:5" x14ac:dyDescent="0.25">
      <c r="A943" s="4" t="s">
        <v>7</v>
      </c>
      <c r="B943" s="4" t="s">
        <v>2486</v>
      </c>
      <c r="C943" s="1" t="s">
        <v>2487</v>
      </c>
      <c r="D943" s="1" t="s">
        <v>2488</v>
      </c>
      <c r="E943" s="6">
        <v>6497</v>
      </c>
    </row>
    <row r="944" spans="1:5" x14ac:dyDescent="0.25">
      <c r="A944" s="4" t="s">
        <v>7</v>
      </c>
      <c r="B944" s="4" t="s">
        <v>2489</v>
      </c>
      <c r="C944" s="1" t="s">
        <v>2490</v>
      </c>
      <c r="D944" s="1" t="s">
        <v>2491</v>
      </c>
      <c r="E944" s="6">
        <v>13635</v>
      </c>
    </row>
    <row r="945" spans="1:5" x14ac:dyDescent="0.25">
      <c r="A945" s="4" t="s">
        <v>7</v>
      </c>
      <c r="B945" s="4" t="s">
        <v>2492</v>
      </c>
      <c r="C945" s="1" t="s">
        <v>2493</v>
      </c>
      <c r="D945" s="1" t="s">
        <v>2494</v>
      </c>
      <c r="E945" s="6">
        <v>162043</v>
      </c>
    </row>
    <row r="946" spans="1:5" x14ac:dyDescent="0.25">
      <c r="A946" s="4" t="s">
        <v>7</v>
      </c>
      <c r="B946" s="4" t="s">
        <v>2495</v>
      </c>
      <c r="C946" s="1" t="s">
        <v>2496</v>
      </c>
      <c r="D946" s="1" t="s">
        <v>2497</v>
      </c>
      <c r="E946" s="6">
        <v>2879</v>
      </c>
    </row>
    <row r="947" spans="1:5" x14ac:dyDescent="0.25">
      <c r="A947" s="4" t="s">
        <v>7</v>
      </c>
      <c r="B947" s="4" t="s">
        <v>2498</v>
      </c>
      <c r="C947" s="1" t="s">
        <v>2499</v>
      </c>
      <c r="D947" s="1" t="s">
        <v>2500</v>
      </c>
      <c r="E947" s="6">
        <v>5388</v>
      </c>
    </row>
    <row r="948" spans="1:5" x14ac:dyDescent="0.25">
      <c r="A948" s="4" t="s">
        <v>7</v>
      </c>
      <c r="B948" s="4" t="s">
        <v>2501</v>
      </c>
      <c r="C948" s="1" t="s">
        <v>2502</v>
      </c>
      <c r="D948" s="1" t="s">
        <v>2503</v>
      </c>
      <c r="E948" s="6">
        <v>8581</v>
      </c>
    </row>
    <row r="949" spans="1:5" x14ac:dyDescent="0.25">
      <c r="A949" s="4" t="s">
        <v>7</v>
      </c>
      <c r="B949" s="4" t="s">
        <v>2504</v>
      </c>
      <c r="C949" s="1" t="s">
        <v>2505</v>
      </c>
      <c r="D949" s="1" t="s">
        <v>2506</v>
      </c>
      <c r="E949" s="6">
        <v>20721</v>
      </c>
    </row>
    <row r="950" spans="1:5" x14ac:dyDescent="0.25">
      <c r="A950" s="4" t="s">
        <v>7</v>
      </c>
      <c r="B950" s="4" t="s">
        <v>2507</v>
      </c>
      <c r="C950" s="1" t="s">
        <v>2508</v>
      </c>
      <c r="D950" s="1" t="s">
        <v>2509</v>
      </c>
      <c r="E950" s="6">
        <v>9372</v>
      </c>
    </row>
    <row r="951" spans="1:5" x14ac:dyDescent="0.25">
      <c r="A951" s="4" t="s">
        <v>7</v>
      </c>
      <c r="B951" s="4" t="s">
        <v>2510</v>
      </c>
      <c r="C951" s="1" t="s">
        <v>2511</v>
      </c>
      <c r="D951" s="1" t="s">
        <v>2512</v>
      </c>
      <c r="E951" s="6">
        <v>7427</v>
      </c>
    </row>
    <row r="952" spans="1:5" x14ac:dyDescent="0.25">
      <c r="A952" s="4" t="s">
        <v>7</v>
      </c>
      <c r="B952" s="4" t="s">
        <v>2513</v>
      </c>
      <c r="C952" s="1" t="s">
        <v>2514</v>
      </c>
      <c r="D952" s="1" t="s">
        <v>2515</v>
      </c>
      <c r="E952" s="6">
        <v>30107</v>
      </c>
    </row>
    <row r="953" spans="1:5" x14ac:dyDescent="0.25">
      <c r="A953" s="4" t="s">
        <v>7</v>
      </c>
      <c r="B953" s="4" t="s">
        <v>2516</v>
      </c>
      <c r="C953" s="1" t="s">
        <v>2517</v>
      </c>
      <c r="D953" s="1" t="s">
        <v>2518</v>
      </c>
      <c r="E953" s="6">
        <v>4419</v>
      </c>
    </row>
    <row r="954" spans="1:5" x14ac:dyDescent="0.25">
      <c r="A954" s="4" t="s">
        <v>7</v>
      </c>
      <c r="B954" s="4" t="s">
        <v>2519</v>
      </c>
      <c r="C954" s="1" t="s">
        <v>2520</v>
      </c>
      <c r="D954" s="1" t="s">
        <v>2521</v>
      </c>
      <c r="E954" s="6">
        <v>8708</v>
      </c>
    </row>
    <row r="955" spans="1:5" x14ac:dyDescent="0.25">
      <c r="A955" s="4" t="s">
        <v>7</v>
      </c>
      <c r="B955" s="4" t="s">
        <v>2522</v>
      </c>
      <c r="C955" s="1" t="s">
        <v>2523</v>
      </c>
      <c r="D955" s="1" t="s">
        <v>2524</v>
      </c>
      <c r="E955" s="6">
        <v>106311</v>
      </c>
    </row>
    <row r="956" spans="1:5" x14ac:dyDescent="0.25">
      <c r="A956" s="4" t="s">
        <v>7</v>
      </c>
      <c r="B956" s="4" t="s">
        <v>2525</v>
      </c>
      <c r="C956" s="1" t="s">
        <v>2526</v>
      </c>
      <c r="D956" s="1" t="s">
        <v>2527</v>
      </c>
      <c r="E956" s="6">
        <v>162039</v>
      </c>
    </row>
    <row r="957" spans="1:5" x14ac:dyDescent="0.25">
      <c r="A957" s="4" t="s">
        <v>7</v>
      </c>
      <c r="B957" s="4" t="s">
        <v>2528</v>
      </c>
      <c r="C957" s="1" t="s">
        <v>2529</v>
      </c>
      <c r="D957" s="1" t="s">
        <v>2530</v>
      </c>
      <c r="E957" s="6">
        <v>9372</v>
      </c>
    </row>
    <row r="958" spans="1:5" x14ac:dyDescent="0.25">
      <c r="A958" s="4" t="s">
        <v>7</v>
      </c>
      <c r="B958" s="4" t="s">
        <v>2531</v>
      </c>
      <c r="C958" s="1" t="s">
        <v>2532</v>
      </c>
      <c r="D958" s="1" t="s">
        <v>2533</v>
      </c>
      <c r="E958" s="6">
        <v>23783</v>
      </c>
    </row>
    <row r="959" spans="1:5" x14ac:dyDescent="0.25">
      <c r="A959" s="4" t="s">
        <v>7</v>
      </c>
      <c r="B959" s="4" t="s">
        <v>2534</v>
      </c>
      <c r="C959" s="1" t="s">
        <v>2535</v>
      </c>
      <c r="D959" s="1" t="s">
        <v>2536</v>
      </c>
      <c r="E959" s="6">
        <v>149761</v>
      </c>
    </row>
    <row r="960" spans="1:5" x14ac:dyDescent="0.25">
      <c r="A960" s="4" t="s">
        <v>7</v>
      </c>
      <c r="B960" s="4" t="s">
        <v>2537</v>
      </c>
      <c r="C960" s="1" t="s">
        <v>2538</v>
      </c>
      <c r="D960" s="1" t="s">
        <v>2539</v>
      </c>
      <c r="E960" s="6">
        <v>40132</v>
      </c>
    </row>
    <row r="961" spans="1:5" x14ac:dyDescent="0.25">
      <c r="A961" s="4" t="s">
        <v>7</v>
      </c>
      <c r="B961" s="4" t="s">
        <v>2540</v>
      </c>
      <c r="C961" s="1" t="s">
        <v>2541</v>
      </c>
      <c r="D961" s="1" t="s">
        <v>2542</v>
      </c>
      <c r="E961" s="6">
        <v>162043</v>
      </c>
    </row>
    <row r="962" spans="1:5" x14ac:dyDescent="0.25">
      <c r="A962" s="4" t="s">
        <v>7</v>
      </c>
      <c r="B962" s="4" t="s">
        <v>2543</v>
      </c>
      <c r="C962" s="1" t="s">
        <v>2544</v>
      </c>
      <c r="D962" s="1" t="s">
        <v>2545</v>
      </c>
      <c r="E962" s="6">
        <v>35441</v>
      </c>
    </row>
    <row r="963" spans="1:5" x14ac:dyDescent="0.25">
      <c r="A963" s="4" t="s">
        <v>7</v>
      </c>
      <c r="B963" s="4" t="s">
        <v>2546</v>
      </c>
      <c r="C963" s="1" t="s">
        <v>2547</v>
      </c>
      <c r="D963" s="1" t="s">
        <v>2548</v>
      </c>
      <c r="E963" s="6">
        <v>162043</v>
      </c>
    </row>
    <row r="964" spans="1:5" x14ac:dyDescent="0.25">
      <c r="A964" s="4" t="s">
        <v>7</v>
      </c>
      <c r="B964" s="4" t="s">
        <v>2549</v>
      </c>
      <c r="C964" s="1" t="s">
        <v>2550</v>
      </c>
      <c r="D964" s="1" t="s">
        <v>2551</v>
      </c>
      <c r="E964" s="6">
        <v>42018</v>
      </c>
    </row>
    <row r="965" spans="1:5" x14ac:dyDescent="0.25">
      <c r="A965" s="4" t="s">
        <v>7</v>
      </c>
      <c r="B965" s="4" t="s">
        <v>2552</v>
      </c>
      <c r="C965" s="1" t="s">
        <v>2553</v>
      </c>
      <c r="D965" s="1" t="s">
        <v>2554</v>
      </c>
      <c r="E965" s="6">
        <v>3454</v>
      </c>
    </row>
    <row r="966" spans="1:5" x14ac:dyDescent="0.25">
      <c r="A966" s="4" t="s">
        <v>7</v>
      </c>
      <c r="B966" s="4" t="s">
        <v>2555</v>
      </c>
      <c r="C966" s="1" t="s">
        <v>2556</v>
      </c>
      <c r="D966" s="1" t="s">
        <v>2557</v>
      </c>
      <c r="E966" s="6">
        <v>7287</v>
      </c>
    </row>
    <row r="967" spans="1:5" x14ac:dyDescent="0.25">
      <c r="A967" s="4" t="s">
        <v>7</v>
      </c>
      <c r="B967" s="4" t="s">
        <v>2558</v>
      </c>
      <c r="C967" s="1" t="s">
        <v>2559</v>
      </c>
      <c r="D967" s="1" t="s">
        <v>2560</v>
      </c>
      <c r="E967" s="6">
        <v>320019</v>
      </c>
    </row>
    <row r="968" spans="1:5" x14ac:dyDescent="0.25">
      <c r="A968" s="4" t="s">
        <v>7</v>
      </c>
      <c r="B968" s="4" t="s">
        <v>2561</v>
      </c>
      <c r="C968" s="1" t="s">
        <v>2562</v>
      </c>
      <c r="D968" s="1" t="s">
        <v>2563</v>
      </c>
      <c r="E968" s="6">
        <v>76186</v>
      </c>
    </row>
    <row r="969" spans="1:5" x14ac:dyDescent="0.25">
      <c r="A969" s="4" t="s">
        <v>7</v>
      </c>
      <c r="B969" s="4" t="s">
        <v>2564</v>
      </c>
      <c r="C969" s="1" t="s">
        <v>2565</v>
      </c>
      <c r="D969" s="1" t="s">
        <v>2566</v>
      </c>
      <c r="E969" s="6">
        <v>29009</v>
      </c>
    </row>
    <row r="970" spans="1:5" x14ac:dyDescent="0.25">
      <c r="A970" s="4" t="s">
        <v>7</v>
      </c>
      <c r="B970" s="4" t="s">
        <v>2567</v>
      </c>
      <c r="C970" s="1" t="s">
        <v>2568</v>
      </c>
      <c r="D970" s="1" t="s">
        <v>2569</v>
      </c>
      <c r="E970" s="6">
        <v>29009</v>
      </c>
    </row>
    <row r="971" spans="1:5" x14ac:dyDescent="0.25">
      <c r="A971" s="4" t="s">
        <v>7</v>
      </c>
      <c r="B971" s="4" t="s">
        <v>2570</v>
      </c>
      <c r="C971" s="1" t="s">
        <v>2571</v>
      </c>
      <c r="D971" s="1" t="s">
        <v>2572</v>
      </c>
      <c r="E971" s="6">
        <v>17151</v>
      </c>
    </row>
    <row r="972" spans="1:5" x14ac:dyDescent="0.25">
      <c r="A972" s="4" t="s">
        <v>7</v>
      </c>
      <c r="B972" s="4" t="s">
        <v>2573</v>
      </c>
      <c r="C972" s="1" t="s">
        <v>2574</v>
      </c>
      <c r="D972" s="1" t="s">
        <v>2575</v>
      </c>
      <c r="E972" s="6">
        <v>17151</v>
      </c>
    </row>
    <row r="973" spans="1:5" x14ac:dyDescent="0.25">
      <c r="A973" s="4" t="s">
        <v>7</v>
      </c>
      <c r="B973" s="4" t="s">
        <v>2576</v>
      </c>
      <c r="C973" s="1" t="s">
        <v>2577</v>
      </c>
      <c r="D973" s="1" t="s">
        <v>2578</v>
      </c>
      <c r="E973" s="6">
        <v>62461</v>
      </c>
    </row>
    <row r="974" spans="1:5" x14ac:dyDescent="0.25">
      <c r="A974" s="4" t="s">
        <v>7</v>
      </c>
      <c r="B974" s="4" t="s">
        <v>2579</v>
      </c>
      <c r="C974" s="1" t="s">
        <v>2580</v>
      </c>
      <c r="D974" s="1" t="s">
        <v>2581</v>
      </c>
      <c r="E974" s="6">
        <v>1098</v>
      </c>
    </row>
    <row r="975" spans="1:5" x14ac:dyDescent="0.25">
      <c r="A975" s="4" t="s">
        <v>7</v>
      </c>
      <c r="B975" s="4" t="s">
        <v>2582</v>
      </c>
      <c r="C975" s="1" t="s">
        <v>2583</v>
      </c>
      <c r="D975" s="1" t="s">
        <v>2584</v>
      </c>
      <c r="E975" s="6">
        <v>4590</v>
      </c>
    </row>
    <row r="976" spans="1:5" x14ac:dyDescent="0.25">
      <c r="A976" s="4" t="s">
        <v>7</v>
      </c>
      <c r="B976" s="4" t="s">
        <v>2585</v>
      </c>
      <c r="C976" s="1" t="s">
        <v>2586</v>
      </c>
      <c r="D976" s="1" t="s">
        <v>2587</v>
      </c>
      <c r="E976" s="6">
        <v>3075</v>
      </c>
    </row>
    <row r="977" spans="1:5" x14ac:dyDescent="0.25">
      <c r="A977" s="4" t="s">
        <v>7</v>
      </c>
      <c r="B977" s="4" t="s">
        <v>2588</v>
      </c>
      <c r="C977" s="1" t="s">
        <v>2589</v>
      </c>
      <c r="D977" s="1" t="s">
        <v>2590</v>
      </c>
      <c r="E977" s="6">
        <v>3627</v>
      </c>
    </row>
    <row r="978" spans="1:5" x14ac:dyDescent="0.25">
      <c r="A978" s="4" t="s">
        <v>7</v>
      </c>
      <c r="B978" s="4" t="s">
        <v>2591</v>
      </c>
      <c r="C978" s="1" t="s">
        <v>2592</v>
      </c>
      <c r="D978" s="1" t="s">
        <v>2593</v>
      </c>
      <c r="E978" s="6">
        <v>2144</v>
      </c>
    </row>
    <row r="979" spans="1:5" x14ac:dyDescent="0.25">
      <c r="A979" s="4" t="s">
        <v>7</v>
      </c>
      <c r="B979" s="4" t="s">
        <v>2594</v>
      </c>
      <c r="C979" s="1" t="s">
        <v>2595</v>
      </c>
      <c r="D979" s="1" t="s">
        <v>2596</v>
      </c>
      <c r="E979" s="6">
        <v>507</v>
      </c>
    </row>
    <row r="980" spans="1:5" x14ac:dyDescent="0.25">
      <c r="A980" s="4" t="s">
        <v>7</v>
      </c>
      <c r="B980" s="4" t="s">
        <v>2597</v>
      </c>
      <c r="C980" s="1" t="s">
        <v>2598</v>
      </c>
      <c r="D980" s="1" t="s">
        <v>2599</v>
      </c>
      <c r="E980" s="6">
        <v>17151</v>
      </c>
    </row>
    <row r="981" spans="1:5" x14ac:dyDescent="0.25">
      <c r="A981" s="4" t="s">
        <v>7</v>
      </c>
      <c r="B981" s="4" t="s">
        <v>2600</v>
      </c>
      <c r="C981" s="1" t="s">
        <v>2601</v>
      </c>
      <c r="D981" s="1" t="s">
        <v>2602</v>
      </c>
      <c r="E981" s="6">
        <v>3200</v>
      </c>
    </row>
    <row r="982" spans="1:5" x14ac:dyDescent="0.25">
      <c r="A982" s="4" t="s">
        <v>7</v>
      </c>
      <c r="B982" s="4" t="s">
        <v>2603</v>
      </c>
      <c r="C982" s="1" t="s">
        <v>2604</v>
      </c>
      <c r="D982" s="1" t="s">
        <v>2605</v>
      </c>
      <c r="E982" s="6">
        <v>5382</v>
      </c>
    </row>
    <row r="983" spans="1:5" x14ac:dyDescent="0.25">
      <c r="A983" s="4" t="s">
        <v>7</v>
      </c>
      <c r="B983" s="4" t="s">
        <v>2606</v>
      </c>
      <c r="C983" s="1" t="s">
        <v>2607</v>
      </c>
      <c r="D983" s="1" t="s">
        <v>2608</v>
      </c>
      <c r="E983" s="6">
        <v>52539</v>
      </c>
    </row>
    <row r="984" spans="1:5" x14ac:dyDescent="0.25">
      <c r="A984" s="4" t="s">
        <v>7</v>
      </c>
      <c r="B984" s="4" t="s">
        <v>2609</v>
      </c>
      <c r="C984" s="1" t="s">
        <v>2610</v>
      </c>
      <c r="D984" s="1" t="s">
        <v>2611</v>
      </c>
      <c r="E984" s="6">
        <v>1648</v>
      </c>
    </row>
    <row r="985" spans="1:5" x14ac:dyDescent="0.25">
      <c r="A985" s="4" t="s">
        <v>7</v>
      </c>
      <c r="B985" s="4" t="s">
        <v>2612</v>
      </c>
      <c r="C985" s="1" t="s">
        <v>2613</v>
      </c>
      <c r="D985" s="1" t="s">
        <v>2614</v>
      </c>
      <c r="E985" s="6">
        <v>2476</v>
      </c>
    </row>
    <row r="986" spans="1:5" x14ac:dyDescent="0.25">
      <c r="A986" s="4" t="s">
        <v>7</v>
      </c>
      <c r="B986" s="4" t="s">
        <v>2615</v>
      </c>
      <c r="C986" s="1" t="s">
        <v>2616</v>
      </c>
      <c r="D986" s="1" t="s">
        <v>2617</v>
      </c>
      <c r="E986" s="6">
        <v>5495</v>
      </c>
    </row>
    <row r="987" spans="1:5" x14ac:dyDescent="0.25">
      <c r="A987" s="4" t="s">
        <v>7</v>
      </c>
      <c r="B987" s="4" t="s">
        <v>2618</v>
      </c>
      <c r="C987" s="1" t="s">
        <v>2619</v>
      </c>
      <c r="D987" s="1" t="s">
        <v>2620</v>
      </c>
      <c r="E987" s="6">
        <v>19321</v>
      </c>
    </row>
    <row r="988" spans="1:5" x14ac:dyDescent="0.25">
      <c r="A988" s="4" t="s">
        <v>7</v>
      </c>
      <c r="B988" s="4" t="s">
        <v>2621</v>
      </c>
      <c r="C988" s="1" t="s">
        <v>2622</v>
      </c>
      <c r="D988" s="1" t="s">
        <v>2614</v>
      </c>
      <c r="E988" s="6">
        <v>2363</v>
      </c>
    </row>
    <row r="989" spans="1:5" x14ac:dyDescent="0.25">
      <c r="A989" s="4" t="s">
        <v>7</v>
      </c>
      <c r="B989" s="4" t="s">
        <v>2623</v>
      </c>
      <c r="C989" s="1" t="s">
        <v>2624</v>
      </c>
      <c r="D989" s="1" t="s">
        <v>2625</v>
      </c>
      <c r="E989" s="6">
        <v>18396</v>
      </c>
    </row>
    <row r="990" spans="1:5" x14ac:dyDescent="0.25">
      <c r="A990" s="4" t="s">
        <v>7</v>
      </c>
      <c r="B990" s="4" t="s">
        <v>2626</v>
      </c>
      <c r="C990" s="1" t="s">
        <v>2627</v>
      </c>
      <c r="D990" s="1" t="s">
        <v>2628</v>
      </c>
      <c r="E990" s="6">
        <v>54908</v>
      </c>
    </row>
    <row r="991" spans="1:5" x14ac:dyDescent="0.25">
      <c r="A991" s="4" t="s">
        <v>7</v>
      </c>
      <c r="B991" s="4" t="s">
        <v>2629</v>
      </c>
      <c r="C991" s="1" t="s">
        <v>2630</v>
      </c>
      <c r="D991" s="1" t="s">
        <v>2631</v>
      </c>
      <c r="E991" s="6">
        <v>54908</v>
      </c>
    </row>
    <row r="992" spans="1:5" x14ac:dyDescent="0.25">
      <c r="A992" s="4" t="s">
        <v>7</v>
      </c>
      <c r="B992" s="4" t="s">
        <v>2632</v>
      </c>
      <c r="C992" s="1" t="s">
        <v>2633</v>
      </c>
      <c r="D992" s="1" t="s">
        <v>2634</v>
      </c>
      <c r="E992" s="6">
        <v>108164</v>
      </c>
    </row>
    <row r="993" spans="1:5" x14ac:dyDescent="0.25">
      <c r="A993" s="4" t="s">
        <v>7</v>
      </c>
      <c r="B993" s="4" t="s">
        <v>2635</v>
      </c>
      <c r="C993" s="1" t="s">
        <v>2636</v>
      </c>
      <c r="D993" s="1" t="s">
        <v>2637</v>
      </c>
      <c r="E993" s="6">
        <v>7561</v>
      </c>
    </row>
    <row r="994" spans="1:5" x14ac:dyDescent="0.25">
      <c r="A994" s="4" t="s">
        <v>7</v>
      </c>
      <c r="B994" s="4" t="s">
        <v>2638</v>
      </c>
      <c r="C994" s="1" t="s">
        <v>2639</v>
      </c>
      <c r="D994" s="1" t="s">
        <v>2640</v>
      </c>
      <c r="E994" s="6">
        <v>6924</v>
      </c>
    </row>
    <row r="995" spans="1:5" x14ac:dyDescent="0.25">
      <c r="A995" s="4" t="s">
        <v>7</v>
      </c>
      <c r="B995" s="4" t="s">
        <v>2641</v>
      </c>
      <c r="C995" s="1" t="s">
        <v>2642</v>
      </c>
      <c r="D995" s="1" t="s">
        <v>2643</v>
      </c>
      <c r="E995" s="6">
        <v>7193</v>
      </c>
    </row>
    <row r="996" spans="1:5" x14ac:dyDescent="0.25">
      <c r="A996" s="4" t="s">
        <v>7</v>
      </c>
      <c r="B996" s="4" t="s">
        <v>2644</v>
      </c>
      <c r="C996" s="1" t="s">
        <v>2645</v>
      </c>
      <c r="D996" s="1" t="s">
        <v>2646</v>
      </c>
      <c r="E996" s="6">
        <v>9395</v>
      </c>
    </row>
    <row r="997" spans="1:5" x14ac:dyDescent="0.25">
      <c r="A997" s="4" t="s">
        <v>7</v>
      </c>
      <c r="B997" s="4" t="s">
        <v>2647</v>
      </c>
      <c r="C997" s="1" t="s">
        <v>2648</v>
      </c>
      <c r="D997" s="1" t="s">
        <v>2649</v>
      </c>
      <c r="E997" s="6">
        <v>9333</v>
      </c>
    </row>
    <row r="998" spans="1:5" x14ac:dyDescent="0.25">
      <c r="A998" s="4" t="s">
        <v>7</v>
      </c>
      <c r="B998" s="4" t="s">
        <v>2650</v>
      </c>
      <c r="C998" s="1" t="s">
        <v>2651</v>
      </c>
      <c r="D998" s="1" t="s">
        <v>2652</v>
      </c>
      <c r="E998" s="6">
        <v>503</v>
      </c>
    </row>
    <row r="999" spans="1:5" x14ac:dyDescent="0.25">
      <c r="A999" s="4" t="s">
        <v>7</v>
      </c>
      <c r="B999" s="4" t="s">
        <v>2653</v>
      </c>
      <c r="C999" s="1" t="s">
        <v>2654</v>
      </c>
      <c r="D999" s="1" t="s">
        <v>2655</v>
      </c>
      <c r="E999" s="6">
        <v>3569</v>
      </c>
    </row>
    <row r="1000" spans="1:5" x14ac:dyDescent="0.25">
      <c r="A1000" s="4" t="s">
        <v>7</v>
      </c>
      <c r="B1000" s="4" t="s">
        <v>2656</v>
      </c>
      <c r="C1000" s="1" t="s">
        <v>2657</v>
      </c>
      <c r="D1000" s="1" t="s">
        <v>2658</v>
      </c>
      <c r="E1000" s="6">
        <v>27276</v>
      </c>
    </row>
    <row r="1001" spans="1:5" x14ac:dyDescent="0.25">
      <c r="A1001" s="4" t="s">
        <v>7</v>
      </c>
      <c r="B1001" s="4" t="s">
        <v>2659</v>
      </c>
      <c r="C1001" s="1" t="s">
        <v>2660</v>
      </c>
      <c r="D1001" s="1" t="s">
        <v>2661</v>
      </c>
      <c r="E1001" s="6">
        <v>27276</v>
      </c>
    </row>
    <row r="1002" spans="1:5" x14ac:dyDescent="0.25">
      <c r="A1002" s="4" t="s">
        <v>7</v>
      </c>
      <c r="B1002" s="4" t="s">
        <v>2662</v>
      </c>
      <c r="C1002" s="1" t="s">
        <v>2663</v>
      </c>
      <c r="D1002" s="1" t="s">
        <v>2664</v>
      </c>
      <c r="E1002" s="6">
        <v>6531</v>
      </c>
    </row>
    <row r="1003" spans="1:5" x14ac:dyDescent="0.25">
      <c r="A1003" s="4" t="s">
        <v>7</v>
      </c>
      <c r="B1003" s="4" t="s">
        <v>2665</v>
      </c>
      <c r="C1003" s="1" t="s">
        <v>2666</v>
      </c>
      <c r="D1003" s="1" t="s">
        <v>2667</v>
      </c>
      <c r="E1003" s="6">
        <v>56706</v>
      </c>
    </row>
    <row r="1004" spans="1:5" x14ac:dyDescent="0.25">
      <c r="A1004" s="4" t="s">
        <v>7</v>
      </c>
      <c r="B1004" s="4" t="s">
        <v>2668</v>
      </c>
      <c r="C1004" s="1" t="s">
        <v>2669</v>
      </c>
      <c r="D1004" s="1" t="s">
        <v>2670</v>
      </c>
      <c r="E1004" s="6">
        <v>14847</v>
      </c>
    </row>
    <row r="1005" spans="1:5" x14ac:dyDescent="0.25">
      <c r="A1005" s="4" t="s">
        <v>7</v>
      </c>
      <c r="B1005" s="4" t="s">
        <v>2671</v>
      </c>
      <c r="C1005" s="1" t="s">
        <v>2672</v>
      </c>
      <c r="D1005" s="1" t="s">
        <v>2673</v>
      </c>
      <c r="E1005" s="6">
        <v>5654</v>
      </c>
    </row>
    <row r="1006" spans="1:5" x14ac:dyDescent="0.25">
      <c r="A1006" s="4" t="s">
        <v>7</v>
      </c>
      <c r="B1006" s="4" t="s">
        <v>2674</v>
      </c>
      <c r="C1006" s="1" t="s">
        <v>2675</v>
      </c>
      <c r="D1006" s="1" t="s">
        <v>2676</v>
      </c>
      <c r="E1006" s="6">
        <v>1657</v>
      </c>
    </row>
    <row r="1007" spans="1:5" x14ac:dyDescent="0.25">
      <c r="A1007" s="4" t="s">
        <v>7</v>
      </c>
      <c r="B1007" s="4" t="s">
        <v>2677</v>
      </c>
      <c r="C1007" s="1" t="s">
        <v>2678</v>
      </c>
      <c r="D1007" s="1" t="s">
        <v>2679</v>
      </c>
      <c r="E1007" s="6">
        <v>3883</v>
      </c>
    </row>
    <row r="1008" spans="1:5" x14ac:dyDescent="0.25">
      <c r="A1008" s="4" t="s">
        <v>7</v>
      </c>
      <c r="B1008" s="4" t="s">
        <v>2680</v>
      </c>
      <c r="C1008" s="1" t="s">
        <v>2681</v>
      </c>
      <c r="D1008" s="1" t="s">
        <v>2682</v>
      </c>
      <c r="E1008" s="6">
        <v>543</v>
      </c>
    </row>
    <row r="1009" spans="1:5" x14ac:dyDescent="0.25">
      <c r="A1009" s="4" t="s">
        <v>7</v>
      </c>
      <c r="B1009" s="4" t="s">
        <v>2683</v>
      </c>
      <c r="C1009" s="1" t="s">
        <v>2684</v>
      </c>
      <c r="D1009" s="1" t="s">
        <v>2685</v>
      </c>
      <c r="E1009" s="6">
        <v>33756</v>
      </c>
    </row>
    <row r="1010" spans="1:5" x14ac:dyDescent="0.25">
      <c r="A1010" s="4" t="s">
        <v>7</v>
      </c>
      <c r="B1010" s="4" t="s">
        <v>2686</v>
      </c>
      <c r="C1010" s="1" t="s">
        <v>2687</v>
      </c>
      <c r="D1010" s="1" t="s">
        <v>2688</v>
      </c>
      <c r="E1010" s="6">
        <v>16994</v>
      </c>
    </row>
    <row r="1011" spans="1:5" x14ac:dyDescent="0.25">
      <c r="A1011" s="4" t="s">
        <v>7</v>
      </c>
      <c r="B1011" s="4" t="s">
        <v>2689</v>
      </c>
      <c r="C1011" s="1" t="s">
        <v>2690</v>
      </c>
      <c r="D1011" s="1" t="s">
        <v>2691</v>
      </c>
      <c r="E1011" s="6">
        <v>500</v>
      </c>
    </row>
    <row r="1012" spans="1:5" x14ac:dyDescent="0.25">
      <c r="A1012" s="4" t="s">
        <v>7</v>
      </c>
      <c r="B1012" s="4" t="s">
        <v>2692</v>
      </c>
      <c r="C1012" s="1" t="s">
        <v>2693</v>
      </c>
      <c r="D1012" s="1" t="s">
        <v>2694</v>
      </c>
      <c r="E1012" s="6">
        <v>5720</v>
      </c>
    </row>
    <row r="1013" spans="1:5" x14ac:dyDescent="0.25">
      <c r="A1013" s="4" t="s">
        <v>7</v>
      </c>
      <c r="B1013" s="4" t="s">
        <v>2695</v>
      </c>
      <c r="C1013" s="1" t="s">
        <v>2696</v>
      </c>
      <c r="D1013" s="1" t="s">
        <v>2697</v>
      </c>
      <c r="E1013" s="6">
        <v>9234</v>
      </c>
    </row>
    <row r="1014" spans="1:5" x14ac:dyDescent="0.25">
      <c r="A1014" s="4" t="s">
        <v>7</v>
      </c>
      <c r="B1014" s="4" t="s">
        <v>2698</v>
      </c>
      <c r="C1014" s="1" t="s">
        <v>2699</v>
      </c>
      <c r="D1014" s="1" t="s">
        <v>2700</v>
      </c>
      <c r="E1014" s="6">
        <v>2062</v>
      </c>
    </row>
    <row r="1015" spans="1:5" x14ac:dyDescent="0.25">
      <c r="A1015" s="4" t="s">
        <v>7</v>
      </c>
      <c r="B1015" s="4" t="s">
        <v>2701</v>
      </c>
      <c r="C1015" s="1" t="s">
        <v>2702</v>
      </c>
      <c r="D1015" s="1" t="s">
        <v>2703</v>
      </c>
      <c r="E1015" s="6">
        <v>7807</v>
      </c>
    </row>
    <row r="1016" spans="1:5" x14ac:dyDescent="0.25">
      <c r="A1016" s="4" t="s">
        <v>7</v>
      </c>
      <c r="B1016" s="4" t="s">
        <v>2704</v>
      </c>
      <c r="C1016" s="1" t="s">
        <v>2705</v>
      </c>
      <c r="D1016" s="1" t="s">
        <v>2706</v>
      </c>
      <c r="E1016" s="6">
        <v>4829</v>
      </c>
    </row>
    <row r="1017" spans="1:5" x14ac:dyDescent="0.25">
      <c r="A1017" s="4" t="s">
        <v>7</v>
      </c>
      <c r="B1017" s="4" t="s">
        <v>2707</v>
      </c>
      <c r="C1017" s="1" t="s">
        <v>2708</v>
      </c>
      <c r="D1017" s="1" t="s">
        <v>2709</v>
      </c>
      <c r="E1017" s="6">
        <v>11325</v>
      </c>
    </row>
    <row r="1018" spans="1:5" x14ac:dyDescent="0.25">
      <c r="A1018" s="4" t="s">
        <v>7</v>
      </c>
      <c r="B1018" s="4" t="s">
        <v>2710</v>
      </c>
      <c r="C1018" s="1" t="s">
        <v>2711</v>
      </c>
      <c r="D1018" s="1" t="s">
        <v>2712</v>
      </c>
      <c r="E1018" s="6">
        <v>5064</v>
      </c>
    </row>
    <row r="1019" spans="1:5" x14ac:dyDescent="0.25">
      <c r="A1019" s="4" t="s">
        <v>7</v>
      </c>
      <c r="B1019" s="4" t="s">
        <v>2713</v>
      </c>
      <c r="C1019" s="1" t="s">
        <v>2714</v>
      </c>
      <c r="D1019" s="1" t="s">
        <v>2715</v>
      </c>
      <c r="E1019" s="6">
        <v>3282</v>
      </c>
    </row>
    <row r="1020" spans="1:5" x14ac:dyDescent="0.25">
      <c r="A1020" s="4" t="s">
        <v>7</v>
      </c>
      <c r="B1020" s="4" t="s">
        <v>2716</v>
      </c>
      <c r="C1020" s="1" t="s">
        <v>2717</v>
      </c>
      <c r="D1020" s="1" t="s">
        <v>2718</v>
      </c>
      <c r="E1020" s="6">
        <v>14679</v>
      </c>
    </row>
    <row r="1021" spans="1:5" x14ac:dyDescent="0.25">
      <c r="A1021" s="4" t="s">
        <v>7</v>
      </c>
      <c r="B1021" s="4" t="s">
        <v>2719</v>
      </c>
      <c r="C1021" s="1" t="s">
        <v>2720</v>
      </c>
      <c r="D1021" s="1" t="s">
        <v>2721</v>
      </c>
      <c r="E1021" s="6">
        <v>76186</v>
      </c>
    </row>
    <row r="1022" spans="1:5" x14ac:dyDescent="0.25">
      <c r="A1022" s="4" t="s">
        <v>7</v>
      </c>
      <c r="B1022" s="4" t="s">
        <v>2722</v>
      </c>
      <c r="C1022" s="1" t="s">
        <v>2723</v>
      </c>
      <c r="D1022" s="1" t="s">
        <v>2724</v>
      </c>
      <c r="E1022" s="6">
        <v>100754</v>
      </c>
    </row>
    <row r="1023" spans="1:5" x14ac:dyDescent="0.25">
      <c r="A1023" s="4" t="s">
        <v>7</v>
      </c>
      <c r="B1023" s="4" t="s">
        <v>2725</v>
      </c>
      <c r="C1023" s="1" t="s">
        <v>2726</v>
      </c>
      <c r="D1023" s="1" t="s">
        <v>2727</v>
      </c>
      <c r="E1023" s="6">
        <v>76186</v>
      </c>
    </row>
    <row r="1024" spans="1:5" x14ac:dyDescent="0.25">
      <c r="A1024" s="4" t="s">
        <v>7</v>
      </c>
      <c r="B1024" s="4" t="s">
        <v>2728</v>
      </c>
      <c r="C1024" s="1" t="s">
        <v>2729</v>
      </c>
      <c r="D1024" s="1" t="s">
        <v>2730</v>
      </c>
      <c r="E1024" s="6">
        <v>76186</v>
      </c>
    </row>
    <row r="1025" spans="1:5" x14ac:dyDescent="0.25">
      <c r="A1025" s="4" t="s">
        <v>7</v>
      </c>
      <c r="B1025" s="4" t="s">
        <v>2731</v>
      </c>
      <c r="C1025" s="1" t="s">
        <v>2732</v>
      </c>
      <c r="D1025" s="1" t="s">
        <v>2733</v>
      </c>
      <c r="E1025" s="6">
        <v>29644</v>
      </c>
    </row>
    <row r="1026" spans="1:5" x14ac:dyDescent="0.25">
      <c r="A1026" s="4" t="s">
        <v>7</v>
      </c>
      <c r="B1026" s="4" t="s">
        <v>2734</v>
      </c>
      <c r="C1026" s="1" t="s">
        <v>2735</v>
      </c>
      <c r="D1026" s="1" t="s">
        <v>2736</v>
      </c>
      <c r="E1026" s="6">
        <v>2584</v>
      </c>
    </row>
    <row r="1027" spans="1:5" x14ac:dyDescent="0.25">
      <c r="A1027" s="4" t="s">
        <v>7</v>
      </c>
      <c r="B1027" s="4" t="s">
        <v>2737</v>
      </c>
      <c r="C1027" s="1" t="s">
        <v>2738</v>
      </c>
      <c r="D1027" s="1" t="s">
        <v>2739</v>
      </c>
      <c r="E1027" s="6">
        <v>2787</v>
      </c>
    </row>
    <row r="1028" spans="1:5" x14ac:dyDescent="0.25">
      <c r="A1028" s="4" t="s">
        <v>7</v>
      </c>
      <c r="B1028" s="4" t="s">
        <v>2740</v>
      </c>
      <c r="C1028" s="1" t="s">
        <v>2741</v>
      </c>
      <c r="D1028" s="1" t="s">
        <v>2742</v>
      </c>
      <c r="E1028" s="6">
        <v>9995</v>
      </c>
    </row>
    <row r="1029" spans="1:5" x14ac:dyDescent="0.25">
      <c r="A1029" s="4" t="s">
        <v>7</v>
      </c>
      <c r="B1029" s="4" t="s">
        <v>2743</v>
      </c>
      <c r="C1029" s="1" t="s">
        <v>2744</v>
      </c>
      <c r="D1029" s="1" t="s">
        <v>2745</v>
      </c>
      <c r="E1029" s="6">
        <v>7505</v>
      </c>
    </row>
    <row r="1030" spans="1:5" x14ac:dyDescent="0.25">
      <c r="A1030" s="4" t="s">
        <v>7</v>
      </c>
      <c r="B1030" s="4" t="s">
        <v>2746</v>
      </c>
      <c r="C1030" s="1" t="s">
        <v>2747</v>
      </c>
      <c r="D1030" s="1" t="s">
        <v>2748</v>
      </c>
      <c r="E1030" s="6">
        <v>2417</v>
      </c>
    </row>
    <row r="1031" spans="1:5" x14ac:dyDescent="0.25">
      <c r="A1031" s="4" t="s">
        <v>7</v>
      </c>
      <c r="B1031" s="4" t="s">
        <v>2749</v>
      </c>
      <c r="C1031" s="1" t="s">
        <v>2750</v>
      </c>
      <c r="D1031" s="1" t="s">
        <v>2751</v>
      </c>
      <c r="E1031" s="6">
        <v>7505</v>
      </c>
    </row>
    <row r="1032" spans="1:5" x14ac:dyDescent="0.25">
      <c r="A1032" s="4" t="s">
        <v>7</v>
      </c>
      <c r="B1032" s="4" t="s">
        <v>2752</v>
      </c>
      <c r="C1032" s="1" t="s">
        <v>2753</v>
      </c>
      <c r="D1032" s="1" t="s">
        <v>2754</v>
      </c>
      <c r="E1032" s="6">
        <v>8105</v>
      </c>
    </row>
    <row r="1033" spans="1:5" x14ac:dyDescent="0.25">
      <c r="A1033" s="4" t="s">
        <v>7</v>
      </c>
      <c r="B1033" s="4" t="s">
        <v>2755</v>
      </c>
      <c r="C1033" s="1" t="s">
        <v>2756</v>
      </c>
      <c r="D1033" s="1" t="s">
        <v>2757</v>
      </c>
      <c r="E1033" s="6">
        <v>108597</v>
      </c>
    </row>
    <row r="1034" spans="1:5" x14ac:dyDescent="0.25">
      <c r="A1034" s="4" t="s">
        <v>7</v>
      </c>
      <c r="B1034" s="4" t="s">
        <v>2758</v>
      </c>
      <c r="C1034" s="1" t="s">
        <v>2759</v>
      </c>
      <c r="D1034" s="1" t="s">
        <v>2760</v>
      </c>
      <c r="E1034" s="6">
        <v>34028</v>
      </c>
    </row>
    <row r="1035" spans="1:5" x14ac:dyDescent="0.25">
      <c r="A1035" s="4" t="s">
        <v>7</v>
      </c>
      <c r="B1035" s="4" t="s">
        <v>2761</v>
      </c>
      <c r="C1035" s="1" t="s">
        <v>2762</v>
      </c>
      <c r="D1035" s="1" t="s">
        <v>2763</v>
      </c>
      <c r="E1035" s="6">
        <v>108597</v>
      </c>
    </row>
    <row r="1036" spans="1:5" x14ac:dyDescent="0.25">
      <c r="A1036" s="4" t="s">
        <v>7</v>
      </c>
      <c r="B1036" s="4" t="s">
        <v>2764</v>
      </c>
      <c r="C1036" s="1" t="s">
        <v>2765</v>
      </c>
      <c r="D1036" s="1" t="s">
        <v>2766</v>
      </c>
      <c r="E1036" s="6">
        <v>8088</v>
      </c>
    </row>
    <row r="1037" spans="1:5" x14ac:dyDescent="0.25">
      <c r="A1037" s="4" t="s">
        <v>7</v>
      </c>
      <c r="B1037" s="4" t="s">
        <v>2767</v>
      </c>
      <c r="C1037" s="1" t="s">
        <v>2768</v>
      </c>
      <c r="D1037" s="1" t="s">
        <v>2769</v>
      </c>
      <c r="E1037" s="6">
        <v>108597</v>
      </c>
    </row>
    <row r="1038" spans="1:5" x14ac:dyDescent="0.25">
      <c r="A1038" s="4" t="s">
        <v>7</v>
      </c>
      <c r="B1038" s="4" t="s">
        <v>2770</v>
      </c>
      <c r="C1038" s="1" t="s">
        <v>2771</v>
      </c>
      <c r="D1038" s="1" t="s">
        <v>2772</v>
      </c>
      <c r="E1038" s="6">
        <v>1419</v>
      </c>
    </row>
    <row r="1039" spans="1:5" x14ac:dyDescent="0.25">
      <c r="A1039" s="4" t="s">
        <v>7</v>
      </c>
      <c r="B1039" s="4" t="s">
        <v>2773</v>
      </c>
      <c r="C1039" s="1" t="s">
        <v>2774</v>
      </c>
      <c r="D1039" s="1" t="s">
        <v>2775</v>
      </c>
      <c r="E1039" s="6">
        <v>5185</v>
      </c>
    </row>
    <row r="1040" spans="1:5" x14ac:dyDescent="0.25">
      <c r="A1040" s="4" t="s">
        <v>7</v>
      </c>
      <c r="B1040" s="4" t="s">
        <v>2776</v>
      </c>
      <c r="C1040" s="1" t="s">
        <v>2777</v>
      </c>
      <c r="D1040" s="1" t="s">
        <v>2778</v>
      </c>
      <c r="E1040" s="6">
        <v>7942</v>
      </c>
    </row>
    <row r="1041" spans="1:5" x14ac:dyDescent="0.25">
      <c r="A1041" s="4" t="s">
        <v>7</v>
      </c>
      <c r="B1041" s="4" t="s">
        <v>2779</v>
      </c>
      <c r="C1041" s="1" t="s">
        <v>2780</v>
      </c>
      <c r="D1041" s="1" t="s">
        <v>2781</v>
      </c>
      <c r="E1041" s="6">
        <v>8141</v>
      </c>
    </row>
    <row r="1042" spans="1:5" x14ac:dyDescent="0.25">
      <c r="A1042" s="4" t="s">
        <v>7</v>
      </c>
      <c r="B1042" s="4" t="s">
        <v>2782</v>
      </c>
      <c r="C1042" s="1" t="s">
        <v>2783</v>
      </c>
      <c r="D1042" s="1" t="s">
        <v>2784</v>
      </c>
      <c r="E1042" s="6">
        <v>5701.16</v>
      </c>
    </row>
    <row r="1043" spans="1:5" x14ac:dyDescent="0.25">
      <c r="A1043" s="4" t="s">
        <v>7</v>
      </c>
      <c r="B1043" s="4" t="s">
        <v>2785</v>
      </c>
      <c r="C1043" s="1" t="s">
        <v>2786</v>
      </c>
      <c r="D1043" s="1" t="s">
        <v>2787</v>
      </c>
      <c r="E1043" s="6">
        <v>6582</v>
      </c>
    </row>
    <row r="1044" spans="1:5" x14ac:dyDescent="0.25">
      <c r="A1044" s="4" t="s">
        <v>7</v>
      </c>
      <c r="B1044" s="4" t="s">
        <v>2788</v>
      </c>
      <c r="C1044" s="1" t="s">
        <v>2789</v>
      </c>
      <c r="D1044" s="1" t="s">
        <v>2790</v>
      </c>
      <c r="E1044" s="6">
        <v>3543</v>
      </c>
    </row>
    <row r="1045" spans="1:5" x14ac:dyDescent="0.25">
      <c r="A1045" s="4" t="s">
        <v>7</v>
      </c>
      <c r="B1045" s="4" t="s">
        <v>2791</v>
      </c>
      <c r="C1045" s="1" t="s">
        <v>2792</v>
      </c>
      <c r="D1045" s="1" t="s">
        <v>2793</v>
      </c>
      <c r="E1045" s="6">
        <v>5176</v>
      </c>
    </row>
    <row r="1046" spans="1:5" x14ac:dyDescent="0.25">
      <c r="A1046" s="4" t="s">
        <v>7</v>
      </c>
      <c r="B1046" s="4" t="s">
        <v>2794</v>
      </c>
      <c r="C1046" s="1" t="s">
        <v>2795</v>
      </c>
      <c r="D1046" s="1" t="s">
        <v>2796</v>
      </c>
      <c r="E1046" s="6">
        <v>100754</v>
      </c>
    </row>
    <row r="1047" spans="1:5" x14ac:dyDescent="0.25">
      <c r="A1047" s="4" t="s">
        <v>7</v>
      </c>
      <c r="B1047" s="4" t="s">
        <v>2797</v>
      </c>
      <c r="C1047" s="1" t="s">
        <v>2798</v>
      </c>
      <c r="D1047" s="1" t="s">
        <v>2799</v>
      </c>
      <c r="E1047" s="6">
        <v>100754</v>
      </c>
    </row>
    <row r="1048" spans="1:5" x14ac:dyDescent="0.25">
      <c r="A1048" s="4" t="s">
        <v>7</v>
      </c>
      <c r="B1048" s="4" t="s">
        <v>2800</v>
      </c>
      <c r="C1048" s="1" t="s">
        <v>2801</v>
      </c>
      <c r="D1048" s="1" t="s">
        <v>2796</v>
      </c>
      <c r="E1048" s="6">
        <v>100754</v>
      </c>
    </row>
    <row r="1049" spans="1:5" x14ac:dyDescent="0.25">
      <c r="A1049" s="4" t="s">
        <v>7</v>
      </c>
      <c r="B1049" s="4" t="s">
        <v>2802</v>
      </c>
      <c r="C1049" s="1" t="s">
        <v>2803</v>
      </c>
      <c r="D1049" s="1" t="s">
        <v>2804</v>
      </c>
      <c r="E1049" s="6">
        <v>76186</v>
      </c>
    </row>
    <row r="1050" spans="1:5" x14ac:dyDescent="0.25">
      <c r="A1050" s="4" t="s">
        <v>7</v>
      </c>
      <c r="B1050" s="4" t="s">
        <v>2805</v>
      </c>
      <c r="C1050" s="1" t="s">
        <v>2806</v>
      </c>
      <c r="D1050" s="1" t="s">
        <v>2807</v>
      </c>
      <c r="E1050" s="6">
        <v>98599</v>
      </c>
    </row>
    <row r="1051" spans="1:5" x14ac:dyDescent="0.25">
      <c r="A1051" s="4" t="s">
        <v>7</v>
      </c>
      <c r="B1051" s="4" t="s">
        <v>2808</v>
      </c>
      <c r="C1051" s="1" t="s">
        <v>2809</v>
      </c>
      <c r="D1051" s="1" t="s">
        <v>2810</v>
      </c>
      <c r="E1051" s="6">
        <v>6631</v>
      </c>
    </row>
    <row r="1052" spans="1:5" x14ac:dyDescent="0.25">
      <c r="A1052" s="4" t="s">
        <v>7</v>
      </c>
      <c r="B1052" s="4" t="s">
        <v>2811</v>
      </c>
      <c r="C1052" s="1" t="s">
        <v>2812</v>
      </c>
      <c r="D1052" s="1" t="s">
        <v>2813</v>
      </c>
      <c r="E1052" s="6">
        <v>181763</v>
      </c>
    </row>
    <row r="1053" spans="1:5" x14ac:dyDescent="0.25">
      <c r="A1053" s="4" t="s">
        <v>7</v>
      </c>
      <c r="B1053" s="4" t="s">
        <v>2814</v>
      </c>
      <c r="C1053" s="1" t="s">
        <v>2815</v>
      </c>
      <c r="D1053" s="1" t="s">
        <v>2816</v>
      </c>
      <c r="E1053" s="6">
        <v>29009</v>
      </c>
    </row>
    <row r="1054" spans="1:5" x14ac:dyDescent="0.25">
      <c r="A1054" s="4" t="s">
        <v>7</v>
      </c>
      <c r="B1054" s="4" t="s">
        <v>2817</v>
      </c>
      <c r="C1054" s="1" t="s">
        <v>2818</v>
      </c>
      <c r="D1054" s="1" t="s">
        <v>2819</v>
      </c>
      <c r="E1054" s="6">
        <v>92435</v>
      </c>
    </row>
    <row r="1055" spans="1:5" x14ac:dyDescent="0.25">
      <c r="A1055" s="4" t="s">
        <v>7</v>
      </c>
      <c r="B1055" s="4" t="s">
        <v>2820</v>
      </c>
      <c r="C1055" s="1" t="s">
        <v>2821</v>
      </c>
      <c r="D1055" s="1" t="s">
        <v>2822</v>
      </c>
      <c r="E1055" s="6">
        <v>15864</v>
      </c>
    </row>
    <row r="1056" spans="1:5" x14ac:dyDescent="0.25">
      <c r="A1056" s="4" t="s">
        <v>7</v>
      </c>
      <c r="B1056" s="4" t="s">
        <v>2823</v>
      </c>
      <c r="C1056" s="1" t="s">
        <v>2824</v>
      </c>
      <c r="D1056" s="1" t="s">
        <v>2825</v>
      </c>
      <c r="E1056" s="6">
        <v>16211</v>
      </c>
    </row>
    <row r="1057" spans="1:5" x14ac:dyDescent="0.25">
      <c r="A1057" s="4" t="s">
        <v>7</v>
      </c>
      <c r="B1057" s="4" t="s">
        <v>2826</v>
      </c>
      <c r="C1057" s="1" t="s">
        <v>2827</v>
      </c>
      <c r="D1057" s="1" t="s">
        <v>2819</v>
      </c>
      <c r="E1057" s="6">
        <v>50044</v>
      </c>
    </row>
    <row r="1058" spans="1:5" x14ac:dyDescent="0.25">
      <c r="A1058" s="4" t="s">
        <v>7</v>
      </c>
      <c r="B1058" s="4" t="s">
        <v>2828</v>
      </c>
      <c r="C1058" s="1" t="s">
        <v>2829</v>
      </c>
      <c r="D1058" s="1" t="s">
        <v>2830</v>
      </c>
      <c r="E1058" s="6">
        <v>23131</v>
      </c>
    </row>
    <row r="1059" spans="1:5" x14ac:dyDescent="0.25">
      <c r="A1059" s="4" t="s">
        <v>7</v>
      </c>
      <c r="B1059" s="4" t="s">
        <v>2831</v>
      </c>
      <c r="C1059" s="1" t="s">
        <v>2832</v>
      </c>
      <c r="D1059" s="1" t="s">
        <v>2833</v>
      </c>
      <c r="E1059" s="6">
        <v>76186</v>
      </c>
    </row>
    <row r="1060" spans="1:5" x14ac:dyDescent="0.25">
      <c r="A1060" s="4" t="s">
        <v>7</v>
      </c>
      <c r="B1060" s="4" t="s">
        <v>2834</v>
      </c>
      <c r="C1060" s="1" t="s">
        <v>2835</v>
      </c>
      <c r="D1060" s="1" t="s">
        <v>2836</v>
      </c>
      <c r="E1060" s="6">
        <v>6631</v>
      </c>
    </row>
    <row r="1061" spans="1:5" x14ac:dyDescent="0.25">
      <c r="A1061" s="4" t="s">
        <v>7</v>
      </c>
      <c r="B1061" s="4" t="s">
        <v>2837</v>
      </c>
      <c r="C1061" s="1" t="s">
        <v>2838</v>
      </c>
      <c r="D1061" s="1" t="s">
        <v>2839</v>
      </c>
      <c r="E1061" s="6">
        <v>181763</v>
      </c>
    </row>
    <row r="1062" spans="1:5" x14ac:dyDescent="0.25">
      <c r="A1062" s="4" t="s">
        <v>7</v>
      </c>
      <c r="B1062" s="4" t="s">
        <v>2840</v>
      </c>
      <c r="C1062" s="1" t="s">
        <v>2841</v>
      </c>
      <c r="D1062" s="1" t="s">
        <v>2842</v>
      </c>
      <c r="E1062" s="6">
        <v>228532</v>
      </c>
    </row>
    <row r="1063" spans="1:5" x14ac:dyDescent="0.25">
      <c r="A1063" s="4" t="s">
        <v>7</v>
      </c>
      <c r="B1063" s="4" t="s">
        <v>2843</v>
      </c>
      <c r="C1063" s="1" t="s">
        <v>2844</v>
      </c>
      <c r="D1063" s="1" t="s">
        <v>2845</v>
      </c>
      <c r="E1063" s="6">
        <v>320019</v>
      </c>
    </row>
    <row r="1064" spans="1:5" x14ac:dyDescent="0.25">
      <c r="A1064" s="4" t="s">
        <v>7</v>
      </c>
      <c r="B1064" s="4" t="s">
        <v>2846</v>
      </c>
      <c r="C1064" s="1" t="s">
        <v>2847</v>
      </c>
      <c r="D1064" s="1" t="s">
        <v>2848</v>
      </c>
      <c r="E1064" s="6">
        <v>228532</v>
      </c>
    </row>
    <row r="1065" spans="1:5" x14ac:dyDescent="0.25">
      <c r="A1065" s="4" t="s">
        <v>7</v>
      </c>
      <c r="B1065" s="4" t="s">
        <v>2849</v>
      </c>
      <c r="C1065" s="1" t="s">
        <v>2850</v>
      </c>
      <c r="D1065" s="1" t="s">
        <v>2851</v>
      </c>
      <c r="E1065" s="6">
        <v>29644</v>
      </c>
    </row>
    <row r="1066" spans="1:5" x14ac:dyDescent="0.25">
      <c r="A1066" s="4" t="s">
        <v>7</v>
      </c>
      <c r="B1066" s="4" t="s">
        <v>2852</v>
      </c>
      <c r="C1066" s="1" t="s">
        <v>2853</v>
      </c>
      <c r="D1066" s="1" t="s">
        <v>2854</v>
      </c>
      <c r="E1066" s="6">
        <v>14536</v>
      </c>
    </row>
    <row r="1067" spans="1:5" x14ac:dyDescent="0.25">
      <c r="A1067" s="4" t="s">
        <v>7</v>
      </c>
      <c r="B1067" s="4" t="s">
        <v>2855</v>
      </c>
      <c r="C1067" s="1" t="s">
        <v>2856</v>
      </c>
      <c r="D1067" s="1" t="s">
        <v>2857</v>
      </c>
      <c r="E1067" s="6">
        <v>8088</v>
      </c>
    </row>
    <row r="1068" spans="1:5" x14ac:dyDescent="0.25">
      <c r="A1068" s="4" t="s">
        <v>7</v>
      </c>
      <c r="B1068" s="4" t="s">
        <v>2858</v>
      </c>
      <c r="C1068" s="1" t="s">
        <v>2859</v>
      </c>
      <c r="D1068" s="1" t="s">
        <v>2860</v>
      </c>
      <c r="E1068" s="6">
        <v>228532</v>
      </c>
    </row>
    <row r="1069" spans="1:5" x14ac:dyDescent="0.25">
      <c r="A1069" s="4" t="s">
        <v>7</v>
      </c>
      <c r="B1069" s="4" t="s">
        <v>2861</v>
      </c>
      <c r="C1069" s="1" t="s">
        <v>2862</v>
      </c>
      <c r="D1069" s="1" t="s">
        <v>2863</v>
      </c>
      <c r="E1069" s="6">
        <v>7895</v>
      </c>
    </row>
    <row r="1070" spans="1:5" x14ac:dyDescent="0.25">
      <c r="A1070" s="4" t="s">
        <v>7</v>
      </c>
      <c r="B1070" s="4" t="s">
        <v>2864</v>
      </c>
      <c r="C1070" s="1" t="s">
        <v>2865</v>
      </c>
      <c r="D1070" s="1" t="s">
        <v>2866</v>
      </c>
      <c r="E1070" s="6">
        <v>737</v>
      </c>
    </row>
    <row r="1071" spans="1:5" x14ac:dyDescent="0.25">
      <c r="A1071" s="4" t="s">
        <v>7</v>
      </c>
      <c r="B1071" s="4" t="s">
        <v>2867</v>
      </c>
      <c r="C1071" s="1" t="s">
        <v>2868</v>
      </c>
      <c r="D1071" s="1" t="s">
        <v>2869</v>
      </c>
      <c r="E1071" s="6">
        <v>381</v>
      </c>
    </row>
    <row r="1072" spans="1:5" x14ac:dyDescent="0.25">
      <c r="A1072" s="4" t="s">
        <v>7</v>
      </c>
      <c r="B1072" s="4" t="s">
        <v>2870</v>
      </c>
      <c r="C1072" s="1" t="s">
        <v>2871</v>
      </c>
      <c r="D1072" s="1" t="s">
        <v>2872</v>
      </c>
      <c r="E1072" s="6">
        <v>5028</v>
      </c>
    </row>
    <row r="1073" spans="1:5" x14ac:dyDescent="0.25">
      <c r="A1073" s="4" t="s">
        <v>7</v>
      </c>
      <c r="B1073" s="4" t="s">
        <v>2873</v>
      </c>
      <c r="C1073" s="1" t="s">
        <v>2874</v>
      </c>
      <c r="D1073" s="1" t="s">
        <v>2875</v>
      </c>
      <c r="E1073" s="6">
        <v>5557</v>
      </c>
    </row>
    <row r="1074" spans="1:5" x14ac:dyDescent="0.25">
      <c r="A1074" s="4" t="s">
        <v>7</v>
      </c>
      <c r="B1074" s="4" t="s">
        <v>2876</v>
      </c>
      <c r="C1074" s="1" t="s">
        <v>2877</v>
      </c>
      <c r="D1074" s="1" t="s">
        <v>2878</v>
      </c>
      <c r="E1074" s="6">
        <v>29071</v>
      </c>
    </row>
    <row r="1075" spans="1:5" x14ac:dyDescent="0.25">
      <c r="A1075" s="4" t="s">
        <v>7</v>
      </c>
      <c r="B1075" s="4" t="s">
        <v>2879</v>
      </c>
      <c r="C1075" s="1" t="s">
        <v>2880</v>
      </c>
      <c r="D1075" s="1" t="s">
        <v>2881</v>
      </c>
      <c r="E1075" s="6">
        <v>29071</v>
      </c>
    </row>
    <row r="1076" spans="1:5" x14ac:dyDescent="0.25">
      <c r="A1076" s="4" t="s">
        <v>7</v>
      </c>
      <c r="B1076" s="4" t="s">
        <v>2882</v>
      </c>
      <c r="C1076" s="1" t="s">
        <v>2883</v>
      </c>
      <c r="D1076" s="1" t="s">
        <v>2884</v>
      </c>
      <c r="E1076" s="6">
        <v>6777</v>
      </c>
    </row>
    <row r="1077" spans="1:5" x14ac:dyDescent="0.25">
      <c r="A1077" s="4" t="s">
        <v>7</v>
      </c>
      <c r="B1077" s="4" t="s">
        <v>2885</v>
      </c>
      <c r="C1077" s="1" t="s">
        <v>2886</v>
      </c>
      <c r="D1077" s="1" t="s">
        <v>2887</v>
      </c>
      <c r="E1077" s="6">
        <v>6922</v>
      </c>
    </row>
    <row r="1078" spans="1:5" x14ac:dyDescent="0.25">
      <c r="A1078" s="4" t="s">
        <v>7</v>
      </c>
      <c r="B1078" s="4" t="s">
        <v>2888</v>
      </c>
      <c r="C1078" s="1" t="s">
        <v>2889</v>
      </c>
      <c r="D1078" s="1" t="s">
        <v>2890</v>
      </c>
      <c r="E1078" s="6">
        <v>7505</v>
      </c>
    </row>
    <row r="1079" spans="1:5" x14ac:dyDescent="0.25">
      <c r="A1079" s="4" t="s">
        <v>7</v>
      </c>
      <c r="B1079" s="4" t="s">
        <v>2891</v>
      </c>
      <c r="C1079" s="1" t="s">
        <v>2892</v>
      </c>
      <c r="D1079" s="1" t="s">
        <v>2893</v>
      </c>
      <c r="E1079" s="6">
        <v>26672</v>
      </c>
    </row>
    <row r="1080" spans="1:5" x14ac:dyDescent="0.25">
      <c r="A1080" s="4" t="s">
        <v>7</v>
      </c>
      <c r="B1080" s="4" t="s">
        <v>2894</v>
      </c>
      <c r="C1080" s="1" t="s">
        <v>2895</v>
      </c>
      <c r="D1080" s="1" t="s">
        <v>2896</v>
      </c>
      <c r="E1080" s="6">
        <v>6786</v>
      </c>
    </row>
    <row r="1081" spans="1:5" x14ac:dyDescent="0.25">
      <c r="A1081" s="4" t="s">
        <v>7</v>
      </c>
      <c r="B1081" s="4" t="s">
        <v>2897</v>
      </c>
      <c r="C1081" s="1" t="s">
        <v>2898</v>
      </c>
      <c r="D1081" s="1" t="s">
        <v>2899</v>
      </c>
      <c r="E1081" s="6">
        <v>6631</v>
      </c>
    </row>
    <row r="1082" spans="1:5" x14ac:dyDescent="0.25">
      <c r="A1082" s="4" t="s">
        <v>7</v>
      </c>
      <c r="B1082" s="4" t="s">
        <v>2900</v>
      </c>
      <c r="C1082" s="1" t="s">
        <v>2901</v>
      </c>
      <c r="D1082" s="1" t="s">
        <v>2902</v>
      </c>
      <c r="E1082" s="6">
        <v>7505</v>
      </c>
    </row>
    <row r="1083" spans="1:5" x14ac:dyDescent="0.25">
      <c r="A1083" s="4" t="s">
        <v>7</v>
      </c>
      <c r="B1083" s="4" t="s">
        <v>2903</v>
      </c>
      <c r="C1083" s="1" t="s">
        <v>2904</v>
      </c>
      <c r="D1083" s="1" t="s">
        <v>2905</v>
      </c>
      <c r="E1083" s="6">
        <v>29071</v>
      </c>
    </row>
    <row r="1084" spans="1:5" x14ac:dyDescent="0.25">
      <c r="A1084" s="4" t="s">
        <v>7</v>
      </c>
      <c r="B1084" s="4" t="s">
        <v>2906</v>
      </c>
      <c r="C1084" s="1" t="s">
        <v>2907</v>
      </c>
      <c r="D1084" s="1" t="s">
        <v>2908</v>
      </c>
      <c r="E1084" s="6">
        <v>7505</v>
      </c>
    </row>
    <row r="1085" spans="1:5" x14ac:dyDescent="0.25">
      <c r="A1085" s="4" t="s">
        <v>7</v>
      </c>
      <c r="B1085" s="4" t="s">
        <v>2909</v>
      </c>
      <c r="C1085" s="1" t="s">
        <v>2910</v>
      </c>
      <c r="D1085" s="1" t="s">
        <v>2911</v>
      </c>
      <c r="E1085" s="6">
        <v>9333</v>
      </c>
    </row>
    <row r="1086" spans="1:5" x14ac:dyDescent="0.25">
      <c r="A1086" s="4" t="s">
        <v>7</v>
      </c>
      <c r="B1086" s="4" t="s">
        <v>2912</v>
      </c>
      <c r="C1086" s="1" t="s">
        <v>2913</v>
      </c>
      <c r="D1086" s="1" t="s">
        <v>2914</v>
      </c>
      <c r="E1086" s="6">
        <v>2950</v>
      </c>
    </row>
    <row r="1087" spans="1:5" x14ac:dyDescent="0.25">
      <c r="A1087" s="4" t="s">
        <v>7</v>
      </c>
      <c r="B1087" s="4" t="s">
        <v>2915</v>
      </c>
      <c r="C1087" s="1" t="s">
        <v>2916</v>
      </c>
      <c r="D1087" s="1" t="s">
        <v>2917</v>
      </c>
      <c r="E1087" s="6">
        <v>53752</v>
      </c>
    </row>
    <row r="1088" spans="1:5" x14ac:dyDescent="0.25">
      <c r="A1088" s="4" t="s">
        <v>7</v>
      </c>
      <c r="B1088" s="4" t="s">
        <v>2918</v>
      </c>
      <c r="C1088" s="1" t="s">
        <v>2919</v>
      </c>
      <c r="D1088" s="1" t="s">
        <v>2920</v>
      </c>
      <c r="E1088" s="6">
        <v>6562</v>
      </c>
    </row>
    <row r="1089" spans="1:5" x14ac:dyDescent="0.25">
      <c r="A1089" s="4" t="s">
        <v>7</v>
      </c>
      <c r="B1089" s="4" t="s">
        <v>2921</v>
      </c>
      <c r="C1089" s="1" t="s">
        <v>2922</v>
      </c>
      <c r="D1089" s="1" t="s">
        <v>2923</v>
      </c>
      <c r="E1089" s="6">
        <v>2013</v>
      </c>
    </row>
    <row r="1090" spans="1:5" x14ac:dyDescent="0.25">
      <c r="A1090" s="4" t="s">
        <v>7</v>
      </c>
      <c r="B1090" s="4" t="s">
        <v>2924</v>
      </c>
      <c r="C1090" s="1" t="s">
        <v>2925</v>
      </c>
      <c r="D1090" s="1" t="s">
        <v>2926</v>
      </c>
      <c r="E1090" s="6">
        <v>5345</v>
      </c>
    </row>
    <row r="1091" spans="1:5" x14ac:dyDescent="0.25">
      <c r="A1091" s="4" t="s">
        <v>7</v>
      </c>
      <c r="B1091" s="4" t="s">
        <v>2927</v>
      </c>
      <c r="C1091" s="1" t="s">
        <v>2928</v>
      </c>
      <c r="D1091" s="1" t="s">
        <v>2929</v>
      </c>
      <c r="E1091" s="6">
        <v>209</v>
      </c>
    </row>
    <row r="1092" spans="1:5" x14ac:dyDescent="0.25">
      <c r="A1092" s="4" t="s">
        <v>7</v>
      </c>
      <c r="B1092" s="4" t="s">
        <v>2930</v>
      </c>
      <c r="C1092" s="1" t="s">
        <v>2931</v>
      </c>
      <c r="D1092" s="1" t="s">
        <v>2932</v>
      </c>
      <c r="E1092" s="6">
        <v>76186</v>
      </c>
    </row>
    <row r="1093" spans="1:5" x14ac:dyDescent="0.25">
      <c r="A1093" s="4" t="s">
        <v>7</v>
      </c>
      <c r="B1093" s="4" t="s">
        <v>2933</v>
      </c>
      <c r="C1093" s="1" t="s">
        <v>2934</v>
      </c>
      <c r="D1093" s="1" t="s">
        <v>2935</v>
      </c>
      <c r="E1093" s="6">
        <v>7561</v>
      </c>
    </row>
    <row r="1094" spans="1:5" x14ac:dyDescent="0.25">
      <c r="A1094" s="4" t="s">
        <v>7</v>
      </c>
      <c r="B1094" s="4" t="s">
        <v>2936</v>
      </c>
      <c r="C1094" s="1" t="s">
        <v>2937</v>
      </c>
      <c r="D1094" s="1" t="s">
        <v>2938</v>
      </c>
      <c r="E1094" s="6">
        <v>53752</v>
      </c>
    </row>
    <row r="1095" spans="1:5" x14ac:dyDescent="0.25">
      <c r="A1095" s="4" t="s">
        <v>7</v>
      </c>
      <c r="B1095" s="4" t="s">
        <v>2939</v>
      </c>
      <c r="C1095" s="1" t="s">
        <v>2940</v>
      </c>
      <c r="D1095" s="1" t="s">
        <v>2941</v>
      </c>
      <c r="E1095" s="6">
        <v>9333</v>
      </c>
    </row>
    <row r="1096" spans="1:5" x14ac:dyDescent="0.25">
      <c r="A1096" s="4" t="s">
        <v>7</v>
      </c>
      <c r="B1096" s="4" t="s">
        <v>2942</v>
      </c>
      <c r="C1096" s="1" t="s">
        <v>2943</v>
      </c>
      <c r="D1096" s="1" t="s">
        <v>2944</v>
      </c>
      <c r="E1096" s="6">
        <v>9253</v>
      </c>
    </row>
    <row r="1097" spans="1:5" x14ac:dyDescent="0.25">
      <c r="A1097" s="4" t="s">
        <v>7</v>
      </c>
      <c r="B1097" s="4" t="s">
        <v>2945</v>
      </c>
      <c r="C1097" s="1" t="s">
        <v>2946</v>
      </c>
      <c r="D1097" s="1" t="s">
        <v>2947</v>
      </c>
      <c r="E1097" s="6">
        <v>5003</v>
      </c>
    </row>
    <row r="1098" spans="1:5" x14ac:dyDescent="0.25">
      <c r="A1098" s="4" t="s">
        <v>7</v>
      </c>
      <c r="B1098" s="4" t="s">
        <v>2948</v>
      </c>
      <c r="C1098" s="1" t="s">
        <v>2949</v>
      </c>
      <c r="D1098" s="1" t="s">
        <v>2950</v>
      </c>
      <c r="E1098" s="6">
        <v>5487</v>
      </c>
    </row>
    <row r="1099" spans="1:5" x14ac:dyDescent="0.25">
      <c r="A1099" s="4" t="s">
        <v>7</v>
      </c>
      <c r="B1099" s="4" t="s">
        <v>2951</v>
      </c>
      <c r="C1099" s="1" t="s">
        <v>2952</v>
      </c>
      <c r="D1099" s="1" t="s">
        <v>2953</v>
      </c>
      <c r="E1099" s="6">
        <v>28495</v>
      </c>
    </row>
    <row r="1100" spans="1:5" x14ac:dyDescent="0.25">
      <c r="A1100" s="4" t="s">
        <v>7</v>
      </c>
      <c r="B1100" s="4" t="s">
        <v>2954</v>
      </c>
      <c r="C1100" s="1" t="s">
        <v>2955</v>
      </c>
      <c r="D1100" s="1" t="s">
        <v>2955</v>
      </c>
      <c r="E1100" s="6">
        <v>5808</v>
      </c>
    </row>
    <row r="1101" spans="1:5" x14ac:dyDescent="0.25">
      <c r="A1101" s="4" t="s">
        <v>7</v>
      </c>
      <c r="B1101" s="4" t="s">
        <v>2956</v>
      </c>
      <c r="C1101" s="1" t="s">
        <v>2957</v>
      </c>
      <c r="D1101" s="1" t="s">
        <v>2958</v>
      </c>
      <c r="E1101" s="6">
        <v>7561</v>
      </c>
    </row>
    <row r="1102" spans="1:5" x14ac:dyDescent="0.25">
      <c r="A1102" s="4" t="s">
        <v>7</v>
      </c>
      <c r="B1102" s="4" t="s">
        <v>2959</v>
      </c>
      <c r="C1102" s="1" t="s">
        <v>2960</v>
      </c>
      <c r="D1102" s="1" t="s">
        <v>2961</v>
      </c>
      <c r="E1102" s="6">
        <v>27964</v>
      </c>
    </row>
    <row r="1103" spans="1:5" x14ac:dyDescent="0.25">
      <c r="A1103" s="4" t="s">
        <v>7</v>
      </c>
      <c r="B1103" s="4" t="s">
        <v>2962</v>
      </c>
      <c r="C1103" s="1" t="s">
        <v>2963</v>
      </c>
      <c r="D1103" s="1" t="s">
        <v>2964</v>
      </c>
      <c r="E1103" s="6">
        <v>996</v>
      </c>
    </row>
    <row r="1104" spans="1:5" x14ac:dyDescent="0.25">
      <c r="A1104" s="4" t="s">
        <v>7</v>
      </c>
      <c r="B1104" s="4" t="s">
        <v>2965</v>
      </c>
      <c r="C1104" s="1" t="s">
        <v>2966</v>
      </c>
      <c r="D1104" s="1" t="s">
        <v>2967</v>
      </c>
      <c r="E1104" s="6">
        <v>11963</v>
      </c>
    </row>
    <row r="1105" spans="1:5" x14ac:dyDescent="0.25">
      <c r="A1105" s="4" t="s">
        <v>7</v>
      </c>
      <c r="B1105" s="4" t="s">
        <v>2968</v>
      </c>
      <c r="C1105" s="1" t="s">
        <v>2969</v>
      </c>
      <c r="D1105" s="1" t="s">
        <v>2970</v>
      </c>
      <c r="E1105" s="6">
        <v>1441</v>
      </c>
    </row>
    <row r="1106" spans="1:5" x14ac:dyDescent="0.25">
      <c r="A1106" s="4" t="s">
        <v>7</v>
      </c>
      <c r="B1106" s="4" t="s">
        <v>2971</v>
      </c>
      <c r="C1106" s="1" t="s">
        <v>2972</v>
      </c>
      <c r="D1106" s="1" t="s">
        <v>2973</v>
      </c>
      <c r="E1106" s="6">
        <v>5412</v>
      </c>
    </row>
    <row r="1107" spans="1:5" x14ac:dyDescent="0.25">
      <c r="A1107" s="4" t="s">
        <v>7</v>
      </c>
      <c r="B1107" s="4" t="s">
        <v>2974</v>
      </c>
      <c r="C1107" s="1" t="s">
        <v>2975</v>
      </c>
      <c r="D1107" s="1" t="s">
        <v>2976</v>
      </c>
      <c r="E1107" s="6">
        <v>10433</v>
      </c>
    </row>
    <row r="1108" spans="1:5" x14ac:dyDescent="0.25">
      <c r="A1108" s="4" t="s">
        <v>7</v>
      </c>
      <c r="B1108" s="4" t="s">
        <v>2977</v>
      </c>
      <c r="C1108" s="1" t="s">
        <v>2978</v>
      </c>
      <c r="D1108" s="1" t="s">
        <v>2979</v>
      </c>
      <c r="E1108" s="6">
        <v>6195</v>
      </c>
    </row>
    <row r="1109" spans="1:5" x14ac:dyDescent="0.25">
      <c r="A1109" s="4" t="s">
        <v>7</v>
      </c>
      <c r="B1109" s="4" t="s">
        <v>2980</v>
      </c>
      <c r="C1109" s="1" t="s">
        <v>2981</v>
      </c>
      <c r="D1109" s="1" t="s">
        <v>2982</v>
      </c>
      <c r="E1109" s="6">
        <v>16501</v>
      </c>
    </row>
    <row r="1110" spans="1:5" x14ac:dyDescent="0.25">
      <c r="A1110" s="4" t="s">
        <v>7</v>
      </c>
      <c r="B1110" s="4" t="s">
        <v>2983</v>
      </c>
      <c r="C1110" s="1" t="s">
        <v>2984</v>
      </c>
      <c r="D1110" s="1" t="s">
        <v>2984</v>
      </c>
      <c r="E1110" s="6">
        <v>4922</v>
      </c>
    </row>
    <row r="1111" spans="1:5" x14ac:dyDescent="0.25">
      <c r="A1111" s="4" t="s">
        <v>7</v>
      </c>
      <c r="B1111" s="4" t="s">
        <v>2985</v>
      </c>
      <c r="C1111" s="1" t="s">
        <v>2986</v>
      </c>
      <c r="D1111" s="1" t="s">
        <v>2987</v>
      </c>
      <c r="E1111" s="6">
        <v>9408</v>
      </c>
    </row>
    <row r="1112" spans="1:5" x14ac:dyDescent="0.25">
      <c r="A1112" s="4" t="s">
        <v>7</v>
      </c>
      <c r="B1112" s="4" t="s">
        <v>2988</v>
      </c>
      <c r="C1112" s="1" t="s">
        <v>2989</v>
      </c>
      <c r="D1112" s="1" t="s">
        <v>2990</v>
      </c>
      <c r="E1112" s="6">
        <v>7316.15</v>
      </c>
    </row>
    <row r="1113" spans="1:5" x14ac:dyDescent="0.25">
      <c r="A1113" s="4" t="s">
        <v>7</v>
      </c>
      <c r="B1113" s="4" t="s">
        <v>2991</v>
      </c>
      <c r="C1113" s="1" t="s">
        <v>2992</v>
      </c>
      <c r="D1113" s="1" t="s">
        <v>2993</v>
      </c>
      <c r="E1113" s="6">
        <v>3091</v>
      </c>
    </row>
    <row r="1114" spans="1:5" x14ac:dyDescent="0.25">
      <c r="A1114" s="4" t="s">
        <v>7</v>
      </c>
      <c r="B1114" s="4" t="s">
        <v>2994</v>
      </c>
      <c r="C1114" s="1" t="s">
        <v>2995</v>
      </c>
      <c r="D1114" s="1" t="s">
        <v>2996</v>
      </c>
      <c r="E1114" s="6">
        <v>1793</v>
      </c>
    </row>
    <row r="1115" spans="1:5" x14ac:dyDescent="0.25">
      <c r="A1115" s="4" t="s">
        <v>7</v>
      </c>
      <c r="B1115" s="4" t="s">
        <v>2997</v>
      </c>
      <c r="C1115" s="1" t="s">
        <v>2998</v>
      </c>
      <c r="D1115" s="1" t="s">
        <v>2999</v>
      </c>
      <c r="E1115" s="6">
        <v>673</v>
      </c>
    </row>
    <row r="1116" spans="1:5" x14ac:dyDescent="0.25">
      <c r="A1116" s="4" t="s">
        <v>7</v>
      </c>
      <c r="B1116" s="4" t="s">
        <v>3000</v>
      </c>
      <c r="C1116" s="1" t="s">
        <v>3001</v>
      </c>
      <c r="D1116" s="1" t="s">
        <v>3002</v>
      </c>
      <c r="E1116" s="6">
        <v>4316</v>
      </c>
    </row>
    <row r="1117" spans="1:5" x14ac:dyDescent="0.25">
      <c r="A1117" s="4" t="s">
        <v>7</v>
      </c>
      <c r="B1117" s="4" t="s">
        <v>3003</v>
      </c>
      <c r="C1117" s="1" t="s">
        <v>3004</v>
      </c>
      <c r="D1117" s="1" t="s">
        <v>3005</v>
      </c>
      <c r="E1117" s="6">
        <v>3533</v>
      </c>
    </row>
    <row r="1118" spans="1:5" x14ac:dyDescent="0.25">
      <c r="A1118" s="4" t="s">
        <v>7</v>
      </c>
      <c r="B1118" s="4" t="s">
        <v>3006</v>
      </c>
      <c r="C1118" s="1" t="s">
        <v>3007</v>
      </c>
      <c r="D1118" s="1" t="s">
        <v>3008</v>
      </c>
      <c r="E1118" s="6">
        <v>2930</v>
      </c>
    </row>
    <row r="1119" spans="1:5" x14ac:dyDescent="0.25">
      <c r="A1119" s="4" t="s">
        <v>7</v>
      </c>
      <c r="B1119" s="4" t="s">
        <v>3009</v>
      </c>
      <c r="C1119" s="1" t="s">
        <v>3010</v>
      </c>
      <c r="D1119" s="1" t="s">
        <v>3011</v>
      </c>
      <c r="E1119" s="6">
        <v>26757</v>
      </c>
    </row>
    <row r="1120" spans="1:5" x14ac:dyDescent="0.25">
      <c r="A1120" s="4" t="s">
        <v>7</v>
      </c>
      <c r="B1120" s="4" t="s">
        <v>3012</v>
      </c>
      <c r="C1120" s="1" t="s">
        <v>3013</v>
      </c>
      <c r="D1120" s="1" t="s">
        <v>3014</v>
      </c>
      <c r="E1120" s="6">
        <v>26757</v>
      </c>
    </row>
    <row r="1121" spans="1:5" x14ac:dyDescent="0.25">
      <c r="A1121" s="4" t="s">
        <v>7</v>
      </c>
      <c r="B1121" s="4" t="s">
        <v>3015</v>
      </c>
      <c r="C1121" s="1" t="s">
        <v>3016</v>
      </c>
      <c r="D1121" s="1" t="s">
        <v>3017</v>
      </c>
      <c r="E1121" s="6">
        <v>10455</v>
      </c>
    </row>
    <row r="1122" spans="1:5" x14ac:dyDescent="0.25">
      <c r="A1122" s="4" t="s">
        <v>7</v>
      </c>
      <c r="B1122" s="4" t="s">
        <v>3018</v>
      </c>
      <c r="C1122" s="1" t="s">
        <v>3019</v>
      </c>
      <c r="D1122" s="1" t="s">
        <v>3020</v>
      </c>
      <c r="E1122" s="6">
        <v>3590</v>
      </c>
    </row>
    <row r="1123" spans="1:5" x14ac:dyDescent="0.25">
      <c r="A1123" s="4" t="s">
        <v>7</v>
      </c>
      <c r="B1123" s="4" t="s">
        <v>3021</v>
      </c>
      <c r="C1123" s="1" t="s">
        <v>3022</v>
      </c>
      <c r="D1123" s="1" t="s">
        <v>3020</v>
      </c>
      <c r="E1123" s="6">
        <v>2242</v>
      </c>
    </row>
    <row r="1124" spans="1:5" x14ac:dyDescent="0.25">
      <c r="A1124" s="4" t="s">
        <v>7</v>
      </c>
      <c r="B1124" s="4" t="s">
        <v>3023</v>
      </c>
      <c r="C1124" s="1" t="s">
        <v>3024</v>
      </c>
      <c r="D1124" s="1" t="s">
        <v>3020</v>
      </c>
      <c r="E1124" s="6">
        <v>2107</v>
      </c>
    </row>
    <row r="1125" spans="1:5" x14ac:dyDescent="0.25">
      <c r="A1125" s="4" t="s">
        <v>7</v>
      </c>
      <c r="B1125" s="4" t="s">
        <v>3025</v>
      </c>
      <c r="C1125" s="1" t="s">
        <v>3026</v>
      </c>
      <c r="D1125" s="1" t="s">
        <v>3027</v>
      </c>
      <c r="E1125" s="6">
        <v>1872</v>
      </c>
    </row>
    <row r="1126" spans="1:5" x14ac:dyDescent="0.25">
      <c r="A1126" s="4" t="s">
        <v>7</v>
      </c>
      <c r="B1126" s="4" t="s">
        <v>3028</v>
      </c>
      <c r="C1126" s="1" t="s">
        <v>3029</v>
      </c>
      <c r="D1126" s="1" t="s">
        <v>3030</v>
      </c>
      <c r="E1126" s="6">
        <v>2000</v>
      </c>
    </row>
    <row r="1127" spans="1:5" x14ac:dyDescent="0.25">
      <c r="A1127" s="4" t="s">
        <v>7</v>
      </c>
      <c r="B1127" s="4" t="s">
        <v>3031</v>
      </c>
      <c r="C1127" s="1" t="s">
        <v>3032</v>
      </c>
      <c r="D1127" s="1" t="s">
        <v>3033</v>
      </c>
      <c r="E1127" s="6">
        <v>1500</v>
      </c>
    </row>
    <row r="1128" spans="1:5" x14ac:dyDescent="0.25">
      <c r="A1128" s="4" t="s">
        <v>7</v>
      </c>
      <c r="B1128" s="4" t="s">
        <v>3034</v>
      </c>
      <c r="C1128" s="1" t="s">
        <v>3035</v>
      </c>
      <c r="D1128" s="1" t="s">
        <v>3036</v>
      </c>
      <c r="E1128" s="6">
        <v>4418</v>
      </c>
    </row>
    <row r="1129" spans="1:5" x14ac:dyDescent="0.25">
      <c r="A1129" s="4" t="s">
        <v>7</v>
      </c>
      <c r="B1129" s="4" t="s">
        <v>3037</v>
      </c>
      <c r="C1129" s="1" t="s">
        <v>3038</v>
      </c>
      <c r="D1129" s="1" t="s">
        <v>3039</v>
      </c>
      <c r="E1129" s="6">
        <v>6798</v>
      </c>
    </row>
    <row r="1130" spans="1:5" x14ac:dyDescent="0.25">
      <c r="A1130" s="4" t="s">
        <v>7</v>
      </c>
      <c r="B1130" s="4" t="s">
        <v>3040</v>
      </c>
      <c r="C1130" s="1" t="s">
        <v>3041</v>
      </c>
      <c r="D1130" s="1" t="s">
        <v>3042</v>
      </c>
      <c r="E1130" s="6">
        <v>6477</v>
      </c>
    </row>
    <row r="1131" spans="1:5" x14ac:dyDescent="0.25">
      <c r="A1131" s="4" t="s">
        <v>7</v>
      </c>
      <c r="B1131" s="4" t="s">
        <v>3043</v>
      </c>
      <c r="C1131" s="1" t="s">
        <v>3044</v>
      </c>
      <c r="D1131" s="1" t="s">
        <v>3045</v>
      </c>
      <c r="E1131" s="6">
        <v>31611.09</v>
      </c>
    </row>
    <row r="1132" spans="1:5" x14ac:dyDescent="0.25">
      <c r="A1132" s="4" t="s">
        <v>7</v>
      </c>
      <c r="B1132" s="4" t="s">
        <v>3046</v>
      </c>
      <c r="C1132" s="1" t="s">
        <v>3047</v>
      </c>
      <c r="D1132" s="1" t="s">
        <v>3048</v>
      </c>
      <c r="E1132" s="6">
        <v>13485.54</v>
      </c>
    </row>
    <row r="1133" spans="1:5" x14ac:dyDescent="0.25">
      <c r="A1133" s="4" t="s">
        <v>7</v>
      </c>
      <c r="B1133" s="4" t="s">
        <v>3049</v>
      </c>
      <c r="C1133" s="1" t="s">
        <v>3050</v>
      </c>
      <c r="D1133" s="1" t="s">
        <v>3051</v>
      </c>
      <c r="E1133" s="6">
        <v>4480</v>
      </c>
    </row>
    <row r="1134" spans="1:5" x14ac:dyDescent="0.25">
      <c r="A1134" s="4" t="s">
        <v>7</v>
      </c>
      <c r="B1134" s="4" t="s">
        <v>3052</v>
      </c>
      <c r="C1134" s="1" t="s">
        <v>3053</v>
      </c>
      <c r="D1134" s="1" t="s">
        <v>3054</v>
      </c>
      <c r="E1134" s="6">
        <v>4701</v>
      </c>
    </row>
    <row r="1135" spans="1:5" x14ac:dyDescent="0.25">
      <c r="A1135" s="4" t="s">
        <v>7</v>
      </c>
      <c r="B1135" s="4" t="s">
        <v>3055</v>
      </c>
      <c r="C1135" s="1" t="s">
        <v>3056</v>
      </c>
      <c r="D1135" s="1" t="s">
        <v>3057</v>
      </c>
      <c r="E1135" s="6">
        <v>31925</v>
      </c>
    </row>
    <row r="1136" spans="1:5" x14ac:dyDescent="0.25">
      <c r="A1136" s="4" t="s">
        <v>7</v>
      </c>
      <c r="B1136" s="4" t="s">
        <v>3058</v>
      </c>
      <c r="C1136" s="1" t="s">
        <v>3059</v>
      </c>
      <c r="D1136" s="1" t="s">
        <v>3057</v>
      </c>
      <c r="E1136" s="6">
        <v>31925</v>
      </c>
    </row>
    <row r="1137" spans="1:5" x14ac:dyDescent="0.25">
      <c r="A1137" s="4" t="s">
        <v>7</v>
      </c>
      <c r="B1137" s="4" t="s">
        <v>3060</v>
      </c>
      <c r="C1137" s="1" t="s">
        <v>3061</v>
      </c>
      <c r="D1137" s="1" t="s">
        <v>3062</v>
      </c>
      <c r="E1137" s="6">
        <v>31925</v>
      </c>
    </row>
    <row r="1138" spans="1:5" x14ac:dyDescent="0.25">
      <c r="A1138" s="4" t="s">
        <v>7</v>
      </c>
      <c r="B1138" s="4" t="s">
        <v>3063</v>
      </c>
      <c r="C1138" s="1" t="s">
        <v>3064</v>
      </c>
      <c r="D1138" s="1" t="s">
        <v>3065</v>
      </c>
      <c r="E1138" s="6">
        <v>31925</v>
      </c>
    </row>
    <row r="1139" spans="1:5" x14ac:dyDescent="0.25">
      <c r="A1139" s="4" t="s">
        <v>7</v>
      </c>
      <c r="B1139" s="4" t="s">
        <v>3066</v>
      </c>
      <c r="C1139" s="1" t="s">
        <v>3067</v>
      </c>
      <c r="D1139" s="1" t="s">
        <v>3068</v>
      </c>
      <c r="E1139" s="6">
        <v>32058</v>
      </c>
    </row>
    <row r="1140" spans="1:5" x14ac:dyDescent="0.25">
      <c r="A1140" s="4" t="s">
        <v>7</v>
      </c>
      <c r="B1140" s="4" t="s">
        <v>3069</v>
      </c>
      <c r="C1140" s="1" t="s">
        <v>3070</v>
      </c>
      <c r="D1140" s="1" t="s">
        <v>3071</v>
      </c>
      <c r="E1140" s="6">
        <v>32058</v>
      </c>
    </row>
    <row r="1141" spans="1:5" x14ac:dyDescent="0.25">
      <c r="A1141" s="4" t="s">
        <v>7</v>
      </c>
      <c r="B1141" s="4" t="s">
        <v>3072</v>
      </c>
      <c r="C1141" s="1" t="s">
        <v>3073</v>
      </c>
      <c r="D1141" s="1" t="s">
        <v>3074</v>
      </c>
      <c r="E1141" s="6">
        <v>41040</v>
      </c>
    </row>
    <row r="1142" spans="1:5" x14ac:dyDescent="0.25">
      <c r="A1142" s="4" t="s">
        <v>7</v>
      </c>
      <c r="B1142" s="4" t="s">
        <v>3075</v>
      </c>
      <c r="C1142" s="1" t="s">
        <v>3076</v>
      </c>
      <c r="D1142" s="1" t="s">
        <v>3077</v>
      </c>
      <c r="E1142" s="6">
        <v>41040</v>
      </c>
    </row>
    <row r="1143" spans="1:5" x14ac:dyDescent="0.25">
      <c r="A1143" s="4" t="s">
        <v>7</v>
      </c>
      <c r="B1143" s="4" t="s">
        <v>3078</v>
      </c>
      <c r="C1143" s="1" t="s">
        <v>3079</v>
      </c>
      <c r="D1143" s="1" t="s">
        <v>3080</v>
      </c>
      <c r="E1143" s="6">
        <v>12474</v>
      </c>
    </row>
    <row r="1144" spans="1:5" x14ac:dyDescent="0.25">
      <c r="A1144" s="4" t="s">
        <v>7</v>
      </c>
      <c r="B1144" s="4" t="s">
        <v>3081</v>
      </c>
      <c r="C1144" s="1" t="s">
        <v>3082</v>
      </c>
      <c r="D1144" s="1" t="s">
        <v>3083</v>
      </c>
      <c r="E1144" s="6">
        <v>25041</v>
      </c>
    </row>
    <row r="1145" spans="1:5" x14ac:dyDescent="0.25">
      <c r="A1145" s="4" t="s">
        <v>7</v>
      </c>
      <c r="B1145" s="4" t="s">
        <v>3084</v>
      </c>
      <c r="C1145" s="1" t="s">
        <v>3085</v>
      </c>
      <c r="D1145" s="1" t="s">
        <v>3086</v>
      </c>
      <c r="E1145" s="6">
        <v>12474</v>
      </c>
    </row>
    <row r="1146" spans="1:5" x14ac:dyDescent="0.25">
      <c r="A1146" s="4" t="s">
        <v>7</v>
      </c>
      <c r="B1146" s="4" t="s">
        <v>3087</v>
      </c>
      <c r="C1146" s="1" t="s">
        <v>3088</v>
      </c>
      <c r="D1146" s="1" t="s">
        <v>3089</v>
      </c>
      <c r="E1146" s="6">
        <v>11654</v>
      </c>
    </row>
    <row r="1147" spans="1:5" x14ac:dyDescent="0.25">
      <c r="A1147" s="4" t="s">
        <v>7</v>
      </c>
      <c r="B1147" s="4" t="s">
        <v>3090</v>
      </c>
      <c r="C1147" s="1" t="s">
        <v>3091</v>
      </c>
      <c r="D1147" s="1" t="s">
        <v>3092</v>
      </c>
      <c r="E1147" s="6">
        <v>12136</v>
      </c>
    </row>
    <row r="1148" spans="1:5" x14ac:dyDescent="0.25">
      <c r="A1148" s="4" t="s">
        <v>7</v>
      </c>
      <c r="B1148" s="4" t="s">
        <v>3093</v>
      </c>
      <c r="C1148" s="1" t="s">
        <v>3094</v>
      </c>
      <c r="D1148" s="1" t="s">
        <v>3095</v>
      </c>
      <c r="E1148" s="6">
        <v>44082</v>
      </c>
    </row>
    <row r="1149" spans="1:5" x14ac:dyDescent="0.25">
      <c r="A1149" s="4" t="s">
        <v>7</v>
      </c>
      <c r="B1149" s="4" t="s">
        <v>3096</v>
      </c>
      <c r="C1149" s="1" t="s">
        <v>3097</v>
      </c>
      <c r="D1149" s="1" t="s">
        <v>3098</v>
      </c>
      <c r="E1149" s="6">
        <v>8730</v>
      </c>
    </row>
    <row r="1150" spans="1:5" x14ac:dyDescent="0.25">
      <c r="A1150" s="4" t="s">
        <v>7</v>
      </c>
      <c r="B1150" s="4" t="s">
        <v>3099</v>
      </c>
      <c r="C1150" s="1" t="s">
        <v>3100</v>
      </c>
      <c r="D1150" s="1" t="s">
        <v>3101</v>
      </c>
      <c r="E1150" s="6">
        <v>44100</v>
      </c>
    </row>
    <row r="1151" spans="1:5" x14ac:dyDescent="0.25">
      <c r="A1151" s="4" t="s">
        <v>7</v>
      </c>
      <c r="B1151" s="4" t="s">
        <v>3102</v>
      </c>
      <c r="C1151" s="1" t="s">
        <v>3103</v>
      </c>
      <c r="D1151" s="1" t="s">
        <v>3104</v>
      </c>
      <c r="E1151" s="6">
        <v>4690</v>
      </c>
    </row>
    <row r="1152" spans="1:5" x14ac:dyDescent="0.25">
      <c r="A1152" s="4" t="s">
        <v>7</v>
      </c>
      <c r="B1152" s="4" t="s">
        <v>3105</v>
      </c>
      <c r="C1152" s="1" t="s">
        <v>3106</v>
      </c>
      <c r="D1152" s="1" t="s">
        <v>3107</v>
      </c>
      <c r="E1152" s="6">
        <v>8500</v>
      </c>
    </row>
    <row r="1153" spans="1:5" x14ac:dyDescent="0.25">
      <c r="A1153" s="4" t="s">
        <v>7</v>
      </c>
      <c r="B1153" s="4" t="s">
        <v>3108</v>
      </c>
      <c r="C1153" s="1" t="s">
        <v>3109</v>
      </c>
      <c r="D1153" s="1" t="s">
        <v>3110</v>
      </c>
      <c r="E1153" s="6">
        <v>43138</v>
      </c>
    </row>
    <row r="1154" spans="1:5" x14ac:dyDescent="0.25">
      <c r="A1154" s="4" t="s">
        <v>7</v>
      </c>
      <c r="B1154" s="4" t="s">
        <v>3111</v>
      </c>
      <c r="C1154" s="1" t="s">
        <v>3112</v>
      </c>
      <c r="D1154" s="1" t="s">
        <v>3113</v>
      </c>
      <c r="E1154" s="6">
        <v>4739</v>
      </c>
    </row>
    <row r="1155" spans="1:5" x14ac:dyDescent="0.25">
      <c r="A1155" s="4" t="s">
        <v>7</v>
      </c>
      <c r="B1155" s="4" t="s">
        <v>3114</v>
      </c>
      <c r="C1155" s="1" t="s">
        <v>3115</v>
      </c>
      <c r="D1155" s="1" t="s">
        <v>3116</v>
      </c>
      <c r="E1155" s="6">
        <v>5741</v>
      </c>
    </row>
    <row r="1156" spans="1:5" x14ac:dyDescent="0.25">
      <c r="A1156" s="4" t="s">
        <v>7</v>
      </c>
      <c r="B1156" s="4" t="s">
        <v>3117</v>
      </c>
      <c r="C1156" s="1" t="s">
        <v>3118</v>
      </c>
      <c r="D1156" s="1" t="s">
        <v>3119</v>
      </c>
      <c r="E1156" s="6">
        <v>10441</v>
      </c>
    </row>
    <row r="1157" spans="1:5" x14ac:dyDescent="0.25">
      <c r="A1157" s="4" t="s">
        <v>7</v>
      </c>
      <c r="B1157" s="4" t="s">
        <v>3120</v>
      </c>
      <c r="C1157" s="1" t="s">
        <v>3121</v>
      </c>
      <c r="D1157" s="1" t="s">
        <v>3122</v>
      </c>
      <c r="E1157" s="6">
        <v>6195</v>
      </c>
    </row>
    <row r="1158" spans="1:5" x14ac:dyDescent="0.25">
      <c r="A1158" s="4" t="s">
        <v>7</v>
      </c>
      <c r="B1158" s="4" t="s">
        <v>3123</v>
      </c>
      <c r="C1158" s="1" t="s">
        <v>3124</v>
      </c>
      <c r="D1158" s="1" t="s">
        <v>3125</v>
      </c>
      <c r="E1158" s="6">
        <v>9500</v>
      </c>
    </row>
    <row r="1159" spans="1:5" x14ac:dyDescent="0.25">
      <c r="A1159" s="4" t="s">
        <v>7</v>
      </c>
      <c r="B1159" s="4" t="s">
        <v>3126</v>
      </c>
      <c r="C1159" s="1" t="s">
        <v>3127</v>
      </c>
      <c r="D1159" s="1" t="s">
        <v>3128</v>
      </c>
      <c r="E1159" s="6">
        <v>4750</v>
      </c>
    </row>
    <row r="1160" spans="1:5" x14ac:dyDescent="0.25">
      <c r="A1160" s="4" t="s">
        <v>7</v>
      </c>
      <c r="B1160" s="4" t="s">
        <v>3129</v>
      </c>
      <c r="C1160" s="1" t="s">
        <v>3130</v>
      </c>
      <c r="D1160" s="1" t="s">
        <v>3131</v>
      </c>
      <c r="E1160" s="6">
        <v>5688</v>
      </c>
    </row>
    <row r="1161" spans="1:5" x14ac:dyDescent="0.25">
      <c r="A1161" s="4" t="s">
        <v>7</v>
      </c>
      <c r="B1161" s="4" t="s">
        <v>3132</v>
      </c>
      <c r="C1161" s="1" t="s">
        <v>3133</v>
      </c>
      <c r="D1161" s="1" t="s">
        <v>3134</v>
      </c>
      <c r="E1161" s="6">
        <v>25755</v>
      </c>
    </row>
    <row r="1162" spans="1:5" x14ac:dyDescent="0.25">
      <c r="A1162" s="4" t="s">
        <v>7</v>
      </c>
      <c r="B1162" s="4" t="s">
        <v>3135</v>
      </c>
      <c r="C1162" s="1" t="s">
        <v>3136</v>
      </c>
      <c r="D1162" s="1" t="s">
        <v>3137</v>
      </c>
      <c r="E1162" s="6">
        <v>3853</v>
      </c>
    </row>
    <row r="1163" spans="1:5" x14ac:dyDescent="0.25">
      <c r="A1163" s="4" t="s">
        <v>7</v>
      </c>
      <c r="B1163" s="4" t="s">
        <v>3138</v>
      </c>
      <c r="C1163" s="1" t="s">
        <v>3139</v>
      </c>
      <c r="D1163" s="1" t="s">
        <v>3140</v>
      </c>
      <c r="E1163" s="6">
        <v>4711</v>
      </c>
    </row>
    <row r="1164" spans="1:5" x14ac:dyDescent="0.25">
      <c r="A1164" s="4" t="s">
        <v>7</v>
      </c>
      <c r="B1164" s="4" t="s">
        <v>3141</v>
      </c>
      <c r="C1164" s="1" t="s">
        <v>3142</v>
      </c>
      <c r="D1164" s="1" t="s">
        <v>3143</v>
      </c>
      <c r="E1164" s="6">
        <v>4465</v>
      </c>
    </row>
    <row r="1165" spans="1:5" x14ac:dyDescent="0.25">
      <c r="A1165" s="4" t="s">
        <v>7</v>
      </c>
      <c r="B1165" s="4" t="s">
        <v>3144</v>
      </c>
      <c r="C1165" s="1" t="s">
        <v>3145</v>
      </c>
      <c r="D1165" s="1" t="s">
        <v>3146</v>
      </c>
      <c r="E1165" s="6">
        <v>4428</v>
      </c>
    </row>
    <row r="1166" spans="1:5" x14ac:dyDescent="0.25">
      <c r="A1166" s="4" t="s">
        <v>7</v>
      </c>
      <c r="B1166" s="4" t="s">
        <v>3147</v>
      </c>
      <c r="C1166" s="1" t="s">
        <v>3148</v>
      </c>
      <c r="D1166" s="1" t="s">
        <v>3149</v>
      </c>
      <c r="E1166" s="6">
        <v>25215</v>
      </c>
    </row>
    <row r="1167" spans="1:5" x14ac:dyDescent="0.25">
      <c r="A1167" s="4" t="s">
        <v>7</v>
      </c>
      <c r="B1167" s="4" t="s">
        <v>3150</v>
      </c>
      <c r="C1167" s="1" t="s">
        <v>3151</v>
      </c>
      <c r="D1167" s="1" t="s">
        <v>3152</v>
      </c>
      <c r="E1167" s="6">
        <v>25215</v>
      </c>
    </row>
    <row r="1168" spans="1:5" x14ac:dyDescent="0.25">
      <c r="A1168" s="4" t="s">
        <v>7</v>
      </c>
      <c r="B1168" s="4" t="s">
        <v>3153</v>
      </c>
      <c r="C1168" s="1" t="s">
        <v>3154</v>
      </c>
      <c r="D1168" s="1" t="s">
        <v>3155</v>
      </c>
      <c r="E1168" s="6">
        <v>1621</v>
      </c>
    </row>
    <row r="1169" spans="1:5" x14ac:dyDescent="0.25">
      <c r="A1169" s="4" t="s">
        <v>7</v>
      </c>
      <c r="B1169" s="4" t="s">
        <v>3156</v>
      </c>
      <c r="C1169" s="1" t="s">
        <v>3157</v>
      </c>
      <c r="D1169" s="1" t="s">
        <v>3158</v>
      </c>
      <c r="E1169" s="6">
        <v>9944</v>
      </c>
    </row>
    <row r="1170" spans="1:5" x14ac:dyDescent="0.25">
      <c r="A1170" s="4" t="s">
        <v>7</v>
      </c>
      <c r="B1170" s="4" t="s">
        <v>3159</v>
      </c>
      <c r="C1170" s="1" t="s">
        <v>3160</v>
      </c>
      <c r="D1170" s="1" t="s">
        <v>3161</v>
      </c>
      <c r="E1170" s="6">
        <v>4626</v>
      </c>
    </row>
    <row r="1171" spans="1:5" x14ac:dyDescent="0.25">
      <c r="A1171" s="4" t="s">
        <v>7</v>
      </c>
      <c r="B1171" s="4" t="s">
        <v>3162</v>
      </c>
      <c r="C1171" s="1" t="s">
        <v>3163</v>
      </c>
      <c r="D1171" s="1" t="s">
        <v>3164</v>
      </c>
      <c r="E1171" s="6">
        <v>13180</v>
      </c>
    </row>
    <row r="1172" spans="1:5" x14ac:dyDescent="0.25">
      <c r="A1172" s="4" t="s">
        <v>7</v>
      </c>
      <c r="B1172" s="4" t="s">
        <v>3165</v>
      </c>
      <c r="C1172" s="1" t="s">
        <v>3166</v>
      </c>
      <c r="D1172" s="1" t="s">
        <v>3167</v>
      </c>
      <c r="E1172" s="6">
        <v>2520</v>
      </c>
    </row>
    <row r="1173" spans="1:5" x14ac:dyDescent="0.25">
      <c r="A1173" s="4" t="s">
        <v>7</v>
      </c>
      <c r="B1173" s="4" t="s">
        <v>3168</v>
      </c>
      <c r="C1173" s="1" t="s">
        <v>3169</v>
      </c>
      <c r="D1173" s="1" t="s">
        <v>3167</v>
      </c>
      <c r="E1173" s="6">
        <v>1717</v>
      </c>
    </row>
    <row r="1174" spans="1:5" x14ac:dyDescent="0.25">
      <c r="A1174" s="4" t="s">
        <v>7</v>
      </c>
      <c r="B1174" s="4" t="s">
        <v>3170</v>
      </c>
      <c r="C1174" s="1" t="s">
        <v>3171</v>
      </c>
      <c r="D1174" s="1" t="s">
        <v>3172</v>
      </c>
      <c r="E1174" s="6">
        <v>4510</v>
      </c>
    </row>
    <row r="1175" spans="1:5" x14ac:dyDescent="0.25">
      <c r="A1175" s="4" t="s">
        <v>7</v>
      </c>
      <c r="B1175" s="4" t="s">
        <v>3173</v>
      </c>
      <c r="C1175" s="1" t="s">
        <v>3174</v>
      </c>
      <c r="D1175" s="1" t="s">
        <v>3175</v>
      </c>
      <c r="E1175" s="6">
        <v>3869</v>
      </c>
    </row>
    <row r="1176" spans="1:5" x14ac:dyDescent="0.25">
      <c r="A1176" s="4" t="s">
        <v>7</v>
      </c>
      <c r="B1176" s="4" t="s">
        <v>3176</v>
      </c>
      <c r="C1176" s="1" t="s">
        <v>3177</v>
      </c>
      <c r="D1176" s="1" t="s">
        <v>3178</v>
      </c>
      <c r="E1176" s="6">
        <v>2091</v>
      </c>
    </row>
    <row r="1177" spans="1:5" x14ac:dyDescent="0.25">
      <c r="A1177" s="4" t="s">
        <v>7</v>
      </c>
      <c r="B1177" s="4" t="s">
        <v>3179</v>
      </c>
      <c r="C1177" s="1" t="s">
        <v>3180</v>
      </c>
      <c r="D1177" s="1" t="s">
        <v>3181</v>
      </c>
      <c r="E1177" s="6">
        <v>2901</v>
      </c>
    </row>
    <row r="1178" spans="1:5" x14ac:dyDescent="0.25">
      <c r="A1178" s="4" t="s">
        <v>7</v>
      </c>
      <c r="B1178" s="4" t="s">
        <v>3182</v>
      </c>
      <c r="C1178" s="1" t="s">
        <v>3183</v>
      </c>
      <c r="D1178" s="1" t="s">
        <v>3184</v>
      </c>
      <c r="E1178" s="6">
        <v>2334</v>
      </c>
    </row>
    <row r="1179" spans="1:5" x14ac:dyDescent="0.25">
      <c r="A1179" s="4" t="s">
        <v>7</v>
      </c>
      <c r="B1179" s="4" t="s">
        <v>3185</v>
      </c>
      <c r="C1179" s="1" t="s">
        <v>3186</v>
      </c>
      <c r="D1179" s="1" t="s">
        <v>3187</v>
      </c>
      <c r="E1179" s="6">
        <v>888</v>
      </c>
    </row>
    <row r="1180" spans="1:5" x14ac:dyDescent="0.25">
      <c r="A1180" s="4" t="s">
        <v>7</v>
      </c>
      <c r="B1180" s="4" t="s">
        <v>3188</v>
      </c>
      <c r="C1180" s="1" t="s">
        <v>3189</v>
      </c>
      <c r="D1180" s="1" t="s">
        <v>3190</v>
      </c>
      <c r="E1180" s="6">
        <v>864</v>
      </c>
    </row>
    <row r="1181" spans="1:5" x14ac:dyDescent="0.25">
      <c r="A1181" s="4" t="s">
        <v>7</v>
      </c>
      <c r="B1181" s="4" t="s">
        <v>3191</v>
      </c>
      <c r="C1181" s="1" t="s">
        <v>3192</v>
      </c>
      <c r="D1181" s="1" t="s">
        <v>3193</v>
      </c>
      <c r="E1181" s="6">
        <v>1187</v>
      </c>
    </row>
    <row r="1182" spans="1:5" x14ac:dyDescent="0.25">
      <c r="A1182" s="4" t="s">
        <v>7</v>
      </c>
      <c r="B1182" s="4" t="s">
        <v>3194</v>
      </c>
      <c r="C1182" s="1" t="s">
        <v>3195</v>
      </c>
      <c r="D1182" s="1" t="s">
        <v>3196</v>
      </c>
      <c r="E1182" s="6">
        <v>17535</v>
      </c>
    </row>
    <row r="1183" spans="1:5" x14ac:dyDescent="0.25">
      <c r="A1183" s="4" t="s">
        <v>7</v>
      </c>
      <c r="B1183" s="4" t="s">
        <v>3197</v>
      </c>
      <c r="C1183" s="1" t="s">
        <v>3198</v>
      </c>
      <c r="D1183" s="1" t="s">
        <v>3199</v>
      </c>
      <c r="E1183" s="6">
        <v>759</v>
      </c>
    </row>
    <row r="1184" spans="1:5" x14ac:dyDescent="0.25">
      <c r="A1184" s="4" t="s">
        <v>7</v>
      </c>
      <c r="B1184" s="4" t="s">
        <v>3200</v>
      </c>
      <c r="C1184" s="1" t="s">
        <v>3201</v>
      </c>
      <c r="D1184" s="1" t="s">
        <v>3202</v>
      </c>
      <c r="E1184" s="6">
        <v>1044</v>
      </c>
    </row>
    <row r="1185" spans="1:5" x14ac:dyDescent="0.25">
      <c r="A1185" s="4" t="s">
        <v>7</v>
      </c>
      <c r="B1185" s="4" t="s">
        <v>3203</v>
      </c>
      <c r="C1185" s="1" t="s">
        <v>3204</v>
      </c>
      <c r="D1185" s="1" t="s">
        <v>3202</v>
      </c>
      <c r="E1185" s="6">
        <v>782</v>
      </c>
    </row>
    <row r="1186" spans="1:5" x14ac:dyDescent="0.25">
      <c r="A1186" s="4" t="s">
        <v>7</v>
      </c>
      <c r="B1186" s="4" t="s">
        <v>3205</v>
      </c>
      <c r="C1186" s="1" t="s">
        <v>3206</v>
      </c>
      <c r="D1186" s="1" t="s">
        <v>3207</v>
      </c>
      <c r="E1186" s="6">
        <v>738</v>
      </c>
    </row>
    <row r="1187" spans="1:5" x14ac:dyDescent="0.25">
      <c r="A1187" s="4" t="s">
        <v>7</v>
      </c>
      <c r="B1187" s="4" t="s">
        <v>3208</v>
      </c>
      <c r="C1187" s="1" t="s">
        <v>3209</v>
      </c>
      <c r="D1187" s="1" t="s">
        <v>3210</v>
      </c>
      <c r="E1187" s="6">
        <v>1922</v>
      </c>
    </row>
    <row r="1188" spans="1:5" x14ac:dyDescent="0.25">
      <c r="A1188" s="4" t="s">
        <v>7</v>
      </c>
      <c r="B1188" s="4" t="s">
        <v>3211</v>
      </c>
      <c r="C1188" s="1" t="s">
        <v>3212</v>
      </c>
      <c r="D1188" s="1" t="s">
        <v>3213</v>
      </c>
      <c r="E1188" s="6">
        <v>25215</v>
      </c>
    </row>
    <row r="1189" spans="1:5" x14ac:dyDescent="0.25">
      <c r="A1189" s="4" t="s">
        <v>7</v>
      </c>
      <c r="B1189" s="4" t="s">
        <v>3214</v>
      </c>
      <c r="C1189" s="1" t="s">
        <v>3215</v>
      </c>
      <c r="D1189" s="1" t="s">
        <v>3216</v>
      </c>
      <c r="E1189" s="6">
        <v>7523</v>
      </c>
    </row>
    <row r="1190" spans="1:5" x14ac:dyDescent="0.25">
      <c r="A1190" s="4" t="s">
        <v>7</v>
      </c>
      <c r="B1190" s="4" t="s">
        <v>3217</v>
      </c>
      <c r="C1190" s="1" t="s">
        <v>3218</v>
      </c>
      <c r="D1190" s="1" t="s">
        <v>3219</v>
      </c>
      <c r="E1190" s="6">
        <v>8132</v>
      </c>
    </row>
    <row r="1191" spans="1:5" x14ac:dyDescent="0.25">
      <c r="A1191" s="4" t="s">
        <v>7</v>
      </c>
      <c r="B1191" s="4" t="s">
        <v>3220</v>
      </c>
      <c r="C1191" s="1" t="s">
        <v>3221</v>
      </c>
      <c r="D1191" s="1" t="s">
        <v>3222</v>
      </c>
      <c r="E1191" s="6">
        <v>9875</v>
      </c>
    </row>
    <row r="1192" spans="1:5" x14ac:dyDescent="0.25">
      <c r="A1192" s="4" t="s">
        <v>7</v>
      </c>
      <c r="B1192" s="4" t="s">
        <v>3223</v>
      </c>
      <c r="C1192" s="1" t="s">
        <v>3224</v>
      </c>
      <c r="D1192" s="1" t="s">
        <v>3225</v>
      </c>
      <c r="E1192" s="6">
        <v>25215</v>
      </c>
    </row>
    <row r="1193" spans="1:5" x14ac:dyDescent="0.25">
      <c r="A1193" s="4" t="s">
        <v>7</v>
      </c>
      <c r="B1193" s="4" t="s">
        <v>3226</v>
      </c>
      <c r="C1193" s="1" t="s">
        <v>3227</v>
      </c>
      <c r="D1193" s="1" t="s">
        <v>3228</v>
      </c>
      <c r="E1193" s="6">
        <v>9875</v>
      </c>
    </row>
    <row r="1194" spans="1:5" x14ac:dyDescent="0.25">
      <c r="A1194" s="4" t="s">
        <v>7</v>
      </c>
      <c r="B1194" s="4" t="s">
        <v>3229</v>
      </c>
      <c r="C1194" s="1" t="s">
        <v>3230</v>
      </c>
      <c r="D1194" s="1" t="s">
        <v>3231</v>
      </c>
      <c r="E1194" s="6">
        <v>3040</v>
      </c>
    </row>
    <row r="1195" spans="1:5" x14ac:dyDescent="0.25">
      <c r="A1195" s="4" t="s">
        <v>7</v>
      </c>
      <c r="B1195" s="4" t="s">
        <v>3232</v>
      </c>
      <c r="C1195" s="1" t="s">
        <v>3233</v>
      </c>
      <c r="D1195" s="1" t="s">
        <v>3234</v>
      </c>
      <c r="E1195" s="6">
        <v>5228</v>
      </c>
    </row>
    <row r="1196" spans="1:5" x14ac:dyDescent="0.25">
      <c r="A1196" s="4" t="s">
        <v>7</v>
      </c>
      <c r="B1196" s="4" t="s">
        <v>3235</v>
      </c>
      <c r="C1196" s="1" t="s">
        <v>3236</v>
      </c>
      <c r="D1196" s="1" t="s">
        <v>3237</v>
      </c>
      <c r="E1196" s="6">
        <v>25763</v>
      </c>
    </row>
    <row r="1197" spans="1:5" x14ac:dyDescent="0.25">
      <c r="A1197" s="4" t="s">
        <v>7</v>
      </c>
      <c r="B1197" s="4" t="s">
        <v>3238</v>
      </c>
      <c r="C1197" s="1" t="s">
        <v>3239</v>
      </c>
      <c r="D1197" s="1" t="s">
        <v>3237</v>
      </c>
      <c r="E1197" s="6">
        <v>25763</v>
      </c>
    </row>
    <row r="1198" spans="1:5" x14ac:dyDescent="0.25">
      <c r="A1198" s="4" t="s">
        <v>7</v>
      </c>
      <c r="B1198" s="4" t="s">
        <v>3240</v>
      </c>
      <c r="C1198" s="1" t="s">
        <v>3241</v>
      </c>
      <c r="D1198" s="1" t="s">
        <v>3237</v>
      </c>
      <c r="E1198" s="6">
        <v>44082</v>
      </c>
    </row>
    <row r="1199" spans="1:5" x14ac:dyDescent="0.25">
      <c r="A1199" s="4" t="s">
        <v>7</v>
      </c>
      <c r="B1199" s="4" t="s">
        <v>3242</v>
      </c>
      <c r="C1199" s="1" t="s">
        <v>3243</v>
      </c>
      <c r="D1199" s="1" t="s">
        <v>3244</v>
      </c>
      <c r="E1199" s="6">
        <v>7505</v>
      </c>
    </row>
    <row r="1200" spans="1:5" x14ac:dyDescent="0.25">
      <c r="A1200" s="4" t="s">
        <v>7</v>
      </c>
      <c r="B1200" s="4" t="s">
        <v>3245</v>
      </c>
      <c r="C1200" s="1" t="s">
        <v>3246</v>
      </c>
      <c r="D1200" s="1" t="s">
        <v>2860</v>
      </c>
      <c r="E1200" s="6">
        <v>320019</v>
      </c>
    </row>
    <row r="1201" spans="1:5" x14ac:dyDescent="0.25">
      <c r="A1201" s="4" t="s">
        <v>7</v>
      </c>
      <c r="B1201" s="4" t="s">
        <v>3247</v>
      </c>
      <c r="C1201" s="1" t="s">
        <v>3248</v>
      </c>
      <c r="D1201" s="1" t="s">
        <v>3249</v>
      </c>
      <c r="E1201" s="6">
        <v>1984</v>
      </c>
    </row>
    <row r="1202" spans="1:5" x14ac:dyDescent="0.25">
      <c r="A1202" s="4" t="s">
        <v>7</v>
      </c>
      <c r="B1202" s="4" t="s">
        <v>3250</v>
      </c>
      <c r="C1202" s="1" t="s">
        <v>3251</v>
      </c>
      <c r="D1202" s="1" t="s">
        <v>3252</v>
      </c>
      <c r="E1202" s="6">
        <v>48001.77</v>
      </c>
    </row>
    <row r="1203" spans="1:5" x14ac:dyDescent="0.25">
      <c r="A1203" s="4" t="s">
        <v>7</v>
      </c>
      <c r="B1203" s="4" t="s">
        <v>3253</v>
      </c>
      <c r="C1203" s="1" t="s">
        <v>3254</v>
      </c>
      <c r="D1203" s="1" t="s">
        <v>3255</v>
      </c>
      <c r="E1203" s="6">
        <v>196</v>
      </c>
    </row>
    <row r="1204" spans="1:5" x14ac:dyDescent="0.25">
      <c r="A1204" s="4" t="s">
        <v>7</v>
      </c>
      <c r="B1204" s="4" t="s">
        <v>3256</v>
      </c>
      <c r="C1204" s="1" t="s">
        <v>3257</v>
      </c>
      <c r="D1204" s="1" t="s">
        <v>3258</v>
      </c>
      <c r="E1204" s="6">
        <v>4204</v>
      </c>
    </row>
    <row r="1205" spans="1:5" x14ac:dyDescent="0.25">
      <c r="A1205" s="4" t="s">
        <v>7</v>
      </c>
      <c r="B1205" s="4" t="s">
        <v>3259</v>
      </c>
      <c r="C1205" s="1" t="s">
        <v>3260</v>
      </c>
      <c r="D1205" s="1" t="s">
        <v>3261</v>
      </c>
      <c r="E1205" s="6">
        <v>10529</v>
      </c>
    </row>
    <row r="1206" spans="1:5" x14ac:dyDescent="0.25">
      <c r="A1206" s="4" t="s">
        <v>7</v>
      </c>
      <c r="B1206" s="4" t="s">
        <v>3262</v>
      </c>
      <c r="C1206" s="1" t="s">
        <v>3263</v>
      </c>
      <c r="D1206" s="1" t="s">
        <v>3264</v>
      </c>
      <c r="E1206" s="6">
        <v>8018</v>
      </c>
    </row>
    <row r="1207" spans="1:5" x14ac:dyDescent="0.25">
      <c r="A1207" s="4" t="s">
        <v>7</v>
      </c>
      <c r="B1207" s="4" t="s">
        <v>3265</v>
      </c>
      <c r="C1207" s="1" t="s">
        <v>3266</v>
      </c>
      <c r="D1207" s="1" t="s">
        <v>3267</v>
      </c>
      <c r="E1207" s="6">
        <v>5279</v>
      </c>
    </row>
    <row r="1208" spans="1:5" x14ac:dyDescent="0.25">
      <c r="A1208" s="4" t="s">
        <v>7</v>
      </c>
      <c r="B1208" s="4" t="s">
        <v>3268</v>
      </c>
      <c r="C1208" s="1" t="s">
        <v>3269</v>
      </c>
      <c r="D1208" s="1" t="s">
        <v>3270</v>
      </c>
      <c r="E1208" s="6">
        <v>627</v>
      </c>
    </row>
    <row r="1209" spans="1:5" x14ac:dyDescent="0.25">
      <c r="A1209" s="4" t="s">
        <v>7</v>
      </c>
      <c r="B1209" s="4" t="s">
        <v>3271</v>
      </c>
      <c r="C1209" s="1" t="s">
        <v>3272</v>
      </c>
      <c r="D1209" s="1" t="s">
        <v>3273</v>
      </c>
      <c r="E1209" s="6">
        <v>567</v>
      </c>
    </row>
    <row r="1210" spans="1:5" x14ac:dyDescent="0.25">
      <c r="A1210" s="4" t="s">
        <v>7</v>
      </c>
      <c r="B1210" s="4" t="s">
        <v>3274</v>
      </c>
      <c r="C1210" s="1" t="s">
        <v>3166</v>
      </c>
      <c r="D1210" s="1" t="s">
        <v>3167</v>
      </c>
      <c r="E1210" s="6">
        <v>25215</v>
      </c>
    </row>
    <row r="1211" spans="1:5" x14ac:dyDescent="0.25">
      <c r="A1211" s="4" t="s">
        <v>7</v>
      </c>
      <c r="B1211" s="4" t="s">
        <v>3275</v>
      </c>
      <c r="C1211" s="1" t="s">
        <v>3169</v>
      </c>
      <c r="D1211" s="1" t="s">
        <v>3167</v>
      </c>
      <c r="E1211" s="6">
        <v>10160</v>
      </c>
    </row>
    <row r="1212" spans="1:5" x14ac:dyDescent="0.25">
      <c r="A1212" s="4" t="s">
        <v>7</v>
      </c>
      <c r="B1212" s="4" t="s">
        <v>3276</v>
      </c>
      <c r="C1212" s="1" t="s">
        <v>3277</v>
      </c>
      <c r="D1212" s="1" t="s">
        <v>3278</v>
      </c>
      <c r="E1212" s="6">
        <v>5383</v>
      </c>
    </row>
    <row r="1213" spans="1:5" x14ac:dyDescent="0.25">
      <c r="A1213" s="4" t="s">
        <v>7</v>
      </c>
      <c r="B1213" s="4" t="s">
        <v>3279</v>
      </c>
      <c r="C1213" s="1" t="s">
        <v>3280</v>
      </c>
      <c r="D1213" s="1" t="s">
        <v>3278</v>
      </c>
      <c r="E1213" s="6">
        <v>5126</v>
      </c>
    </row>
    <row r="1214" spans="1:5" x14ac:dyDescent="0.25">
      <c r="A1214" s="4" t="s">
        <v>7</v>
      </c>
      <c r="B1214" s="4" t="s">
        <v>3281</v>
      </c>
      <c r="C1214" s="1" t="s">
        <v>3282</v>
      </c>
      <c r="D1214" s="1" t="s">
        <v>3283</v>
      </c>
      <c r="E1214" s="6">
        <v>6589</v>
      </c>
    </row>
    <row r="1215" spans="1:5" x14ac:dyDescent="0.25">
      <c r="A1215" s="4" t="s">
        <v>7</v>
      </c>
      <c r="B1215" s="4" t="s">
        <v>3284</v>
      </c>
      <c r="C1215" s="1" t="s">
        <v>3285</v>
      </c>
      <c r="D1215" s="1" t="s">
        <v>3283</v>
      </c>
      <c r="E1215" s="6">
        <v>31829</v>
      </c>
    </row>
    <row r="1216" spans="1:5" x14ac:dyDescent="0.25">
      <c r="A1216" s="4" t="s">
        <v>7</v>
      </c>
      <c r="B1216" s="4" t="s">
        <v>3286</v>
      </c>
      <c r="C1216" s="1" t="s">
        <v>3287</v>
      </c>
      <c r="D1216" s="1" t="s">
        <v>3288</v>
      </c>
      <c r="E1216" s="6">
        <v>2646</v>
      </c>
    </row>
    <row r="1217" spans="1:5" x14ac:dyDescent="0.25">
      <c r="A1217" s="4" t="s">
        <v>7</v>
      </c>
      <c r="B1217" s="4" t="s">
        <v>3289</v>
      </c>
      <c r="C1217" s="1" t="s">
        <v>3290</v>
      </c>
      <c r="D1217" s="1" t="s">
        <v>3283</v>
      </c>
      <c r="E1217" s="6">
        <v>11503</v>
      </c>
    </row>
    <row r="1218" spans="1:5" x14ac:dyDescent="0.25">
      <c r="A1218" s="4" t="s">
        <v>7</v>
      </c>
      <c r="B1218" s="4" t="s">
        <v>3291</v>
      </c>
      <c r="C1218" s="1" t="s">
        <v>3292</v>
      </c>
      <c r="D1218" s="1" t="s">
        <v>3293</v>
      </c>
      <c r="E1218" s="6">
        <v>3360</v>
      </c>
    </row>
    <row r="1219" spans="1:5" x14ac:dyDescent="0.25">
      <c r="A1219" s="4" t="s">
        <v>7</v>
      </c>
      <c r="B1219" s="4" t="s">
        <v>3294</v>
      </c>
      <c r="C1219" s="1" t="s">
        <v>3295</v>
      </c>
      <c r="D1219" s="1" t="s">
        <v>3296</v>
      </c>
      <c r="E1219" s="6">
        <v>4440</v>
      </c>
    </row>
    <row r="1220" spans="1:5" x14ac:dyDescent="0.25">
      <c r="A1220" s="4" t="s">
        <v>7</v>
      </c>
      <c r="B1220" s="4" t="s">
        <v>3297</v>
      </c>
      <c r="C1220" s="1" t="s">
        <v>3298</v>
      </c>
      <c r="D1220" s="1" t="s">
        <v>3299</v>
      </c>
      <c r="E1220" s="6">
        <v>11257</v>
      </c>
    </row>
    <row r="1221" spans="1:5" x14ac:dyDescent="0.25">
      <c r="A1221" s="4" t="s">
        <v>7</v>
      </c>
      <c r="B1221" s="4" t="s">
        <v>3300</v>
      </c>
      <c r="C1221" s="1" t="s">
        <v>3301</v>
      </c>
      <c r="D1221" s="1" t="s">
        <v>3302</v>
      </c>
      <c r="E1221" s="6">
        <v>2170</v>
      </c>
    </row>
    <row r="1222" spans="1:5" x14ac:dyDescent="0.25">
      <c r="A1222" s="4" t="s">
        <v>7</v>
      </c>
      <c r="B1222" s="4" t="s">
        <v>3303</v>
      </c>
      <c r="C1222" s="1" t="s">
        <v>3304</v>
      </c>
      <c r="D1222" s="1" t="s">
        <v>3302</v>
      </c>
      <c r="E1222" s="6">
        <v>5654</v>
      </c>
    </row>
    <row r="1223" spans="1:5" x14ac:dyDescent="0.25">
      <c r="A1223" s="4" t="s">
        <v>7</v>
      </c>
      <c r="B1223" s="4" t="s">
        <v>3305</v>
      </c>
      <c r="C1223" s="1" t="s">
        <v>3306</v>
      </c>
      <c r="D1223" s="1" t="s">
        <v>3307</v>
      </c>
      <c r="E1223" s="6">
        <v>25215</v>
      </c>
    </row>
    <row r="1224" spans="1:5" x14ac:dyDescent="0.25">
      <c r="A1224" s="4" t="s">
        <v>7</v>
      </c>
      <c r="B1224" s="4" t="s">
        <v>3308</v>
      </c>
      <c r="C1224" s="1" t="s">
        <v>3309</v>
      </c>
      <c r="D1224" s="1" t="s">
        <v>3307</v>
      </c>
      <c r="E1224" s="6">
        <v>11319</v>
      </c>
    </row>
    <row r="1225" spans="1:5" x14ac:dyDescent="0.25">
      <c r="A1225" s="4" t="s">
        <v>7</v>
      </c>
      <c r="B1225" s="4" t="s">
        <v>3310</v>
      </c>
      <c r="C1225" s="1" t="s">
        <v>3311</v>
      </c>
      <c r="D1225" s="1" t="s">
        <v>3312</v>
      </c>
      <c r="E1225" s="6">
        <v>7820</v>
      </c>
    </row>
    <row r="1226" spans="1:5" x14ac:dyDescent="0.25">
      <c r="A1226" s="4" t="s">
        <v>7</v>
      </c>
      <c r="B1226" s="4" t="s">
        <v>3313</v>
      </c>
      <c r="C1226" s="1" t="s">
        <v>3314</v>
      </c>
      <c r="D1226" s="1" t="s">
        <v>3315</v>
      </c>
      <c r="E1226" s="6">
        <v>1018</v>
      </c>
    </row>
    <row r="1227" spans="1:5" x14ac:dyDescent="0.25">
      <c r="A1227" s="4" t="s">
        <v>7</v>
      </c>
      <c r="B1227" s="4" t="s">
        <v>3316</v>
      </c>
      <c r="C1227" s="1" t="s">
        <v>3317</v>
      </c>
      <c r="D1227" s="1" t="s">
        <v>3318</v>
      </c>
      <c r="E1227" s="6">
        <v>2646</v>
      </c>
    </row>
    <row r="1228" spans="1:5" x14ac:dyDescent="0.25">
      <c r="A1228" s="4" t="s">
        <v>7</v>
      </c>
      <c r="B1228" s="4" t="s">
        <v>3319</v>
      </c>
      <c r="C1228" s="1" t="s">
        <v>3320</v>
      </c>
      <c r="D1228" s="1" t="s">
        <v>3321</v>
      </c>
      <c r="E1228" s="6">
        <v>2041</v>
      </c>
    </row>
    <row r="1229" spans="1:5" x14ac:dyDescent="0.25">
      <c r="A1229" s="4" t="s">
        <v>7</v>
      </c>
      <c r="B1229" s="4" t="s">
        <v>3322</v>
      </c>
      <c r="C1229" s="1" t="s">
        <v>3323</v>
      </c>
      <c r="D1229" s="1" t="s">
        <v>3324</v>
      </c>
      <c r="E1229" s="6">
        <v>456</v>
      </c>
    </row>
    <row r="1230" spans="1:5" x14ac:dyDescent="0.25">
      <c r="A1230" s="4" t="s">
        <v>7</v>
      </c>
      <c r="B1230" s="4" t="s">
        <v>3325</v>
      </c>
      <c r="C1230" s="1" t="s">
        <v>3326</v>
      </c>
      <c r="D1230" s="1" t="s">
        <v>3327</v>
      </c>
      <c r="E1230" s="6">
        <v>1831</v>
      </c>
    </row>
    <row r="1231" spans="1:5" x14ac:dyDescent="0.25">
      <c r="A1231" s="4" t="s">
        <v>7</v>
      </c>
      <c r="B1231" s="4" t="s">
        <v>3328</v>
      </c>
      <c r="C1231" s="1" t="s">
        <v>3329</v>
      </c>
      <c r="D1231" s="1" t="s">
        <v>3330</v>
      </c>
      <c r="E1231" s="6">
        <v>4419</v>
      </c>
    </row>
    <row r="1232" spans="1:5" x14ac:dyDescent="0.25">
      <c r="A1232" s="4" t="s">
        <v>7</v>
      </c>
      <c r="B1232" s="4" t="s">
        <v>3331</v>
      </c>
      <c r="C1232" s="1" t="s">
        <v>3332</v>
      </c>
      <c r="D1232" s="1" t="s">
        <v>3333</v>
      </c>
      <c r="E1232" s="6">
        <v>106311</v>
      </c>
    </row>
    <row r="1233" spans="1:5" x14ac:dyDescent="0.25">
      <c r="A1233" s="4" t="s">
        <v>7</v>
      </c>
      <c r="B1233" s="4" t="s">
        <v>3334</v>
      </c>
      <c r="C1233" s="1" t="s">
        <v>3335</v>
      </c>
      <c r="D1233" s="1" t="s">
        <v>3336</v>
      </c>
      <c r="E1233" s="6">
        <v>51434</v>
      </c>
    </row>
    <row r="1234" spans="1:5" x14ac:dyDescent="0.25">
      <c r="A1234" s="4" t="s">
        <v>7</v>
      </c>
      <c r="B1234" s="4" t="s">
        <v>3337</v>
      </c>
      <c r="C1234" s="1" t="s">
        <v>3338</v>
      </c>
      <c r="D1234" s="1" t="s">
        <v>3339</v>
      </c>
      <c r="E1234" s="6">
        <v>9439</v>
      </c>
    </row>
    <row r="1235" spans="1:5" x14ac:dyDescent="0.25">
      <c r="A1235" s="4" t="s">
        <v>7</v>
      </c>
      <c r="B1235" s="4" t="s">
        <v>3340</v>
      </c>
      <c r="C1235" s="1" t="s">
        <v>3341</v>
      </c>
      <c r="D1235" s="1" t="s">
        <v>3342</v>
      </c>
      <c r="E1235" s="6">
        <v>14306</v>
      </c>
    </row>
    <row r="1236" spans="1:5" x14ac:dyDescent="0.25">
      <c r="A1236" s="4" t="s">
        <v>7</v>
      </c>
      <c r="B1236" s="4" t="s">
        <v>3343</v>
      </c>
      <c r="C1236" s="1" t="s">
        <v>3344</v>
      </c>
      <c r="D1236" s="1" t="s">
        <v>3345</v>
      </c>
      <c r="E1236" s="6">
        <v>2538</v>
      </c>
    </row>
    <row r="1237" spans="1:5" x14ac:dyDescent="0.25">
      <c r="A1237" s="4" t="s">
        <v>7</v>
      </c>
      <c r="B1237" s="4" t="s">
        <v>3346</v>
      </c>
      <c r="C1237" s="1" t="s">
        <v>3347</v>
      </c>
      <c r="D1237" s="1" t="s">
        <v>3348</v>
      </c>
      <c r="E1237" s="6">
        <v>33943</v>
      </c>
    </row>
    <row r="1238" spans="1:5" x14ac:dyDescent="0.25">
      <c r="A1238" s="4" t="s">
        <v>7</v>
      </c>
      <c r="B1238" s="4" t="s">
        <v>3349</v>
      </c>
      <c r="C1238" s="1" t="s">
        <v>3350</v>
      </c>
      <c r="D1238" s="1" t="s">
        <v>3351</v>
      </c>
      <c r="E1238" s="6">
        <v>30805</v>
      </c>
    </row>
    <row r="1239" spans="1:5" x14ac:dyDescent="0.25">
      <c r="A1239" s="4" t="s">
        <v>7</v>
      </c>
      <c r="B1239" s="4" t="s">
        <v>3352</v>
      </c>
      <c r="C1239" s="1" t="s">
        <v>3353</v>
      </c>
      <c r="D1239" s="1" t="s">
        <v>3354</v>
      </c>
      <c r="E1239" s="6">
        <v>754</v>
      </c>
    </row>
    <row r="1240" spans="1:5" x14ac:dyDescent="0.25">
      <c r="A1240" s="4" t="s">
        <v>7</v>
      </c>
      <c r="B1240" s="4" t="s">
        <v>3355</v>
      </c>
      <c r="C1240" s="1" t="s">
        <v>3356</v>
      </c>
      <c r="D1240" s="1" t="s">
        <v>3357</v>
      </c>
      <c r="E1240" s="6">
        <v>2907</v>
      </c>
    </row>
    <row r="1241" spans="1:5" x14ac:dyDescent="0.25">
      <c r="A1241" s="4" t="s">
        <v>7</v>
      </c>
      <c r="B1241" s="4" t="s">
        <v>3358</v>
      </c>
      <c r="C1241" s="1" t="s">
        <v>3359</v>
      </c>
      <c r="D1241" s="1" t="s">
        <v>3360</v>
      </c>
      <c r="E1241" s="6">
        <v>1220</v>
      </c>
    </row>
    <row r="1242" spans="1:5" x14ac:dyDescent="0.25">
      <c r="A1242" s="4" t="s">
        <v>7</v>
      </c>
      <c r="B1242" s="4" t="s">
        <v>3361</v>
      </c>
      <c r="C1242" s="1" t="s">
        <v>3362</v>
      </c>
      <c r="D1242" s="1" t="s">
        <v>3363</v>
      </c>
      <c r="E1242" s="6">
        <v>24450</v>
      </c>
    </row>
    <row r="1243" spans="1:5" x14ac:dyDescent="0.25">
      <c r="A1243" s="4" t="s">
        <v>7</v>
      </c>
      <c r="B1243" s="4" t="s">
        <v>3364</v>
      </c>
      <c r="C1243" s="1" t="s">
        <v>3365</v>
      </c>
      <c r="D1243" s="1" t="s">
        <v>3366</v>
      </c>
      <c r="E1243" s="6">
        <v>27991</v>
      </c>
    </row>
    <row r="1244" spans="1:5" x14ac:dyDescent="0.25">
      <c r="A1244" s="4" t="s">
        <v>7</v>
      </c>
      <c r="B1244" s="4" t="s">
        <v>3367</v>
      </c>
      <c r="C1244" s="1" t="s">
        <v>3368</v>
      </c>
      <c r="D1244" s="1" t="s">
        <v>3369</v>
      </c>
      <c r="E1244" s="6">
        <v>11629</v>
      </c>
    </row>
    <row r="1245" spans="1:5" x14ac:dyDescent="0.25">
      <c r="A1245" s="4" t="s">
        <v>7</v>
      </c>
      <c r="B1245" s="4" t="s">
        <v>3370</v>
      </c>
      <c r="C1245" s="1" t="s">
        <v>3371</v>
      </c>
      <c r="D1245" s="1" t="s">
        <v>3372</v>
      </c>
      <c r="E1245" s="6">
        <v>5256</v>
      </c>
    </row>
    <row r="1246" spans="1:5" x14ac:dyDescent="0.25">
      <c r="A1246" s="4" t="s">
        <v>7</v>
      </c>
      <c r="B1246" s="4" t="s">
        <v>3373</v>
      </c>
      <c r="C1246" s="1" t="s">
        <v>3374</v>
      </c>
      <c r="D1246" s="1" t="s">
        <v>3375</v>
      </c>
      <c r="E1246" s="6">
        <v>20145</v>
      </c>
    </row>
    <row r="1247" spans="1:5" x14ac:dyDescent="0.25">
      <c r="A1247" s="4" t="s">
        <v>7</v>
      </c>
      <c r="B1247" s="4" t="s">
        <v>3376</v>
      </c>
      <c r="C1247" s="1" t="s">
        <v>3377</v>
      </c>
      <c r="D1247" s="1" t="s">
        <v>3378</v>
      </c>
      <c r="E1247" s="6">
        <v>8991</v>
      </c>
    </row>
    <row r="1248" spans="1:5" x14ac:dyDescent="0.25">
      <c r="A1248" s="4" t="s">
        <v>7</v>
      </c>
      <c r="B1248" s="4" t="s">
        <v>3379</v>
      </c>
      <c r="C1248" s="1" t="s">
        <v>3380</v>
      </c>
      <c r="D1248" s="1" t="s">
        <v>3381</v>
      </c>
      <c r="E1248" s="6">
        <v>25215</v>
      </c>
    </row>
    <row r="1249" spans="1:5" x14ac:dyDescent="0.25">
      <c r="A1249" s="4" t="s">
        <v>7</v>
      </c>
      <c r="B1249" s="4" t="s">
        <v>3382</v>
      </c>
      <c r="C1249" s="1" t="s">
        <v>3383</v>
      </c>
      <c r="D1249" s="1" t="s">
        <v>3384</v>
      </c>
      <c r="E1249" s="6">
        <v>5514</v>
      </c>
    </row>
    <row r="1250" spans="1:5" x14ac:dyDescent="0.25">
      <c r="A1250" s="4" t="s">
        <v>7</v>
      </c>
      <c r="B1250" s="4" t="s">
        <v>3385</v>
      </c>
      <c r="C1250" s="1" t="s">
        <v>3386</v>
      </c>
      <c r="D1250" s="1" t="s">
        <v>3387</v>
      </c>
      <c r="E1250" s="6">
        <v>7975</v>
      </c>
    </row>
    <row r="1251" spans="1:5" x14ac:dyDescent="0.25">
      <c r="A1251" s="4" t="s">
        <v>7</v>
      </c>
      <c r="B1251" s="4" t="s">
        <v>3388</v>
      </c>
      <c r="C1251" s="1" t="s">
        <v>3389</v>
      </c>
      <c r="D1251" s="1" t="s">
        <v>3390</v>
      </c>
      <c r="E1251" s="6">
        <v>4356</v>
      </c>
    </row>
    <row r="1252" spans="1:5" x14ac:dyDescent="0.25">
      <c r="A1252" s="4" t="s">
        <v>7</v>
      </c>
      <c r="B1252" s="4" t="s">
        <v>3391</v>
      </c>
      <c r="C1252" s="1" t="s">
        <v>3392</v>
      </c>
      <c r="D1252" s="1" t="s">
        <v>3393</v>
      </c>
      <c r="E1252" s="6">
        <v>1859</v>
      </c>
    </row>
    <row r="1253" spans="1:5" x14ac:dyDescent="0.25">
      <c r="A1253" s="4" t="s">
        <v>7</v>
      </c>
      <c r="B1253" s="4" t="s">
        <v>3394</v>
      </c>
      <c r="C1253" s="1" t="s">
        <v>3395</v>
      </c>
      <c r="D1253" s="1" t="s">
        <v>3396</v>
      </c>
      <c r="E1253" s="6">
        <v>25215</v>
      </c>
    </row>
    <row r="1254" spans="1:5" x14ac:dyDescent="0.25">
      <c r="A1254" s="4" t="s">
        <v>7</v>
      </c>
      <c r="B1254" s="4" t="s">
        <v>3397</v>
      </c>
      <c r="C1254" s="1" t="s">
        <v>3398</v>
      </c>
      <c r="D1254" s="1" t="s">
        <v>3175</v>
      </c>
      <c r="E1254" s="6">
        <v>882</v>
      </c>
    </row>
    <row r="1255" spans="1:5" x14ac:dyDescent="0.25">
      <c r="A1255" s="4" t="s">
        <v>7</v>
      </c>
      <c r="B1255" s="4" t="s">
        <v>3399</v>
      </c>
      <c r="C1255" s="1" t="s">
        <v>3400</v>
      </c>
      <c r="D1255" s="1" t="s">
        <v>3401</v>
      </c>
      <c r="E1255" s="6">
        <v>2789</v>
      </c>
    </row>
    <row r="1256" spans="1:5" x14ac:dyDescent="0.25">
      <c r="A1256" s="4" t="s">
        <v>7</v>
      </c>
      <c r="B1256" s="4" t="s">
        <v>3402</v>
      </c>
      <c r="C1256" s="1" t="s">
        <v>3403</v>
      </c>
      <c r="D1256" s="1" t="s">
        <v>3401</v>
      </c>
      <c r="E1256" s="6">
        <v>25215</v>
      </c>
    </row>
    <row r="1257" spans="1:5" x14ac:dyDescent="0.25">
      <c r="A1257" s="4" t="s">
        <v>7</v>
      </c>
      <c r="B1257" s="4" t="s">
        <v>3404</v>
      </c>
      <c r="C1257" s="1" t="s">
        <v>3405</v>
      </c>
      <c r="D1257" s="1" t="s">
        <v>3401</v>
      </c>
      <c r="E1257" s="6">
        <v>7093</v>
      </c>
    </row>
    <row r="1258" spans="1:5" x14ac:dyDescent="0.25">
      <c r="A1258" s="4" t="s">
        <v>7</v>
      </c>
      <c r="B1258" s="4" t="s">
        <v>3406</v>
      </c>
      <c r="C1258" s="1" t="s">
        <v>3407</v>
      </c>
      <c r="D1258" s="1" t="s">
        <v>3408</v>
      </c>
      <c r="E1258" s="6">
        <v>5466</v>
      </c>
    </row>
    <row r="1259" spans="1:5" x14ac:dyDescent="0.25">
      <c r="A1259" s="4" t="s">
        <v>7</v>
      </c>
      <c r="B1259" s="4" t="s">
        <v>3409</v>
      </c>
      <c r="C1259" s="1" t="s">
        <v>3410</v>
      </c>
      <c r="D1259" s="1" t="s">
        <v>3411</v>
      </c>
      <c r="E1259" s="6">
        <v>37215</v>
      </c>
    </row>
    <row r="1260" spans="1:5" x14ac:dyDescent="0.25">
      <c r="A1260" s="4" t="s">
        <v>7</v>
      </c>
      <c r="B1260" s="4" t="s">
        <v>3412</v>
      </c>
      <c r="C1260" s="1" t="s">
        <v>3413</v>
      </c>
      <c r="D1260" s="1" t="s">
        <v>3411</v>
      </c>
      <c r="E1260" s="6">
        <v>35797</v>
      </c>
    </row>
    <row r="1261" spans="1:5" x14ac:dyDescent="0.25">
      <c r="A1261" s="4" t="s">
        <v>7</v>
      </c>
      <c r="B1261" s="4" t="s">
        <v>3414</v>
      </c>
      <c r="C1261" s="1" t="s">
        <v>3415</v>
      </c>
      <c r="D1261" s="1" t="s">
        <v>3416</v>
      </c>
      <c r="E1261" s="6">
        <v>27589</v>
      </c>
    </row>
    <row r="1262" spans="1:5" x14ac:dyDescent="0.25">
      <c r="A1262" s="4" t="s">
        <v>7</v>
      </c>
      <c r="B1262" s="4" t="s">
        <v>3417</v>
      </c>
      <c r="C1262" s="1" t="s">
        <v>3418</v>
      </c>
      <c r="D1262" s="1" t="s">
        <v>3419</v>
      </c>
      <c r="E1262" s="6">
        <v>106298</v>
      </c>
    </row>
    <row r="1263" spans="1:5" x14ac:dyDescent="0.25">
      <c r="A1263" s="4" t="s">
        <v>7</v>
      </c>
      <c r="B1263" s="4" t="s">
        <v>3420</v>
      </c>
      <c r="C1263" s="1" t="s">
        <v>3421</v>
      </c>
      <c r="D1263" s="1" t="s">
        <v>3422</v>
      </c>
      <c r="E1263" s="6">
        <v>9372</v>
      </c>
    </row>
    <row r="1264" spans="1:5" x14ac:dyDescent="0.25">
      <c r="A1264" s="4" t="s">
        <v>7</v>
      </c>
      <c r="B1264" s="4" t="s">
        <v>3423</v>
      </c>
      <c r="C1264" s="1" t="s">
        <v>3424</v>
      </c>
      <c r="D1264" s="1" t="s">
        <v>3425</v>
      </c>
      <c r="E1264" s="6">
        <v>25188</v>
      </c>
    </row>
    <row r="1265" spans="1:5" x14ac:dyDescent="0.25">
      <c r="A1265" s="4" t="s">
        <v>7</v>
      </c>
      <c r="B1265" s="4" t="s">
        <v>3426</v>
      </c>
      <c r="C1265" s="1" t="s">
        <v>3427</v>
      </c>
      <c r="D1265" s="1" t="s">
        <v>3428</v>
      </c>
      <c r="E1265" s="6">
        <v>106311</v>
      </c>
    </row>
    <row r="1266" spans="1:5" x14ac:dyDescent="0.25">
      <c r="A1266" s="4" t="s">
        <v>7</v>
      </c>
      <c r="B1266" s="4" t="s">
        <v>3429</v>
      </c>
      <c r="C1266" s="1" t="s">
        <v>3430</v>
      </c>
      <c r="D1266" s="1" t="s">
        <v>3431</v>
      </c>
      <c r="E1266" s="6">
        <v>18731</v>
      </c>
    </row>
    <row r="1267" spans="1:5" x14ac:dyDescent="0.25">
      <c r="A1267" s="4" t="s">
        <v>7</v>
      </c>
      <c r="B1267" s="4" t="s">
        <v>3432</v>
      </c>
      <c r="C1267" s="1" t="s">
        <v>3433</v>
      </c>
      <c r="D1267" s="1" t="s">
        <v>3434</v>
      </c>
      <c r="E1267" s="6">
        <v>22315</v>
      </c>
    </row>
    <row r="1268" spans="1:5" x14ac:dyDescent="0.25">
      <c r="A1268" s="4" t="s">
        <v>7</v>
      </c>
      <c r="B1268" s="4" t="s">
        <v>3435</v>
      </c>
      <c r="C1268" s="1" t="s">
        <v>3436</v>
      </c>
      <c r="D1268" s="1" t="s">
        <v>3437</v>
      </c>
      <c r="E1268" s="6">
        <v>26045</v>
      </c>
    </row>
    <row r="1269" spans="1:5" x14ac:dyDescent="0.25">
      <c r="A1269" s="4" t="s">
        <v>7</v>
      </c>
      <c r="B1269" s="4" t="s">
        <v>3438</v>
      </c>
      <c r="C1269" s="1" t="s">
        <v>3439</v>
      </c>
      <c r="D1269" s="1" t="s">
        <v>3440</v>
      </c>
      <c r="E1269" s="6">
        <v>4419</v>
      </c>
    </row>
    <row r="1270" spans="1:5" x14ac:dyDescent="0.25">
      <c r="A1270" s="4" t="s">
        <v>7</v>
      </c>
      <c r="B1270" s="4" t="s">
        <v>3441</v>
      </c>
      <c r="C1270" s="1" t="s">
        <v>3442</v>
      </c>
      <c r="D1270" s="1" t="s">
        <v>3443</v>
      </c>
      <c r="E1270" s="6">
        <v>20727</v>
      </c>
    </row>
    <row r="1271" spans="1:5" x14ac:dyDescent="0.25">
      <c r="A1271" s="4" t="s">
        <v>7</v>
      </c>
      <c r="B1271" s="4" t="s">
        <v>3444</v>
      </c>
      <c r="C1271" s="1" t="s">
        <v>3445</v>
      </c>
      <c r="D1271" s="1" t="s">
        <v>3446</v>
      </c>
      <c r="E1271" s="6">
        <v>4419</v>
      </c>
    </row>
    <row r="1272" spans="1:5" x14ac:dyDescent="0.25">
      <c r="A1272" s="4" t="s">
        <v>7</v>
      </c>
      <c r="B1272" s="4" t="s">
        <v>3447</v>
      </c>
      <c r="C1272" s="1" t="s">
        <v>3448</v>
      </c>
      <c r="D1272" s="1" t="s">
        <v>3446</v>
      </c>
      <c r="E1272" s="6">
        <v>2168</v>
      </c>
    </row>
    <row r="1273" spans="1:5" x14ac:dyDescent="0.25">
      <c r="A1273" s="4" t="s">
        <v>7</v>
      </c>
      <c r="B1273" s="4" t="s">
        <v>3449</v>
      </c>
      <c r="C1273" s="1" t="s">
        <v>3450</v>
      </c>
      <c r="D1273" s="1" t="s">
        <v>3451</v>
      </c>
      <c r="E1273" s="6">
        <v>1816</v>
      </c>
    </row>
    <row r="1274" spans="1:5" x14ac:dyDescent="0.25">
      <c r="A1274" s="4" t="s">
        <v>7</v>
      </c>
      <c r="B1274" s="4" t="s">
        <v>3452</v>
      </c>
      <c r="C1274" s="1" t="s">
        <v>3453</v>
      </c>
      <c r="D1274" s="1" t="s">
        <v>3454</v>
      </c>
      <c r="E1274" s="6">
        <v>3138</v>
      </c>
    </row>
    <row r="1275" spans="1:5" x14ac:dyDescent="0.25">
      <c r="A1275" s="4" t="s">
        <v>7</v>
      </c>
      <c r="B1275" s="4" t="s">
        <v>3455</v>
      </c>
      <c r="C1275" s="1" t="s">
        <v>3456</v>
      </c>
      <c r="D1275" s="1" t="s">
        <v>3457</v>
      </c>
      <c r="E1275" s="6">
        <v>4874</v>
      </c>
    </row>
    <row r="1276" spans="1:5" x14ac:dyDescent="0.25">
      <c r="A1276" s="4" t="s">
        <v>7</v>
      </c>
      <c r="B1276" s="4" t="s">
        <v>3458</v>
      </c>
      <c r="C1276" s="1" t="s">
        <v>3459</v>
      </c>
      <c r="D1276" s="1" t="s">
        <v>3460</v>
      </c>
      <c r="E1276" s="6">
        <v>4191</v>
      </c>
    </row>
    <row r="1277" spans="1:5" x14ac:dyDescent="0.25">
      <c r="A1277" s="4" t="s">
        <v>7</v>
      </c>
      <c r="B1277" s="4" t="s">
        <v>3461</v>
      </c>
      <c r="C1277" s="1" t="s">
        <v>3462</v>
      </c>
      <c r="D1277" s="1" t="s">
        <v>3463</v>
      </c>
      <c r="E1277" s="6">
        <v>4436</v>
      </c>
    </row>
    <row r="1278" spans="1:5" x14ac:dyDescent="0.25">
      <c r="A1278" s="4" t="s">
        <v>7</v>
      </c>
      <c r="B1278" s="4" t="s">
        <v>3464</v>
      </c>
      <c r="C1278" s="1" t="s">
        <v>3465</v>
      </c>
      <c r="D1278" s="1" t="s">
        <v>3466</v>
      </c>
      <c r="E1278" s="6">
        <v>4454</v>
      </c>
    </row>
    <row r="1279" spans="1:5" x14ac:dyDescent="0.25">
      <c r="A1279" s="4" t="s">
        <v>7</v>
      </c>
      <c r="B1279" s="4" t="s">
        <v>3467</v>
      </c>
      <c r="C1279" s="1" t="s">
        <v>3468</v>
      </c>
      <c r="D1279" s="1" t="s">
        <v>3469</v>
      </c>
      <c r="E1279" s="6">
        <v>2610</v>
      </c>
    </row>
    <row r="1280" spans="1:5" x14ac:dyDescent="0.25">
      <c r="A1280" s="4" t="s">
        <v>7</v>
      </c>
      <c r="B1280" s="4" t="s">
        <v>3470</v>
      </c>
      <c r="C1280" s="1" t="s">
        <v>3471</v>
      </c>
      <c r="D1280" s="1" t="s">
        <v>3472</v>
      </c>
      <c r="E1280" s="6">
        <v>6356</v>
      </c>
    </row>
    <row r="1281" spans="1:5" x14ac:dyDescent="0.25">
      <c r="A1281" s="4" t="s">
        <v>7</v>
      </c>
      <c r="B1281" s="4" t="s">
        <v>3473</v>
      </c>
      <c r="C1281" s="1" t="s">
        <v>3474</v>
      </c>
      <c r="D1281" s="1" t="s">
        <v>3475</v>
      </c>
      <c r="E1281" s="6">
        <v>7746</v>
      </c>
    </row>
    <row r="1282" spans="1:5" x14ac:dyDescent="0.25">
      <c r="A1282" s="4" t="s">
        <v>7</v>
      </c>
      <c r="B1282" s="4" t="s">
        <v>3476</v>
      </c>
      <c r="C1282" s="1" t="s">
        <v>3477</v>
      </c>
      <c r="D1282" s="1" t="s">
        <v>3478</v>
      </c>
      <c r="E1282" s="6">
        <v>45401</v>
      </c>
    </row>
    <row r="1283" spans="1:5" x14ac:dyDescent="0.25">
      <c r="A1283" s="4" t="s">
        <v>7</v>
      </c>
      <c r="B1283" s="4" t="s">
        <v>3479</v>
      </c>
      <c r="C1283" s="1" t="s">
        <v>3480</v>
      </c>
      <c r="D1283" s="1" t="s">
        <v>3481</v>
      </c>
      <c r="E1283" s="6">
        <v>10601</v>
      </c>
    </row>
    <row r="1284" spans="1:5" x14ac:dyDescent="0.25">
      <c r="A1284" s="4" t="s">
        <v>7</v>
      </c>
      <c r="B1284" s="4" t="s">
        <v>3482</v>
      </c>
      <c r="C1284" s="1" t="s">
        <v>3483</v>
      </c>
      <c r="D1284" s="1" t="s">
        <v>3484</v>
      </c>
      <c r="E1284" s="6">
        <v>8110</v>
      </c>
    </row>
    <row r="1285" spans="1:5" x14ac:dyDescent="0.25">
      <c r="A1285" s="4" t="s">
        <v>7</v>
      </c>
      <c r="B1285" s="4" t="s">
        <v>3485</v>
      </c>
      <c r="C1285" s="1" t="s">
        <v>3486</v>
      </c>
      <c r="D1285" s="1" t="s">
        <v>3487</v>
      </c>
      <c r="E1285" s="6">
        <v>4732</v>
      </c>
    </row>
    <row r="1286" spans="1:5" x14ac:dyDescent="0.25">
      <c r="A1286" s="4" t="s">
        <v>7</v>
      </c>
      <c r="B1286" s="4" t="s">
        <v>3488</v>
      </c>
      <c r="C1286" s="1" t="s">
        <v>3489</v>
      </c>
      <c r="D1286" s="1" t="s">
        <v>3490</v>
      </c>
      <c r="E1286" s="6">
        <v>4821</v>
      </c>
    </row>
    <row r="1287" spans="1:5" x14ac:dyDescent="0.25">
      <c r="A1287" s="4" t="s">
        <v>7</v>
      </c>
      <c r="B1287" s="4" t="s">
        <v>3491</v>
      </c>
      <c r="C1287" s="1" t="s">
        <v>3492</v>
      </c>
      <c r="D1287" s="1" t="s">
        <v>3008</v>
      </c>
      <c r="E1287" s="6">
        <v>651</v>
      </c>
    </row>
    <row r="1288" spans="1:5" x14ac:dyDescent="0.25">
      <c r="A1288" s="4" t="s">
        <v>7</v>
      </c>
      <c r="B1288" s="4" t="s">
        <v>3493</v>
      </c>
      <c r="C1288" s="1" t="s">
        <v>3494</v>
      </c>
      <c r="D1288" s="1" t="s">
        <v>2596</v>
      </c>
      <c r="E1288" s="6">
        <v>1655</v>
      </c>
    </row>
    <row r="1289" spans="1:5" x14ac:dyDescent="0.25">
      <c r="A1289" s="4" t="s">
        <v>7</v>
      </c>
      <c r="B1289" s="4" t="s">
        <v>3495</v>
      </c>
      <c r="C1289" s="1" t="s">
        <v>3496</v>
      </c>
      <c r="D1289" s="1" t="s">
        <v>3497</v>
      </c>
      <c r="E1289" s="6">
        <v>4524</v>
      </c>
    </row>
    <row r="1290" spans="1:5" x14ac:dyDescent="0.25">
      <c r="A1290" s="4" t="s">
        <v>7</v>
      </c>
      <c r="B1290" s="4" t="s">
        <v>3498</v>
      </c>
      <c r="C1290" s="1" t="s">
        <v>3499</v>
      </c>
      <c r="D1290" s="1" t="s">
        <v>3500</v>
      </c>
      <c r="E1290" s="6">
        <v>1839</v>
      </c>
    </row>
    <row r="1291" spans="1:5" x14ac:dyDescent="0.25">
      <c r="A1291" s="4" t="s">
        <v>7</v>
      </c>
      <c r="B1291" s="4" t="s">
        <v>3501</v>
      </c>
      <c r="C1291" s="1" t="s">
        <v>3502</v>
      </c>
      <c r="D1291" s="1" t="s">
        <v>3503</v>
      </c>
      <c r="E1291" s="6">
        <v>3453</v>
      </c>
    </row>
    <row r="1292" spans="1:5" x14ac:dyDescent="0.25">
      <c r="A1292" s="4" t="s">
        <v>7</v>
      </c>
      <c r="B1292" s="4" t="s">
        <v>3504</v>
      </c>
      <c r="C1292" s="1" t="s">
        <v>3505</v>
      </c>
      <c r="D1292" s="1" t="s">
        <v>3506</v>
      </c>
      <c r="E1292" s="6">
        <v>496</v>
      </c>
    </row>
    <row r="1293" spans="1:5" x14ac:dyDescent="0.25">
      <c r="A1293" s="4" t="s">
        <v>7</v>
      </c>
      <c r="B1293" s="4" t="s">
        <v>3507</v>
      </c>
      <c r="C1293" s="1" t="s">
        <v>3508</v>
      </c>
      <c r="D1293" s="1" t="s">
        <v>3509</v>
      </c>
      <c r="E1293" s="6">
        <v>6054</v>
      </c>
    </row>
    <row r="1294" spans="1:5" x14ac:dyDescent="0.25">
      <c r="A1294" s="4" t="s">
        <v>7</v>
      </c>
      <c r="B1294" s="4" t="s">
        <v>3510</v>
      </c>
      <c r="C1294" s="1" t="s">
        <v>3511</v>
      </c>
      <c r="D1294" s="1" t="s">
        <v>3512</v>
      </c>
      <c r="E1294" s="6">
        <v>25613</v>
      </c>
    </row>
    <row r="1295" spans="1:5" x14ac:dyDescent="0.25">
      <c r="A1295" s="4" t="s">
        <v>7</v>
      </c>
      <c r="B1295" s="4" t="s">
        <v>3513</v>
      </c>
      <c r="C1295" s="1" t="s">
        <v>3514</v>
      </c>
      <c r="D1295" s="1" t="s">
        <v>3512</v>
      </c>
      <c r="E1295" s="6">
        <v>61624</v>
      </c>
    </row>
    <row r="1296" spans="1:5" x14ac:dyDescent="0.25">
      <c r="A1296" s="4" t="s">
        <v>7</v>
      </c>
      <c r="B1296" s="4" t="s">
        <v>3515</v>
      </c>
      <c r="C1296" s="1" t="s">
        <v>3516</v>
      </c>
      <c r="D1296" s="1" t="s">
        <v>3517</v>
      </c>
      <c r="E1296" s="6">
        <v>9325</v>
      </c>
    </row>
    <row r="1297" spans="1:5" x14ac:dyDescent="0.25">
      <c r="A1297" s="4" t="s">
        <v>7</v>
      </c>
      <c r="B1297" s="4" t="s">
        <v>3518</v>
      </c>
      <c r="C1297" s="1" t="s">
        <v>3519</v>
      </c>
      <c r="D1297" s="1" t="s">
        <v>3520</v>
      </c>
      <c r="E1297" s="6">
        <v>3101</v>
      </c>
    </row>
    <row r="1298" spans="1:5" x14ac:dyDescent="0.25">
      <c r="A1298" s="4" t="s">
        <v>7</v>
      </c>
      <c r="B1298" s="4" t="s">
        <v>3521</v>
      </c>
      <c r="C1298" s="1" t="s">
        <v>3522</v>
      </c>
      <c r="D1298" s="1" t="s">
        <v>3523</v>
      </c>
      <c r="E1298" s="6">
        <v>948</v>
      </c>
    </row>
    <row r="1299" spans="1:5" x14ac:dyDescent="0.25">
      <c r="A1299" s="4" t="s">
        <v>7</v>
      </c>
      <c r="B1299" s="4" t="s">
        <v>3524</v>
      </c>
      <c r="C1299" s="1" t="s">
        <v>3525</v>
      </c>
      <c r="D1299" s="1" t="s">
        <v>3523</v>
      </c>
      <c r="E1299" s="6">
        <v>1365</v>
      </c>
    </row>
    <row r="1300" spans="1:5" x14ac:dyDescent="0.25">
      <c r="A1300" s="4" t="s">
        <v>7</v>
      </c>
      <c r="B1300" s="4" t="s">
        <v>3526</v>
      </c>
      <c r="C1300" s="1" t="s">
        <v>3527</v>
      </c>
      <c r="D1300" s="1" t="s">
        <v>3523</v>
      </c>
      <c r="E1300" s="6">
        <v>2483</v>
      </c>
    </row>
    <row r="1301" spans="1:5" x14ac:dyDescent="0.25">
      <c r="A1301" s="4" t="s">
        <v>7</v>
      </c>
      <c r="B1301" s="4" t="s">
        <v>3528</v>
      </c>
      <c r="C1301" s="1" t="s">
        <v>3529</v>
      </c>
      <c r="D1301" s="1" t="s">
        <v>3523</v>
      </c>
      <c r="E1301" s="6">
        <v>2939</v>
      </c>
    </row>
    <row r="1302" spans="1:5" x14ac:dyDescent="0.25">
      <c r="A1302" s="4" t="s">
        <v>7</v>
      </c>
      <c r="B1302" s="4" t="s">
        <v>3530</v>
      </c>
      <c r="C1302" s="1" t="s">
        <v>3531</v>
      </c>
      <c r="D1302" s="1" t="s">
        <v>3523</v>
      </c>
      <c r="E1302" s="6">
        <v>5341</v>
      </c>
    </row>
    <row r="1303" spans="1:5" x14ac:dyDescent="0.25">
      <c r="A1303" s="4" t="s">
        <v>7</v>
      </c>
      <c r="B1303" s="4" t="s">
        <v>3532</v>
      </c>
      <c r="C1303" s="1" t="s">
        <v>3533</v>
      </c>
      <c r="D1303" s="1" t="s">
        <v>3523</v>
      </c>
      <c r="E1303" s="6">
        <v>8858</v>
      </c>
    </row>
    <row r="1304" spans="1:5" x14ac:dyDescent="0.25">
      <c r="A1304" s="4" t="s">
        <v>7</v>
      </c>
      <c r="B1304" s="4" t="s">
        <v>3534</v>
      </c>
      <c r="C1304" s="1" t="s">
        <v>3535</v>
      </c>
      <c r="D1304" s="1" t="s">
        <v>3523</v>
      </c>
      <c r="E1304" s="6">
        <v>7278</v>
      </c>
    </row>
    <row r="1305" spans="1:5" x14ac:dyDescent="0.25">
      <c r="A1305" s="4" t="s">
        <v>7</v>
      </c>
      <c r="B1305" s="4" t="s">
        <v>3536</v>
      </c>
      <c r="C1305" s="1" t="s">
        <v>3537</v>
      </c>
      <c r="D1305" s="1" t="s">
        <v>3523</v>
      </c>
      <c r="E1305" s="6">
        <v>4943</v>
      </c>
    </row>
    <row r="1306" spans="1:5" x14ac:dyDescent="0.25">
      <c r="A1306" s="4" t="s">
        <v>7</v>
      </c>
      <c r="B1306" s="4" t="s">
        <v>3538</v>
      </c>
      <c r="C1306" s="1" t="s">
        <v>3539</v>
      </c>
      <c r="D1306" s="1" t="s">
        <v>3523</v>
      </c>
      <c r="E1306" s="6">
        <v>7539</v>
      </c>
    </row>
    <row r="1307" spans="1:5" x14ac:dyDescent="0.25">
      <c r="A1307" s="4" t="s">
        <v>7</v>
      </c>
      <c r="B1307" s="4" t="s">
        <v>3540</v>
      </c>
      <c r="C1307" s="1" t="s">
        <v>3541</v>
      </c>
      <c r="D1307" s="1" t="s">
        <v>3542</v>
      </c>
      <c r="E1307" s="6">
        <v>3060</v>
      </c>
    </row>
    <row r="1308" spans="1:5" x14ac:dyDescent="0.25">
      <c r="A1308" s="4" t="s">
        <v>7</v>
      </c>
      <c r="B1308" s="4" t="s">
        <v>3543</v>
      </c>
      <c r="C1308" s="1" t="s">
        <v>3544</v>
      </c>
      <c r="D1308" s="1" t="s">
        <v>3545</v>
      </c>
      <c r="E1308" s="6">
        <v>1261</v>
      </c>
    </row>
    <row r="1309" spans="1:5" x14ac:dyDescent="0.25">
      <c r="A1309" s="4" t="s">
        <v>7</v>
      </c>
      <c r="B1309" s="4" t="s">
        <v>3546</v>
      </c>
      <c r="C1309" s="1" t="s">
        <v>3547</v>
      </c>
      <c r="D1309" s="1" t="s">
        <v>3548</v>
      </c>
      <c r="E1309" s="6">
        <v>29446</v>
      </c>
    </row>
    <row r="1310" spans="1:5" x14ac:dyDescent="0.25">
      <c r="A1310" s="4" t="s">
        <v>7</v>
      </c>
      <c r="B1310" s="4" t="s">
        <v>3549</v>
      </c>
      <c r="C1310" s="1" t="s">
        <v>3550</v>
      </c>
      <c r="D1310" s="1" t="s">
        <v>3551</v>
      </c>
      <c r="E1310" s="6">
        <v>9045</v>
      </c>
    </row>
    <row r="1311" spans="1:5" x14ac:dyDescent="0.25">
      <c r="A1311" s="4" t="s">
        <v>7</v>
      </c>
      <c r="B1311" s="4" t="s">
        <v>3552</v>
      </c>
      <c r="C1311" s="1" t="s">
        <v>3553</v>
      </c>
      <c r="D1311" s="1" t="s">
        <v>3554</v>
      </c>
      <c r="E1311" s="6">
        <v>8746</v>
      </c>
    </row>
    <row r="1312" spans="1:5" x14ac:dyDescent="0.25">
      <c r="A1312" s="4" t="s">
        <v>7</v>
      </c>
      <c r="B1312" s="4" t="s">
        <v>3555</v>
      </c>
      <c r="C1312" s="1" t="s">
        <v>3556</v>
      </c>
      <c r="D1312" s="1" t="s">
        <v>2973</v>
      </c>
      <c r="E1312" s="6">
        <v>5601</v>
      </c>
    </row>
    <row r="1313" spans="1:5" x14ac:dyDescent="0.25">
      <c r="A1313" s="4" t="s">
        <v>7</v>
      </c>
      <c r="B1313" s="4" t="s">
        <v>3557</v>
      </c>
      <c r="C1313" s="1" t="s">
        <v>3558</v>
      </c>
      <c r="D1313" s="1" t="s">
        <v>2973</v>
      </c>
      <c r="E1313" s="6">
        <v>4696</v>
      </c>
    </row>
    <row r="1314" spans="1:5" x14ac:dyDescent="0.25">
      <c r="A1314" s="4" t="s">
        <v>7</v>
      </c>
      <c r="B1314" s="4" t="s">
        <v>3559</v>
      </c>
      <c r="C1314" s="1" t="s">
        <v>3560</v>
      </c>
      <c r="D1314" s="1" t="s">
        <v>3561</v>
      </c>
      <c r="E1314" s="6">
        <v>4392</v>
      </c>
    </row>
    <row r="1315" spans="1:5" x14ac:dyDescent="0.25">
      <c r="A1315" s="4" t="s">
        <v>7</v>
      </c>
      <c r="B1315" s="4" t="s">
        <v>3562</v>
      </c>
      <c r="C1315" s="1" t="s">
        <v>3563</v>
      </c>
      <c r="D1315" s="1" t="s">
        <v>3564</v>
      </c>
      <c r="E1315" s="6">
        <v>1065</v>
      </c>
    </row>
    <row r="1316" spans="1:5" x14ac:dyDescent="0.25">
      <c r="A1316" s="4" t="s">
        <v>7</v>
      </c>
      <c r="B1316" s="4" t="s">
        <v>3565</v>
      </c>
      <c r="C1316" s="1" t="s">
        <v>3566</v>
      </c>
      <c r="D1316" s="1" t="s">
        <v>3567</v>
      </c>
      <c r="E1316" s="6">
        <v>1863</v>
      </c>
    </row>
    <row r="1317" spans="1:5" x14ac:dyDescent="0.25">
      <c r="A1317" s="4" t="s">
        <v>7</v>
      </c>
      <c r="B1317" s="4" t="s">
        <v>3568</v>
      </c>
      <c r="C1317" s="1" t="s">
        <v>3569</v>
      </c>
      <c r="D1317" s="1" t="s">
        <v>3570</v>
      </c>
      <c r="E1317" s="6">
        <v>2237</v>
      </c>
    </row>
    <row r="1318" spans="1:5" x14ac:dyDescent="0.25">
      <c r="A1318" s="4" t="s">
        <v>7</v>
      </c>
      <c r="B1318" s="4" t="s">
        <v>3571</v>
      </c>
      <c r="C1318" s="1" t="s">
        <v>3572</v>
      </c>
      <c r="D1318" s="1" t="s">
        <v>3572</v>
      </c>
      <c r="E1318" s="6">
        <v>659</v>
      </c>
    </row>
    <row r="1319" spans="1:5" x14ac:dyDescent="0.25">
      <c r="A1319" s="4" t="s">
        <v>7</v>
      </c>
      <c r="B1319" s="4" t="s">
        <v>3573</v>
      </c>
      <c r="C1319" s="1" t="s">
        <v>3574</v>
      </c>
      <c r="D1319" s="1" t="s">
        <v>3575</v>
      </c>
      <c r="E1319" s="6">
        <v>182</v>
      </c>
    </row>
    <row r="1320" spans="1:5" x14ac:dyDescent="0.25">
      <c r="A1320" s="4" t="s">
        <v>7</v>
      </c>
      <c r="B1320" s="4" t="s">
        <v>3576</v>
      </c>
      <c r="C1320" s="1" t="s">
        <v>3577</v>
      </c>
      <c r="D1320" s="1" t="s">
        <v>3578</v>
      </c>
      <c r="E1320" s="6">
        <v>157</v>
      </c>
    </row>
    <row r="1321" spans="1:5" x14ac:dyDescent="0.25">
      <c r="A1321" s="4" t="s">
        <v>7</v>
      </c>
      <c r="B1321" s="4" t="s">
        <v>3579</v>
      </c>
      <c r="C1321" s="1" t="s">
        <v>3580</v>
      </c>
      <c r="D1321" s="1" t="s">
        <v>3575</v>
      </c>
      <c r="E1321" s="6">
        <v>778</v>
      </c>
    </row>
    <row r="1322" spans="1:5" x14ac:dyDescent="0.25">
      <c r="A1322" s="4" t="s">
        <v>7</v>
      </c>
      <c r="B1322" s="4" t="s">
        <v>3581</v>
      </c>
      <c r="C1322" s="1" t="s">
        <v>3582</v>
      </c>
      <c r="D1322" s="1" t="s">
        <v>3578</v>
      </c>
      <c r="E1322" s="6">
        <v>778</v>
      </c>
    </row>
    <row r="1323" spans="1:5" x14ac:dyDescent="0.25">
      <c r="A1323" s="4" t="s">
        <v>7</v>
      </c>
      <c r="B1323" s="4" t="s">
        <v>3583</v>
      </c>
      <c r="C1323" s="1" t="s">
        <v>3584</v>
      </c>
      <c r="D1323" s="1" t="s">
        <v>3585</v>
      </c>
      <c r="E1323" s="6">
        <v>5794</v>
      </c>
    </row>
    <row r="1324" spans="1:5" x14ac:dyDescent="0.25">
      <c r="A1324" s="4" t="s">
        <v>7</v>
      </c>
      <c r="B1324" s="4" t="s">
        <v>3586</v>
      </c>
      <c r="C1324" s="1" t="s">
        <v>3587</v>
      </c>
      <c r="D1324" s="1" t="s">
        <v>3588</v>
      </c>
      <c r="E1324" s="6">
        <v>1990</v>
      </c>
    </row>
    <row r="1325" spans="1:5" x14ac:dyDescent="0.25">
      <c r="A1325" s="4" t="s">
        <v>7</v>
      </c>
      <c r="B1325" s="4" t="s">
        <v>3589</v>
      </c>
      <c r="C1325" s="1" t="s">
        <v>3590</v>
      </c>
      <c r="D1325" s="1" t="s">
        <v>3591</v>
      </c>
      <c r="E1325" s="6">
        <v>11491</v>
      </c>
    </row>
    <row r="1326" spans="1:5" x14ac:dyDescent="0.25">
      <c r="A1326" s="4" t="s">
        <v>7</v>
      </c>
      <c r="B1326" s="4" t="s">
        <v>3592</v>
      </c>
      <c r="C1326" s="1" t="s">
        <v>3593</v>
      </c>
      <c r="D1326" s="1" t="s">
        <v>3594</v>
      </c>
      <c r="E1326" s="6">
        <v>11491</v>
      </c>
    </row>
    <row r="1327" spans="1:5" x14ac:dyDescent="0.25">
      <c r="A1327" s="4" t="s">
        <v>7</v>
      </c>
      <c r="B1327" s="4" t="s">
        <v>3595</v>
      </c>
      <c r="C1327" s="1" t="s">
        <v>3596</v>
      </c>
      <c r="D1327" s="1" t="s">
        <v>3597</v>
      </c>
      <c r="E1327" s="6">
        <v>5734</v>
      </c>
    </row>
    <row r="1328" spans="1:5" x14ac:dyDescent="0.25">
      <c r="A1328" s="4" t="s">
        <v>7</v>
      </c>
      <c r="B1328" s="4" t="s">
        <v>3598</v>
      </c>
      <c r="C1328" s="1" t="s">
        <v>3599</v>
      </c>
      <c r="D1328" s="1" t="s">
        <v>3095</v>
      </c>
      <c r="E1328" s="6">
        <v>9904</v>
      </c>
    </row>
    <row r="1329" spans="1:5" x14ac:dyDescent="0.25">
      <c r="A1329" s="4" t="s">
        <v>7</v>
      </c>
      <c r="B1329" s="4" t="s">
        <v>3600</v>
      </c>
      <c r="C1329" s="1" t="s">
        <v>3601</v>
      </c>
      <c r="D1329" s="1" t="s">
        <v>3602</v>
      </c>
      <c r="E1329" s="6">
        <v>25215</v>
      </c>
    </row>
    <row r="1330" spans="1:5" x14ac:dyDescent="0.25">
      <c r="A1330" s="4" t="s">
        <v>7</v>
      </c>
      <c r="B1330" s="4" t="s">
        <v>3603</v>
      </c>
      <c r="C1330" s="1" t="s">
        <v>3604</v>
      </c>
      <c r="D1330" s="1" t="s">
        <v>3605</v>
      </c>
      <c r="E1330" s="6">
        <v>29446</v>
      </c>
    </row>
    <row r="1331" spans="1:5" x14ac:dyDescent="0.25">
      <c r="A1331" s="4" t="s">
        <v>7</v>
      </c>
      <c r="B1331" s="4" t="s">
        <v>3606</v>
      </c>
      <c r="C1331" s="1" t="s">
        <v>3607</v>
      </c>
      <c r="D1331" s="1" t="s">
        <v>3608</v>
      </c>
      <c r="E1331" s="6">
        <v>1973</v>
      </c>
    </row>
    <row r="1332" spans="1:5" x14ac:dyDescent="0.25">
      <c r="A1332" s="4" t="s">
        <v>7</v>
      </c>
      <c r="B1332" s="4" t="s">
        <v>3609</v>
      </c>
      <c r="C1332" s="1" t="s">
        <v>3610</v>
      </c>
      <c r="D1332" s="1" t="s">
        <v>3611</v>
      </c>
      <c r="E1332" s="6">
        <v>1905</v>
      </c>
    </row>
    <row r="1333" spans="1:5" x14ac:dyDescent="0.25">
      <c r="A1333" s="4" t="s">
        <v>7</v>
      </c>
      <c r="B1333" s="4" t="s">
        <v>3612</v>
      </c>
      <c r="C1333" s="1" t="s">
        <v>3613</v>
      </c>
      <c r="D1333" s="1" t="s">
        <v>3614</v>
      </c>
      <c r="E1333" s="6">
        <v>2440</v>
      </c>
    </row>
    <row r="1334" spans="1:5" x14ac:dyDescent="0.25">
      <c r="A1334" s="4" t="s">
        <v>7</v>
      </c>
      <c r="B1334" s="4" t="s">
        <v>3615</v>
      </c>
      <c r="C1334" s="1" t="s">
        <v>3616</v>
      </c>
      <c r="D1334" s="1" t="s">
        <v>3617</v>
      </c>
      <c r="E1334" s="6">
        <v>7492</v>
      </c>
    </row>
    <row r="1335" spans="1:5" x14ac:dyDescent="0.25">
      <c r="A1335" s="4" t="s">
        <v>7</v>
      </c>
      <c r="B1335" s="4" t="s">
        <v>3618</v>
      </c>
      <c r="C1335" s="1" t="s">
        <v>3619</v>
      </c>
      <c r="D1335" s="1" t="s">
        <v>3620</v>
      </c>
      <c r="E1335" s="6">
        <v>14439</v>
      </c>
    </row>
    <row r="1336" spans="1:5" x14ac:dyDescent="0.25">
      <c r="A1336" s="4" t="s">
        <v>7</v>
      </c>
      <c r="B1336" s="4" t="s">
        <v>3621</v>
      </c>
      <c r="C1336" s="1" t="s">
        <v>3622</v>
      </c>
      <c r="D1336" s="1" t="s">
        <v>3623</v>
      </c>
      <c r="E1336" s="6">
        <v>1889</v>
      </c>
    </row>
    <row r="1337" spans="1:5" x14ac:dyDescent="0.25">
      <c r="A1337" s="4" t="s">
        <v>7</v>
      </c>
      <c r="B1337" s="4" t="s">
        <v>3624</v>
      </c>
      <c r="C1337" s="1" t="s">
        <v>3625</v>
      </c>
      <c r="D1337" s="1" t="s">
        <v>3626</v>
      </c>
      <c r="E1337" s="6">
        <v>8236</v>
      </c>
    </row>
    <row r="1338" spans="1:5" x14ac:dyDescent="0.25">
      <c r="A1338" s="4" t="s">
        <v>7</v>
      </c>
      <c r="B1338" s="4" t="s">
        <v>3627</v>
      </c>
      <c r="C1338" s="1" t="s">
        <v>3628</v>
      </c>
      <c r="D1338" s="1" t="s">
        <v>3629</v>
      </c>
      <c r="E1338" s="6">
        <v>8236</v>
      </c>
    </row>
    <row r="1339" spans="1:5" x14ac:dyDescent="0.25">
      <c r="A1339" s="4" t="s">
        <v>7</v>
      </c>
      <c r="B1339" s="4" t="s">
        <v>3630</v>
      </c>
      <c r="C1339" s="1" t="s">
        <v>3631</v>
      </c>
      <c r="D1339" s="1" t="s">
        <v>3632</v>
      </c>
      <c r="E1339" s="6">
        <v>7519</v>
      </c>
    </row>
    <row r="1340" spans="1:5" x14ac:dyDescent="0.25">
      <c r="A1340" s="4" t="s">
        <v>7</v>
      </c>
      <c r="B1340" s="4" t="s">
        <v>3633</v>
      </c>
      <c r="C1340" s="1" t="s">
        <v>3634</v>
      </c>
      <c r="D1340" s="1" t="s">
        <v>3635</v>
      </c>
      <c r="E1340" s="6">
        <v>2349</v>
      </c>
    </row>
    <row r="1341" spans="1:5" x14ac:dyDescent="0.25">
      <c r="A1341" s="4" t="s">
        <v>7</v>
      </c>
      <c r="B1341" s="4" t="s">
        <v>3636</v>
      </c>
      <c r="C1341" s="1" t="s">
        <v>3637</v>
      </c>
      <c r="D1341" s="1" t="s">
        <v>3638</v>
      </c>
      <c r="E1341" s="6">
        <v>1502</v>
      </c>
    </row>
    <row r="1342" spans="1:5" x14ac:dyDescent="0.25">
      <c r="A1342" s="4" t="s">
        <v>7</v>
      </c>
      <c r="B1342" s="4" t="s">
        <v>3639</v>
      </c>
      <c r="C1342" s="1" t="s">
        <v>3640</v>
      </c>
      <c r="D1342" s="1" t="s">
        <v>3641</v>
      </c>
      <c r="E1342" s="6">
        <v>8379</v>
      </c>
    </row>
    <row r="1343" spans="1:5" x14ac:dyDescent="0.25">
      <c r="A1343" s="4" t="s">
        <v>7</v>
      </c>
      <c r="B1343" s="4" t="s">
        <v>3642</v>
      </c>
      <c r="C1343" s="1" t="s">
        <v>3643</v>
      </c>
      <c r="D1343" s="1" t="s">
        <v>3644</v>
      </c>
      <c r="E1343" s="6">
        <v>8379</v>
      </c>
    </row>
    <row r="1344" spans="1:5" x14ac:dyDescent="0.25">
      <c r="A1344" s="4" t="s">
        <v>7</v>
      </c>
      <c r="B1344" s="4" t="s">
        <v>3645</v>
      </c>
      <c r="C1344" s="1" t="s">
        <v>3646</v>
      </c>
      <c r="D1344" s="1" t="s">
        <v>3647</v>
      </c>
      <c r="E1344" s="6">
        <v>8379</v>
      </c>
    </row>
    <row r="1345" spans="1:5" x14ac:dyDescent="0.25">
      <c r="A1345" s="4" t="s">
        <v>7</v>
      </c>
      <c r="B1345" s="4" t="s">
        <v>3648</v>
      </c>
      <c r="C1345" s="1" t="s">
        <v>3649</v>
      </c>
      <c r="D1345" s="1" t="s">
        <v>3650</v>
      </c>
      <c r="E1345" s="6">
        <v>41900</v>
      </c>
    </row>
    <row r="1346" spans="1:5" x14ac:dyDescent="0.25">
      <c r="A1346" s="4" t="s">
        <v>7</v>
      </c>
      <c r="B1346" s="4" t="s">
        <v>3651</v>
      </c>
      <c r="C1346" s="1" t="s">
        <v>3652</v>
      </c>
      <c r="D1346" s="1" t="s">
        <v>3653</v>
      </c>
      <c r="E1346" s="6">
        <v>8379</v>
      </c>
    </row>
    <row r="1347" spans="1:5" x14ac:dyDescent="0.25">
      <c r="A1347" s="4" t="s">
        <v>7</v>
      </c>
      <c r="B1347" s="4" t="s">
        <v>3654</v>
      </c>
      <c r="C1347" s="1" t="s">
        <v>3655</v>
      </c>
      <c r="D1347" s="1" t="s">
        <v>3656</v>
      </c>
      <c r="E1347" s="6">
        <v>8379</v>
      </c>
    </row>
    <row r="1348" spans="1:5" x14ac:dyDescent="0.25">
      <c r="A1348" s="4" t="s">
        <v>7</v>
      </c>
      <c r="B1348" s="4" t="s">
        <v>3657</v>
      </c>
      <c r="C1348" s="1" t="s">
        <v>3658</v>
      </c>
      <c r="D1348" s="1" t="s">
        <v>3659</v>
      </c>
      <c r="E1348" s="6">
        <v>11034</v>
      </c>
    </row>
    <row r="1349" spans="1:5" x14ac:dyDescent="0.25">
      <c r="A1349" s="4" t="s">
        <v>7</v>
      </c>
      <c r="B1349" s="4" t="s">
        <v>3660</v>
      </c>
      <c r="C1349" s="1" t="s">
        <v>3661</v>
      </c>
      <c r="D1349" s="1" t="s">
        <v>3662</v>
      </c>
      <c r="E1349" s="6">
        <v>4603</v>
      </c>
    </row>
    <row r="1350" spans="1:5" x14ac:dyDescent="0.25">
      <c r="A1350" s="4" t="s">
        <v>7</v>
      </c>
      <c r="B1350" s="4" t="s">
        <v>3663</v>
      </c>
      <c r="C1350" s="1" t="s">
        <v>3664</v>
      </c>
      <c r="D1350" s="1" t="s">
        <v>3665</v>
      </c>
      <c r="E1350" s="6">
        <v>11034</v>
      </c>
    </row>
    <row r="1351" spans="1:5" x14ac:dyDescent="0.25">
      <c r="A1351" s="4" t="s">
        <v>7</v>
      </c>
      <c r="B1351" s="4" t="s">
        <v>3666</v>
      </c>
      <c r="C1351" s="1" t="s">
        <v>3667</v>
      </c>
      <c r="D1351" s="1" t="s">
        <v>3668</v>
      </c>
      <c r="E1351" s="6">
        <v>45512.18</v>
      </c>
    </row>
    <row r="1352" spans="1:5" x14ac:dyDescent="0.25">
      <c r="A1352" s="4" t="s">
        <v>7</v>
      </c>
      <c r="B1352" s="4" t="s">
        <v>3669</v>
      </c>
      <c r="C1352" s="1" t="s">
        <v>3670</v>
      </c>
      <c r="D1352" s="1" t="s">
        <v>3670</v>
      </c>
      <c r="E1352" s="6">
        <v>322</v>
      </c>
    </row>
    <row r="1353" spans="1:5" x14ac:dyDescent="0.25">
      <c r="A1353" s="4" t="s">
        <v>7</v>
      </c>
      <c r="B1353" s="4" t="s">
        <v>3671</v>
      </c>
      <c r="C1353" s="1" t="s">
        <v>3672</v>
      </c>
      <c r="D1353" s="1" t="s">
        <v>3673</v>
      </c>
      <c r="E1353" s="6">
        <v>366</v>
      </c>
    </row>
    <row r="1354" spans="1:5" x14ac:dyDescent="0.25">
      <c r="A1354" s="4" t="s">
        <v>7</v>
      </c>
      <c r="B1354" s="4" t="s">
        <v>3674</v>
      </c>
      <c r="C1354" s="1" t="s">
        <v>3675</v>
      </c>
      <c r="D1354" s="1" t="s">
        <v>3676</v>
      </c>
      <c r="E1354" s="6">
        <v>550</v>
      </c>
    </row>
    <row r="1355" spans="1:5" x14ac:dyDescent="0.25">
      <c r="A1355" s="4" t="s">
        <v>7</v>
      </c>
      <c r="B1355" s="4" t="s">
        <v>3677</v>
      </c>
      <c r="C1355" s="1" t="s">
        <v>3678</v>
      </c>
      <c r="D1355" s="1" t="s">
        <v>3679</v>
      </c>
      <c r="E1355" s="6">
        <v>499</v>
      </c>
    </row>
    <row r="1356" spans="1:5" x14ac:dyDescent="0.25">
      <c r="A1356" s="4" t="s">
        <v>7</v>
      </c>
      <c r="B1356" s="4" t="s">
        <v>3680</v>
      </c>
      <c r="C1356" s="1" t="s">
        <v>3681</v>
      </c>
      <c r="D1356" s="1" t="s">
        <v>3682</v>
      </c>
      <c r="E1356" s="6">
        <v>1116</v>
      </c>
    </row>
    <row r="1357" spans="1:5" x14ac:dyDescent="0.25">
      <c r="A1357" s="4" t="s">
        <v>7</v>
      </c>
      <c r="B1357" s="4" t="s">
        <v>3683</v>
      </c>
      <c r="C1357" s="1" t="s">
        <v>3684</v>
      </c>
      <c r="D1357" s="1" t="s">
        <v>3685</v>
      </c>
      <c r="E1357" s="6">
        <v>993</v>
      </c>
    </row>
    <row r="1358" spans="1:5" x14ac:dyDescent="0.25">
      <c r="A1358" s="4" t="s">
        <v>7</v>
      </c>
      <c r="B1358" s="4" t="s">
        <v>3686</v>
      </c>
      <c r="C1358" s="1" t="s">
        <v>3687</v>
      </c>
      <c r="D1358" s="1" t="s">
        <v>3688</v>
      </c>
      <c r="E1358" s="6">
        <v>2078</v>
      </c>
    </row>
    <row r="1359" spans="1:5" x14ac:dyDescent="0.25">
      <c r="A1359" s="4" t="s">
        <v>7</v>
      </c>
      <c r="B1359" s="4" t="s">
        <v>3689</v>
      </c>
      <c r="C1359" s="1" t="s">
        <v>3690</v>
      </c>
      <c r="D1359" s="1" t="s">
        <v>3691</v>
      </c>
      <c r="E1359" s="6">
        <v>2321</v>
      </c>
    </row>
    <row r="1360" spans="1:5" x14ac:dyDescent="0.25">
      <c r="A1360" s="4" t="s">
        <v>7</v>
      </c>
      <c r="B1360" s="4" t="s">
        <v>3692</v>
      </c>
      <c r="C1360" s="1" t="s">
        <v>3693</v>
      </c>
      <c r="D1360" s="1" t="s">
        <v>3694</v>
      </c>
      <c r="E1360" s="6">
        <v>2978</v>
      </c>
    </row>
    <row r="1361" spans="1:5" x14ac:dyDescent="0.25">
      <c r="A1361" s="4" t="s">
        <v>7</v>
      </c>
      <c r="B1361" s="4" t="s">
        <v>3695</v>
      </c>
      <c r="C1361" s="1" t="s">
        <v>3696</v>
      </c>
      <c r="D1361" s="1" t="s">
        <v>3697</v>
      </c>
      <c r="E1361" s="6">
        <v>844</v>
      </c>
    </row>
    <row r="1362" spans="1:5" x14ac:dyDescent="0.25">
      <c r="A1362" s="4" t="s">
        <v>7</v>
      </c>
      <c r="B1362" s="4" t="s">
        <v>3698</v>
      </c>
      <c r="C1362" s="1" t="s">
        <v>3699</v>
      </c>
      <c r="D1362" s="1" t="s">
        <v>3700</v>
      </c>
      <c r="E1362" s="6">
        <v>142</v>
      </c>
    </row>
    <row r="1363" spans="1:5" x14ac:dyDescent="0.25">
      <c r="A1363" s="4" t="s">
        <v>7</v>
      </c>
      <c r="B1363" s="4" t="s">
        <v>3701</v>
      </c>
      <c r="C1363" s="1" t="s">
        <v>3702</v>
      </c>
      <c r="D1363" s="1" t="s">
        <v>3703</v>
      </c>
      <c r="E1363" s="6">
        <v>1819</v>
      </c>
    </row>
    <row r="1364" spans="1:5" x14ac:dyDescent="0.25">
      <c r="A1364" s="4" t="s">
        <v>7</v>
      </c>
      <c r="B1364" s="4" t="s">
        <v>3704</v>
      </c>
      <c r="C1364" s="1" t="s">
        <v>3705</v>
      </c>
      <c r="D1364" s="1" t="s">
        <v>3706</v>
      </c>
      <c r="E1364" s="6">
        <v>6346</v>
      </c>
    </row>
    <row r="1365" spans="1:5" x14ac:dyDescent="0.25">
      <c r="A1365" s="4" t="s">
        <v>7</v>
      </c>
      <c r="B1365" s="4" t="s">
        <v>3707</v>
      </c>
      <c r="C1365" s="1" t="s">
        <v>3708</v>
      </c>
      <c r="D1365" s="1" t="s">
        <v>3709</v>
      </c>
      <c r="E1365" s="6">
        <v>3013</v>
      </c>
    </row>
    <row r="1366" spans="1:5" x14ac:dyDescent="0.25">
      <c r="A1366" s="4" t="s">
        <v>7</v>
      </c>
      <c r="B1366" s="4" t="s">
        <v>3710</v>
      </c>
      <c r="C1366" s="1" t="s">
        <v>3711</v>
      </c>
      <c r="D1366" s="1" t="s">
        <v>3712</v>
      </c>
      <c r="E1366" s="6">
        <v>2594</v>
      </c>
    </row>
    <row r="1367" spans="1:5" x14ac:dyDescent="0.25">
      <c r="A1367" s="4" t="s">
        <v>7</v>
      </c>
      <c r="B1367" s="4" t="s">
        <v>3713</v>
      </c>
      <c r="C1367" s="1" t="s">
        <v>3714</v>
      </c>
      <c r="D1367" s="1" t="s">
        <v>3715</v>
      </c>
      <c r="E1367" s="6">
        <v>1994</v>
      </c>
    </row>
    <row r="1368" spans="1:5" x14ac:dyDescent="0.25">
      <c r="A1368" s="4" t="s">
        <v>7</v>
      </c>
      <c r="B1368" s="4" t="s">
        <v>3716</v>
      </c>
      <c r="C1368" s="1" t="s">
        <v>3717</v>
      </c>
      <c r="D1368" s="1" t="s">
        <v>3717</v>
      </c>
      <c r="E1368" s="6">
        <v>3344</v>
      </c>
    </row>
    <row r="1369" spans="1:5" x14ac:dyDescent="0.25">
      <c r="A1369" s="4" t="s">
        <v>7</v>
      </c>
      <c r="B1369" s="4" t="s">
        <v>3718</v>
      </c>
      <c r="C1369" s="1" t="s">
        <v>3719</v>
      </c>
      <c r="D1369" s="1" t="s">
        <v>3720</v>
      </c>
      <c r="E1369" s="6">
        <v>3003</v>
      </c>
    </row>
    <row r="1370" spans="1:5" x14ac:dyDescent="0.25">
      <c r="A1370" s="4" t="s">
        <v>7</v>
      </c>
      <c r="B1370" s="4" t="s">
        <v>3721</v>
      </c>
      <c r="C1370" s="1" t="s">
        <v>3722</v>
      </c>
      <c r="D1370" s="1" t="s">
        <v>3723</v>
      </c>
      <c r="E1370" s="6">
        <v>1310</v>
      </c>
    </row>
    <row r="1371" spans="1:5" x14ac:dyDescent="0.25">
      <c r="A1371" s="4" t="s">
        <v>7</v>
      </c>
      <c r="B1371" s="4" t="s">
        <v>3724</v>
      </c>
      <c r="C1371" s="1" t="s">
        <v>3725</v>
      </c>
      <c r="D1371" s="1" t="s">
        <v>3726</v>
      </c>
      <c r="E1371" s="6">
        <v>1050</v>
      </c>
    </row>
    <row r="1372" spans="1:5" x14ac:dyDescent="0.25">
      <c r="A1372" s="4" t="s">
        <v>7</v>
      </c>
      <c r="B1372" s="4" t="s">
        <v>3727</v>
      </c>
      <c r="C1372" s="1" t="s">
        <v>3728</v>
      </c>
      <c r="D1372" s="1" t="s">
        <v>3729</v>
      </c>
      <c r="E1372" s="6">
        <v>1360</v>
      </c>
    </row>
    <row r="1373" spans="1:5" x14ac:dyDescent="0.25">
      <c r="A1373" s="4" t="s">
        <v>7</v>
      </c>
      <c r="B1373" s="4" t="s">
        <v>3730</v>
      </c>
      <c r="C1373" s="1" t="s">
        <v>3731</v>
      </c>
      <c r="D1373" s="1" t="s">
        <v>3732</v>
      </c>
      <c r="E1373" s="6">
        <v>2038</v>
      </c>
    </row>
    <row r="1374" spans="1:5" x14ac:dyDescent="0.25">
      <c r="A1374" s="4" t="s">
        <v>7</v>
      </c>
      <c r="B1374" s="4" t="s">
        <v>3733</v>
      </c>
      <c r="C1374" s="1" t="s">
        <v>3734</v>
      </c>
      <c r="D1374" s="1" t="s">
        <v>3735</v>
      </c>
      <c r="E1374" s="6">
        <v>1980</v>
      </c>
    </row>
    <row r="1375" spans="1:5" x14ac:dyDescent="0.25">
      <c r="A1375" s="4" t="s">
        <v>7</v>
      </c>
      <c r="B1375" s="4" t="s">
        <v>3736</v>
      </c>
      <c r="C1375" s="1" t="s">
        <v>3737</v>
      </c>
      <c r="D1375" s="1" t="s">
        <v>3738</v>
      </c>
      <c r="E1375" s="6">
        <v>902</v>
      </c>
    </row>
    <row r="1376" spans="1:5" x14ac:dyDescent="0.25">
      <c r="A1376" s="4" t="s">
        <v>7</v>
      </c>
      <c r="B1376" s="4" t="s">
        <v>3739</v>
      </c>
      <c r="C1376" s="1" t="s">
        <v>3740</v>
      </c>
      <c r="D1376" s="1" t="s">
        <v>3741</v>
      </c>
      <c r="E1376" s="6">
        <v>1076</v>
      </c>
    </row>
    <row r="1377" spans="1:5" x14ac:dyDescent="0.25">
      <c r="A1377" s="4" t="s">
        <v>7</v>
      </c>
      <c r="B1377" s="4" t="s">
        <v>3742</v>
      </c>
      <c r="C1377" s="1" t="s">
        <v>3743</v>
      </c>
      <c r="D1377" s="1" t="s">
        <v>3744</v>
      </c>
      <c r="E1377" s="6">
        <v>506</v>
      </c>
    </row>
    <row r="1378" spans="1:5" x14ac:dyDescent="0.25">
      <c r="A1378" s="4" t="s">
        <v>7</v>
      </c>
      <c r="B1378" s="4" t="s">
        <v>3745</v>
      </c>
      <c r="C1378" s="1" t="s">
        <v>3746</v>
      </c>
      <c r="D1378" s="1" t="s">
        <v>3746</v>
      </c>
      <c r="E1378" s="6">
        <v>1408</v>
      </c>
    </row>
    <row r="1379" spans="1:5" x14ac:dyDescent="0.25">
      <c r="A1379" s="4" t="s">
        <v>7</v>
      </c>
      <c r="B1379" s="4" t="s">
        <v>3747</v>
      </c>
      <c r="C1379" s="1" t="s">
        <v>3748</v>
      </c>
      <c r="D1379" s="1" t="s">
        <v>3749</v>
      </c>
      <c r="E1379" s="6">
        <v>1516</v>
      </c>
    </row>
    <row r="1380" spans="1:5" x14ac:dyDescent="0.25">
      <c r="A1380" s="4" t="s">
        <v>7</v>
      </c>
      <c r="B1380" s="4" t="s">
        <v>3750</v>
      </c>
      <c r="C1380" s="1" t="s">
        <v>2622</v>
      </c>
      <c r="D1380" s="1" t="s">
        <v>3751</v>
      </c>
      <c r="E1380" s="6">
        <v>852</v>
      </c>
    </row>
    <row r="1381" spans="1:5" x14ac:dyDescent="0.25">
      <c r="A1381" s="4" t="s">
        <v>7</v>
      </c>
      <c r="B1381" s="4" t="s">
        <v>3752</v>
      </c>
      <c r="C1381" s="1" t="s">
        <v>3753</v>
      </c>
      <c r="D1381" s="1" t="s">
        <v>3753</v>
      </c>
      <c r="E1381" s="6">
        <v>536</v>
      </c>
    </row>
    <row r="1382" spans="1:5" x14ac:dyDescent="0.25">
      <c r="A1382" s="4" t="s">
        <v>7</v>
      </c>
      <c r="B1382" s="4" t="s">
        <v>3754</v>
      </c>
      <c r="C1382" s="1" t="s">
        <v>3755</v>
      </c>
      <c r="D1382" s="1" t="s">
        <v>3755</v>
      </c>
      <c r="E1382" s="6">
        <v>670</v>
      </c>
    </row>
    <row r="1383" spans="1:5" x14ac:dyDescent="0.25">
      <c r="A1383" s="4" t="s">
        <v>7</v>
      </c>
      <c r="B1383" s="4" t="s">
        <v>3756</v>
      </c>
      <c r="C1383" s="1" t="s">
        <v>3757</v>
      </c>
      <c r="D1383" s="1" t="s">
        <v>3758</v>
      </c>
      <c r="E1383" s="6">
        <v>1482</v>
      </c>
    </row>
    <row r="1384" spans="1:5" x14ac:dyDescent="0.25">
      <c r="A1384" s="4" t="s">
        <v>7</v>
      </c>
      <c r="B1384" s="4" t="s">
        <v>3759</v>
      </c>
      <c r="C1384" s="1" t="s">
        <v>3760</v>
      </c>
      <c r="D1384" s="1" t="s">
        <v>3761</v>
      </c>
      <c r="E1384" s="6">
        <v>1801</v>
      </c>
    </row>
    <row r="1385" spans="1:5" x14ac:dyDescent="0.25">
      <c r="A1385" s="4" t="s">
        <v>7</v>
      </c>
      <c r="B1385" s="4" t="s">
        <v>3762</v>
      </c>
      <c r="C1385" s="1" t="s">
        <v>3763</v>
      </c>
      <c r="D1385" s="1" t="s">
        <v>3764</v>
      </c>
      <c r="E1385" s="6">
        <v>1869</v>
      </c>
    </row>
    <row r="1386" spans="1:5" x14ac:dyDescent="0.25">
      <c r="A1386" s="4" t="s">
        <v>7</v>
      </c>
      <c r="B1386" s="4" t="s">
        <v>3765</v>
      </c>
      <c r="C1386" s="1" t="s">
        <v>3766</v>
      </c>
      <c r="D1386" s="1" t="s">
        <v>3767</v>
      </c>
      <c r="E1386" s="6">
        <v>2293</v>
      </c>
    </row>
    <row r="1387" spans="1:5" x14ac:dyDescent="0.25">
      <c r="A1387" s="4" t="s">
        <v>7</v>
      </c>
      <c r="B1387" s="4" t="s">
        <v>3768</v>
      </c>
      <c r="C1387" s="1" t="s">
        <v>3769</v>
      </c>
      <c r="D1387" s="1" t="s">
        <v>3770</v>
      </c>
      <c r="E1387" s="6">
        <v>763</v>
      </c>
    </row>
    <row r="1388" spans="1:5" x14ac:dyDescent="0.25">
      <c r="A1388" s="4" t="s">
        <v>7</v>
      </c>
      <c r="B1388" s="4" t="s">
        <v>3771</v>
      </c>
      <c r="C1388" s="1" t="s">
        <v>3772</v>
      </c>
      <c r="D1388" s="1" t="s">
        <v>3773</v>
      </c>
      <c r="E1388" s="6">
        <v>728</v>
      </c>
    </row>
    <row r="1389" spans="1:5" x14ac:dyDescent="0.25">
      <c r="A1389" s="4" t="s">
        <v>7</v>
      </c>
      <c r="B1389" s="4" t="s">
        <v>3774</v>
      </c>
      <c r="C1389" s="1" t="s">
        <v>3775</v>
      </c>
      <c r="D1389" s="1" t="s">
        <v>3776</v>
      </c>
      <c r="E1389" s="6">
        <v>916</v>
      </c>
    </row>
    <row r="1390" spans="1:5" x14ac:dyDescent="0.25">
      <c r="A1390" s="4" t="s">
        <v>7</v>
      </c>
      <c r="B1390" s="4" t="s">
        <v>3777</v>
      </c>
      <c r="C1390" s="1" t="s">
        <v>3778</v>
      </c>
      <c r="D1390" s="1" t="s">
        <v>3779</v>
      </c>
      <c r="E1390" s="6">
        <v>916</v>
      </c>
    </row>
    <row r="1391" spans="1:5" x14ac:dyDescent="0.25">
      <c r="A1391" s="4" t="s">
        <v>7</v>
      </c>
      <c r="B1391" s="4" t="s">
        <v>3780</v>
      </c>
      <c r="C1391" s="1" t="s">
        <v>3781</v>
      </c>
      <c r="D1391" s="1" t="s">
        <v>3782</v>
      </c>
      <c r="E1391" s="6">
        <v>1233</v>
      </c>
    </row>
    <row r="1392" spans="1:5" x14ac:dyDescent="0.25">
      <c r="A1392" s="4" t="s">
        <v>7</v>
      </c>
      <c r="B1392" s="4" t="s">
        <v>3783</v>
      </c>
      <c r="C1392" s="1" t="s">
        <v>3784</v>
      </c>
      <c r="D1392" s="1" t="s">
        <v>3785</v>
      </c>
      <c r="E1392" s="6">
        <v>1578</v>
      </c>
    </row>
    <row r="1393" spans="1:5" x14ac:dyDescent="0.25">
      <c r="A1393" s="4" t="s">
        <v>7</v>
      </c>
      <c r="B1393" s="4" t="s">
        <v>3786</v>
      </c>
      <c r="C1393" s="1" t="s">
        <v>3787</v>
      </c>
      <c r="D1393" s="1" t="s">
        <v>3788</v>
      </c>
      <c r="E1393" s="6">
        <v>650</v>
      </c>
    </row>
    <row r="1394" spans="1:5" x14ac:dyDescent="0.25">
      <c r="A1394" s="4" t="s">
        <v>7</v>
      </c>
      <c r="B1394" s="4" t="s">
        <v>3789</v>
      </c>
      <c r="C1394" s="1" t="s">
        <v>3790</v>
      </c>
      <c r="D1394" s="1" t="s">
        <v>3791</v>
      </c>
      <c r="E1394" s="6">
        <v>1022</v>
      </c>
    </row>
    <row r="1395" spans="1:5" x14ac:dyDescent="0.25">
      <c r="A1395" s="4" t="s">
        <v>7</v>
      </c>
      <c r="B1395" s="4" t="s">
        <v>3792</v>
      </c>
      <c r="C1395" s="1" t="s">
        <v>3793</v>
      </c>
      <c r="D1395" s="1" t="s">
        <v>3794</v>
      </c>
      <c r="E1395" s="6">
        <v>858</v>
      </c>
    </row>
    <row r="1396" spans="1:5" x14ac:dyDescent="0.25">
      <c r="A1396" s="4" t="s">
        <v>7</v>
      </c>
      <c r="B1396" s="4" t="s">
        <v>3795</v>
      </c>
      <c r="C1396" s="1" t="s">
        <v>3796</v>
      </c>
      <c r="D1396" s="1" t="s">
        <v>3797</v>
      </c>
      <c r="E1396" s="6">
        <v>958</v>
      </c>
    </row>
    <row r="1397" spans="1:5" x14ac:dyDescent="0.25">
      <c r="A1397" s="4" t="s">
        <v>7</v>
      </c>
      <c r="B1397" s="4" t="s">
        <v>3798</v>
      </c>
      <c r="C1397" s="1" t="s">
        <v>3799</v>
      </c>
      <c r="D1397" s="1" t="s">
        <v>3800</v>
      </c>
      <c r="E1397" s="6">
        <v>1734</v>
      </c>
    </row>
    <row r="1398" spans="1:5" x14ac:dyDescent="0.25">
      <c r="A1398" s="4" t="s">
        <v>7</v>
      </c>
      <c r="B1398" s="4" t="s">
        <v>3801</v>
      </c>
      <c r="C1398" s="1" t="s">
        <v>3802</v>
      </c>
      <c r="D1398" s="1" t="s">
        <v>3803</v>
      </c>
      <c r="E1398" s="6">
        <v>861</v>
      </c>
    </row>
    <row r="1399" spans="1:5" x14ac:dyDescent="0.25">
      <c r="A1399" s="4" t="s">
        <v>7</v>
      </c>
      <c r="B1399" s="4" t="s">
        <v>3804</v>
      </c>
      <c r="C1399" s="1" t="s">
        <v>3805</v>
      </c>
      <c r="D1399" s="1" t="s">
        <v>3806</v>
      </c>
      <c r="E1399" s="6">
        <v>861</v>
      </c>
    </row>
    <row r="1400" spans="1:5" x14ac:dyDescent="0.25">
      <c r="A1400" s="4" t="s">
        <v>7</v>
      </c>
      <c r="B1400" s="4" t="s">
        <v>3807</v>
      </c>
      <c r="C1400" s="1" t="s">
        <v>3808</v>
      </c>
      <c r="D1400" s="1" t="s">
        <v>3809</v>
      </c>
      <c r="E1400" s="6">
        <v>1180</v>
      </c>
    </row>
    <row r="1401" spans="1:5" x14ac:dyDescent="0.25">
      <c r="A1401" s="4" t="s">
        <v>7</v>
      </c>
      <c r="B1401" s="4" t="s">
        <v>3810</v>
      </c>
      <c r="C1401" s="1" t="s">
        <v>3811</v>
      </c>
      <c r="D1401" s="1" t="s">
        <v>3811</v>
      </c>
      <c r="E1401" s="6">
        <v>990</v>
      </c>
    </row>
    <row r="1402" spans="1:5" x14ac:dyDescent="0.25">
      <c r="A1402" s="4" t="s">
        <v>7</v>
      </c>
      <c r="B1402" s="4" t="s">
        <v>3812</v>
      </c>
      <c r="C1402" s="1" t="s">
        <v>3813</v>
      </c>
      <c r="D1402" s="1" t="s">
        <v>3813</v>
      </c>
      <c r="E1402" s="6">
        <v>990</v>
      </c>
    </row>
    <row r="1403" spans="1:5" x14ac:dyDescent="0.25">
      <c r="A1403" s="4" t="s">
        <v>7</v>
      </c>
      <c r="B1403" s="4" t="s">
        <v>3814</v>
      </c>
      <c r="C1403" s="1" t="s">
        <v>3815</v>
      </c>
      <c r="D1403" s="1" t="s">
        <v>3816</v>
      </c>
      <c r="E1403" s="6">
        <v>1462</v>
      </c>
    </row>
    <row r="1404" spans="1:5" x14ac:dyDescent="0.25">
      <c r="A1404" s="4" t="s">
        <v>7</v>
      </c>
      <c r="B1404" s="4" t="s">
        <v>3817</v>
      </c>
      <c r="C1404" s="1" t="s">
        <v>3818</v>
      </c>
      <c r="D1404" s="1" t="s">
        <v>3819</v>
      </c>
      <c r="E1404" s="6">
        <v>1693</v>
      </c>
    </row>
    <row r="1405" spans="1:5" x14ac:dyDescent="0.25">
      <c r="A1405" s="4" t="s">
        <v>7</v>
      </c>
      <c r="B1405" s="4" t="s">
        <v>3820</v>
      </c>
      <c r="C1405" s="1" t="s">
        <v>3821</v>
      </c>
      <c r="D1405" s="1" t="s">
        <v>3822</v>
      </c>
      <c r="E1405" s="6">
        <v>1384</v>
      </c>
    </row>
    <row r="1406" spans="1:5" x14ac:dyDescent="0.25">
      <c r="A1406" s="4" t="s">
        <v>7</v>
      </c>
      <c r="B1406" s="4" t="s">
        <v>3823</v>
      </c>
      <c r="C1406" s="1" t="s">
        <v>3824</v>
      </c>
      <c r="D1406" s="1" t="s">
        <v>3824</v>
      </c>
      <c r="E1406" s="6">
        <v>1900</v>
      </c>
    </row>
    <row r="1407" spans="1:5" x14ac:dyDescent="0.25">
      <c r="A1407" s="4" t="s">
        <v>7</v>
      </c>
      <c r="B1407" s="4" t="s">
        <v>3825</v>
      </c>
      <c r="C1407" s="1" t="s">
        <v>2714</v>
      </c>
      <c r="D1407" s="1" t="s">
        <v>2715</v>
      </c>
      <c r="E1407" s="6">
        <v>1289</v>
      </c>
    </row>
    <row r="1408" spans="1:5" x14ac:dyDescent="0.25">
      <c r="A1408" s="4" t="s">
        <v>7</v>
      </c>
      <c r="B1408" s="4" t="s">
        <v>3826</v>
      </c>
      <c r="C1408" s="1" t="s">
        <v>3827</v>
      </c>
      <c r="D1408" s="1" t="s">
        <v>3828</v>
      </c>
      <c r="E1408" s="6">
        <v>1259</v>
      </c>
    </row>
    <row r="1409" spans="1:5" x14ac:dyDescent="0.25">
      <c r="A1409" s="4" t="s">
        <v>7</v>
      </c>
      <c r="B1409" s="4" t="s">
        <v>3829</v>
      </c>
      <c r="C1409" s="1" t="s">
        <v>3830</v>
      </c>
      <c r="D1409" s="1" t="s">
        <v>3831</v>
      </c>
      <c r="E1409" s="6">
        <v>1006</v>
      </c>
    </row>
    <row r="1410" spans="1:5" x14ac:dyDescent="0.25">
      <c r="A1410" s="4" t="s">
        <v>7</v>
      </c>
      <c r="B1410" s="4" t="s">
        <v>3832</v>
      </c>
      <c r="C1410" s="1" t="s">
        <v>3833</v>
      </c>
      <c r="D1410" s="1" t="s">
        <v>3834</v>
      </c>
      <c r="E1410" s="6">
        <v>1233</v>
      </c>
    </row>
    <row r="1411" spans="1:5" x14ac:dyDescent="0.25">
      <c r="A1411" s="4" t="s">
        <v>7</v>
      </c>
      <c r="B1411" s="4" t="s">
        <v>3835</v>
      </c>
      <c r="C1411" s="1" t="s">
        <v>3836</v>
      </c>
      <c r="D1411" s="1" t="s">
        <v>3837</v>
      </c>
      <c r="E1411" s="6">
        <v>1584</v>
      </c>
    </row>
    <row r="1412" spans="1:5" x14ac:dyDescent="0.25">
      <c r="A1412" s="4" t="s">
        <v>7</v>
      </c>
      <c r="B1412" s="4" t="s">
        <v>3838</v>
      </c>
      <c r="C1412" s="1" t="s">
        <v>3839</v>
      </c>
      <c r="D1412" s="1" t="s">
        <v>3840</v>
      </c>
      <c r="E1412" s="6">
        <v>2092</v>
      </c>
    </row>
    <row r="1413" spans="1:5" x14ac:dyDescent="0.25">
      <c r="A1413" s="4" t="s">
        <v>7</v>
      </c>
      <c r="B1413" s="4" t="s">
        <v>3841</v>
      </c>
      <c r="C1413" s="1" t="s">
        <v>3842</v>
      </c>
      <c r="D1413" s="1" t="s">
        <v>3843</v>
      </c>
      <c r="E1413" s="6">
        <v>1071</v>
      </c>
    </row>
    <row r="1414" spans="1:5" x14ac:dyDescent="0.25">
      <c r="A1414" s="4" t="s">
        <v>7</v>
      </c>
      <c r="B1414" s="4" t="s">
        <v>3844</v>
      </c>
      <c r="C1414" s="1" t="s">
        <v>3845</v>
      </c>
      <c r="D1414" s="1" t="s">
        <v>3845</v>
      </c>
      <c r="E1414" s="6">
        <v>538</v>
      </c>
    </row>
    <row r="1415" spans="1:5" x14ac:dyDescent="0.25">
      <c r="A1415" s="4" t="s">
        <v>7</v>
      </c>
      <c r="B1415" s="4" t="s">
        <v>3846</v>
      </c>
      <c r="C1415" s="1" t="s">
        <v>3847</v>
      </c>
      <c r="D1415" s="1" t="s">
        <v>3848</v>
      </c>
      <c r="E1415" s="6">
        <v>838</v>
      </c>
    </row>
    <row r="1416" spans="1:5" x14ac:dyDescent="0.25">
      <c r="A1416" s="4" t="s">
        <v>7</v>
      </c>
      <c r="B1416" s="4" t="s">
        <v>3849</v>
      </c>
      <c r="C1416" s="1" t="s">
        <v>3850</v>
      </c>
      <c r="D1416" s="1" t="s">
        <v>3851</v>
      </c>
      <c r="E1416" s="6">
        <v>712</v>
      </c>
    </row>
    <row r="1417" spans="1:5" x14ac:dyDescent="0.25">
      <c r="A1417" s="4" t="s">
        <v>7</v>
      </c>
      <c r="B1417" s="4" t="s">
        <v>3852</v>
      </c>
      <c r="C1417" s="1" t="s">
        <v>3853</v>
      </c>
      <c r="D1417" s="1" t="s">
        <v>3854</v>
      </c>
      <c r="E1417" s="6">
        <v>810</v>
      </c>
    </row>
    <row r="1418" spans="1:5" x14ac:dyDescent="0.25">
      <c r="A1418" s="4" t="s">
        <v>7</v>
      </c>
      <c r="B1418" s="4" t="s">
        <v>3855</v>
      </c>
      <c r="C1418" s="1" t="s">
        <v>3856</v>
      </c>
      <c r="D1418" s="1" t="s">
        <v>3857</v>
      </c>
      <c r="E1418" s="6">
        <v>569</v>
      </c>
    </row>
    <row r="1419" spans="1:5" x14ac:dyDescent="0.25">
      <c r="A1419" s="4" t="s">
        <v>7</v>
      </c>
      <c r="B1419" s="4" t="s">
        <v>3858</v>
      </c>
      <c r="C1419" s="1" t="s">
        <v>3859</v>
      </c>
      <c r="D1419" s="1" t="s">
        <v>3860</v>
      </c>
      <c r="E1419" s="6">
        <v>711</v>
      </c>
    </row>
    <row r="1420" spans="1:5" x14ac:dyDescent="0.25">
      <c r="A1420" s="4" t="s">
        <v>7</v>
      </c>
      <c r="B1420" s="4" t="s">
        <v>3861</v>
      </c>
      <c r="C1420" s="1" t="s">
        <v>3862</v>
      </c>
      <c r="D1420" s="1" t="s">
        <v>3863</v>
      </c>
      <c r="E1420" s="6">
        <v>870</v>
      </c>
    </row>
    <row r="1421" spans="1:5" x14ac:dyDescent="0.25">
      <c r="A1421" s="4" t="s">
        <v>7</v>
      </c>
      <c r="B1421" s="4" t="s">
        <v>3864</v>
      </c>
      <c r="C1421" s="1" t="s">
        <v>3865</v>
      </c>
      <c r="D1421" s="1" t="s">
        <v>3866</v>
      </c>
      <c r="E1421" s="6">
        <v>588</v>
      </c>
    </row>
    <row r="1422" spans="1:5" x14ac:dyDescent="0.25">
      <c r="A1422" s="4" t="s">
        <v>7</v>
      </c>
      <c r="B1422" s="4" t="s">
        <v>3867</v>
      </c>
      <c r="C1422" s="1" t="s">
        <v>3868</v>
      </c>
      <c r="D1422" s="1" t="s">
        <v>3869</v>
      </c>
      <c r="E1422" s="6">
        <v>711</v>
      </c>
    </row>
    <row r="1423" spans="1:5" x14ac:dyDescent="0.25">
      <c r="A1423" s="4" t="s">
        <v>7</v>
      </c>
      <c r="B1423" s="4" t="s">
        <v>3870</v>
      </c>
      <c r="C1423" s="1" t="s">
        <v>3871</v>
      </c>
      <c r="D1423" s="1" t="s">
        <v>3872</v>
      </c>
      <c r="E1423" s="6">
        <v>538</v>
      </c>
    </row>
    <row r="1424" spans="1:5" x14ac:dyDescent="0.25">
      <c r="A1424" s="4" t="s">
        <v>7</v>
      </c>
      <c r="B1424" s="4" t="s">
        <v>3873</v>
      </c>
      <c r="C1424" s="1" t="s">
        <v>3874</v>
      </c>
      <c r="D1424" s="1" t="s">
        <v>3875</v>
      </c>
      <c r="E1424" s="6">
        <v>1456</v>
      </c>
    </row>
    <row r="1425" spans="1:5" x14ac:dyDescent="0.25">
      <c r="A1425" s="4" t="s">
        <v>7</v>
      </c>
      <c r="B1425" s="4" t="s">
        <v>3876</v>
      </c>
      <c r="C1425" s="1" t="s">
        <v>3877</v>
      </c>
      <c r="D1425" s="1" t="s">
        <v>3878</v>
      </c>
      <c r="E1425" s="6">
        <v>2147</v>
      </c>
    </row>
    <row r="1426" spans="1:5" x14ac:dyDescent="0.25">
      <c r="A1426" s="4" t="s">
        <v>7</v>
      </c>
      <c r="B1426" s="4" t="s">
        <v>3879</v>
      </c>
      <c r="C1426" s="1" t="s">
        <v>3880</v>
      </c>
      <c r="D1426" s="1" t="s">
        <v>3881</v>
      </c>
      <c r="E1426" s="6">
        <v>2147</v>
      </c>
    </row>
    <row r="1427" spans="1:5" x14ac:dyDescent="0.25">
      <c r="A1427" s="4" t="s">
        <v>7</v>
      </c>
      <c r="B1427" s="4" t="s">
        <v>3882</v>
      </c>
      <c r="C1427" s="1" t="s">
        <v>3883</v>
      </c>
      <c r="D1427" s="1" t="s">
        <v>3884</v>
      </c>
      <c r="E1427" s="6">
        <v>1729</v>
      </c>
    </row>
    <row r="1428" spans="1:5" x14ac:dyDescent="0.25">
      <c r="A1428" s="4" t="s">
        <v>7</v>
      </c>
      <c r="B1428" s="4" t="s">
        <v>3885</v>
      </c>
      <c r="C1428" s="1" t="s">
        <v>3886</v>
      </c>
      <c r="D1428" s="1" t="s">
        <v>3887</v>
      </c>
      <c r="E1428" s="6">
        <v>2212</v>
      </c>
    </row>
    <row r="1429" spans="1:5" x14ac:dyDescent="0.25">
      <c r="A1429" s="4" t="s">
        <v>7</v>
      </c>
      <c r="B1429" s="4" t="s">
        <v>3888</v>
      </c>
      <c r="C1429" s="1" t="s">
        <v>3889</v>
      </c>
      <c r="D1429" s="1" t="s">
        <v>3890</v>
      </c>
      <c r="E1429" s="6">
        <v>943</v>
      </c>
    </row>
    <row r="1430" spans="1:5" x14ac:dyDescent="0.25">
      <c r="A1430" s="4" t="s">
        <v>7</v>
      </c>
      <c r="B1430" s="4" t="s">
        <v>3891</v>
      </c>
      <c r="C1430" s="1" t="s">
        <v>3892</v>
      </c>
      <c r="D1430" s="1" t="s">
        <v>3893</v>
      </c>
      <c r="E1430" s="6">
        <v>1706</v>
      </c>
    </row>
    <row r="1431" spans="1:5" x14ac:dyDescent="0.25">
      <c r="A1431" s="4" t="s">
        <v>7</v>
      </c>
      <c r="B1431" s="4" t="s">
        <v>3894</v>
      </c>
      <c r="C1431" s="1" t="s">
        <v>3895</v>
      </c>
      <c r="D1431" s="1" t="s">
        <v>3896</v>
      </c>
      <c r="E1431" s="6">
        <v>538</v>
      </c>
    </row>
    <row r="1432" spans="1:5" x14ac:dyDescent="0.25">
      <c r="A1432" s="4" t="s">
        <v>7</v>
      </c>
      <c r="B1432" s="4" t="s">
        <v>3897</v>
      </c>
      <c r="C1432" s="1" t="s">
        <v>3898</v>
      </c>
      <c r="D1432" s="1" t="s">
        <v>3899</v>
      </c>
      <c r="E1432" s="6">
        <v>711</v>
      </c>
    </row>
    <row r="1433" spans="1:5" x14ac:dyDescent="0.25">
      <c r="A1433" s="4" t="s">
        <v>7</v>
      </c>
      <c r="B1433" s="4" t="s">
        <v>3900</v>
      </c>
      <c r="C1433" s="1" t="s">
        <v>3901</v>
      </c>
      <c r="D1433" s="1" t="s">
        <v>3902</v>
      </c>
      <c r="E1433" s="6">
        <v>2067</v>
      </c>
    </row>
    <row r="1434" spans="1:5" x14ac:dyDescent="0.25">
      <c r="A1434" s="4" t="s">
        <v>7</v>
      </c>
      <c r="B1434" s="4" t="s">
        <v>3903</v>
      </c>
      <c r="C1434" s="1" t="s">
        <v>3904</v>
      </c>
      <c r="D1434" s="1" t="s">
        <v>3905</v>
      </c>
      <c r="E1434" s="6">
        <v>2679</v>
      </c>
    </row>
    <row r="1435" spans="1:5" x14ac:dyDescent="0.25">
      <c r="A1435" s="4" t="s">
        <v>7</v>
      </c>
      <c r="B1435" s="4" t="s">
        <v>3906</v>
      </c>
      <c r="C1435" s="1" t="s">
        <v>3907</v>
      </c>
      <c r="D1435" s="1" t="s">
        <v>3908</v>
      </c>
      <c r="E1435" s="6">
        <v>995</v>
      </c>
    </row>
    <row r="1436" spans="1:5" x14ac:dyDescent="0.25">
      <c r="A1436" s="4" t="s">
        <v>7</v>
      </c>
      <c r="B1436" s="4" t="s">
        <v>3909</v>
      </c>
      <c r="C1436" s="1" t="s">
        <v>3910</v>
      </c>
      <c r="D1436" s="1" t="s">
        <v>3911</v>
      </c>
      <c r="E1436" s="6">
        <v>1044</v>
      </c>
    </row>
    <row r="1437" spans="1:5" x14ac:dyDescent="0.25">
      <c r="A1437" s="4" t="s">
        <v>7</v>
      </c>
      <c r="B1437" s="4" t="s">
        <v>3912</v>
      </c>
      <c r="C1437" s="1" t="s">
        <v>3913</v>
      </c>
      <c r="D1437" s="1" t="s">
        <v>3914</v>
      </c>
      <c r="E1437" s="6">
        <v>704</v>
      </c>
    </row>
    <row r="1438" spans="1:5" x14ac:dyDescent="0.25">
      <c r="A1438" s="4" t="s">
        <v>7</v>
      </c>
      <c r="B1438" s="4" t="s">
        <v>3915</v>
      </c>
      <c r="C1438" s="1" t="s">
        <v>3916</v>
      </c>
      <c r="D1438" s="1" t="s">
        <v>3917</v>
      </c>
      <c r="E1438" s="6">
        <v>1066</v>
      </c>
    </row>
    <row r="1439" spans="1:5" x14ac:dyDescent="0.25">
      <c r="A1439" s="4" t="s">
        <v>7</v>
      </c>
      <c r="B1439" s="4" t="s">
        <v>3918</v>
      </c>
      <c r="C1439" s="1" t="s">
        <v>3919</v>
      </c>
      <c r="D1439" s="1" t="s">
        <v>3920</v>
      </c>
      <c r="E1439" s="6">
        <v>603</v>
      </c>
    </row>
    <row r="1440" spans="1:5" x14ac:dyDescent="0.25">
      <c r="A1440" s="4" t="s">
        <v>7</v>
      </c>
      <c r="B1440" s="4" t="s">
        <v>3921</v>
      </c>
      <c r="C1440" s="1" t="s">
        <v>3922</v>
      </c>
      <c r="D1440" s="1" t="s">
        <v>3923</v>
      </c>
      <c r="E1440" s="6">
        <v>711</v>
      </c>
    </row>
    <row r="1441" spans="1:5" x14ac:dyDescent="0.25">
      <c r="A1441" s="4" t="s">
        <v>7</v>
      </c>
      <c r="B1441" s="4" t="s">
        <v>3924</v>
      </c>
      <c r="C1441" s="1" t="s">
        <v>3925</v>
      </c>
      <c r="D1441" s="1" t="s">
        <v>3926</v>
      </c>
      <c r="E1441" s="6">
        <v>526</v>
      </c>
    </row>
    <row r="1442" spans="1:5" x14ac:dyDescent="0.25">
      <c r="A1442" s="4" t="s">
        <v>7</v>
      </c>
      <c r="B1442" s="4" t="s">
        <v>3927</v>
      </c>
      <c r="C1442" s="1" t="s">
        <v>3928</v>
      </c>
      <c r="D1442" s="1" t="s">
        <v>3929</v>
      </c>
      <c r="E1442" s="6">
        <v>1158</v>
      </c>
    </row>
    <row r="1443" spans="1:5" x14ac:dyDescent="0.25">
      <c r="A1443" s="4" t="s">
        <v>7</v>
      </c>
      <c r="B1443" s="4" t="s">
        <v>3930</v>
      </c>
      <c r="C1443" s="1" t="s">
        <v>3931</v>
      </c>
      <c r="D1443" s="1" t="s">
        <v>3931</v>
      </c>
      <c r="E1443" s="6">
        <v>410</v>
      </c>
    </row>
    <row r="1444" spans="1:5" x14ac:dyDescent="0.25">
      <c r="A1444" s="4" t="s">
        <v>7</v>
      </c>
      <c r="B1444" s="4" t="s">
        <v>3932</v>
      </c>
      <c r="C1444" s="1" t="s">
        <v>3933</v>
      </c>
      <c r="D1444" s="1" t="s">
        <v>3933</v>
      </c>
      <c r="E1444" s="6">
        <v>701</v>
      </c>
    </row>
    <row r="1445" spans="1:5" x14ac:dyDescent="0.25">
      <c r="A1445" s="4" t="s">
        <v>7</v>
      </c>
      <c r="B1445" s="4" t="s">
        <v>3934</v>
      </c>
      <c r="C1445" s="1" t="s">
        <v>3935</v>
      </c>
      <c r="D1445" s="1" t="s">
        <v>3936</v>
      </c>
      <c r="E1445" s="6">
        <v>928</v>
      </c>
    </row>
    <row r="1446" spans="1:5" x14ac:dyDescent="0.25">
      <c r="A1446" s="4" t="s">
        <v>7</v>
      </c>
      <c r="B1446" s="4" t="s">
        <v>3937</v>
      </c>
      <c r="C1446" s="1" t="s">
        <v>3938</v>
      </c>
      <c r="D1446" s="1" t="s">
        <v>3939</v>
      </c>
      <c r="E1446" s="6">
        <v>400</v>
      </c>
    </row>
    <row r="1447" spans="1:5" x14ac:dyDescent="0.25">
      <c r="A1447" s="4" t="s">
        <v>7</v>
      </c>
      <c r="B1447" s="4" t="s">
        <v>3940</v>
      </c>
      <c r="C1447" s="1" t="s">
        <v>3941</v>
      </c>
      <c r="D1447" s="1" t="s">
        <v>3942</v>
      </c>
      <c r="E1447" s="6">
        <v>1855</v>
      </c>
    </row>
    <row r="1448" spans="1:5" x14ac:dyDescent="0.25">
      <c r="A1448" s="4" t="s">
        <v>7</v>
      </c>
      <c r="B1448" s="4" t="s">
        <v>3943</v>
      </c>
      <c r="C1448" s="1" t="s">
        <v>3944</v>
      </c>
      <c r="D1448" s="1" t="s">
        <v>3945</v>
      </c>
      <c r="E1448" s="6">
        <v>1221</v>
      </c>
    </row>
    <row r="1449" spans="1:5" x14ac:dyDescent="0.25">
      <c r="A1449" s="4" t="s">
        <v>7</v>
      </c>
      <c r="B1449" s="4" t="s">
        <v>3946</v>
      </c>
      <c r="C1449" s="1" t="s">
        <v>3947</v>
      </c>
      <c r="D1449" s="1" t="s">
        <v>3948</v>
      </c>
      <c r="E1449" s="6">
        <v>622</v>
      </c>
    </row>
    <row r="1450" spans="1:5" x14ac:dyDescent="0.25">
      <c r="A1450" s="4" t="s">
        <v>7</v>
      </c>
      <c r="B1450" s="4" t="s">
        <v>3949</v>
      </c>
      <c r="C1450" s="1" t="s">
        <v>3950</v>
      </c>
      <c r="D1450" s="1" t="s">
        <v>3951</v>
      </c>
      <c r="E1450" s="6">
        <v>1184</v>
      </c>
    </row>
    <row r="1451" spans="1:5" x14ac:dyDescent="0.25">
      <c r="A1451" s="4" t="s">
        <v>7</v>
      </c>
      <c r="B1451" s="4" t="s">
        <v>3952</v>
      </c>
      <c r="C1451" s="1" t="s">
        <v>3953</v>
      </c>
      <c r="D1451" s="1" t="s">
        <v>3954</v>
      </c>
      <c r="E1451" s="6">
        <v>865</v>
      </c>
    </row>
    <row r="1452" spans="1:5" x14ac:dyDescent="0.25">
      <c r="A1452" s="4" t="s">
        <v>7</v>
      </c>
      <c r="B1452" s="4" t="s">
        <v>3955</v>
      </c>
      <c r="C1452" s="1" t="s">
        <v>3956</v>
      </c>
      <c r="D1452" s="1" t="s">
        <v>3957</v>
      </c>
      <c r="E1452" s="6">
        <v>1350</v>
      </c>
    </row>
    <row r="1453" spans="1:5" x14ac:dyDescent="0.25">
      <c r="A1453" s="4" t="s">
        <v>7</v>
      </c>
      <c r="B1453" s="4" t="s">
        <v>3958</v>
      </c>
      <c r="C1453" s="1" t="s">
        <v>3959</v>
      </c>
      <c r="D1453" s="1" t="s">
        <v>3960</v>
      </c>
      <c r="E1453" s="6">
        <v>593</v>
      </c>
    </row>
    <row r="1454" spans="1:5" x14ac:dyDescent="0.25">
      <c r="A1454" s="4" t="s">
        <v>7</v>
      </c>
      <c r="B1454" s="4" t="s">
        <v>3961</v>
      </c>
      <c r="C1454" s="1" t="s">
        <v>3962</v>
      </c>
      <c r="D1454" s="1" t="s">
        <v>3963</v>
      </c>
      <c r="E1454" s="6">
        <v>1199</v>
      </c>
    </row>
    <row r="1455" spans="1:5" x14ac:dyDescent="0.25">
      <c r="A1455" s="4" t="s">
        <v>7</v>
      </c>
      <c r="B1455" s="4" t="s">
        <v>3964</v>
      </c>
      <c r="C1455" s="1" t="s">
        <v>3965</v>
      </c>
      <c r="D1455" s="1" t="s">
        <v>3966</v>
      </c>
      <c r="E1455" s="6">
        <v>2587</v>
      </c>
    </row>
    <row r="1456" spans="1:5" x14ac:dyDescent="0.25">
      <c r="A1456" s="4" t="s">
        <v>7</v>
      </c>
      <c r="B1456" s="4" t="s">
        <v>3967</v>
      </c>
      <c r="C1456" s="1" t="s">
        <v>3968</v>
      </c>
      <c r="D1456" s="1" t="s">
        <v>3969</v>
      </c>
      <c r="E1456" s="6">
        <v>3208</v>
      </c>
    </row>
    <row r="1457" spans="1:5" x14ac:dyDescent="0.25">
      <c r="A1457" s="4" t="s">
        <v>7</v>
      </c>
      <c r="B1457" s="4" t="s">
        <v>3970</v>
      </c>
      <c r="C1457" s="1" t="s">
        <v>3971</v>
      </c>
      <c r="D1457" s="1" t="s">
        <v>3972</v>
      </c>
      <c r="E1457" s="6">
        <v>1605</v>
      </c>
    </row>
    <row r="1458" spans="1:5" x14ac:dyDescent="0.25">
      <c r="A1458" s="4" t="s">
        <v>7</v>
      </c>
      <c r="B1458" s="4" t="s">
        <v>3973</v>
      </c>
      <c r="C1458" s="1" t="s">
        <v>3974</v>
      </c>
      <c r="D1458" s="1" t="s">
        <v>3975</v>
      </c>
      <c r="E1458" s="6">
        <v>1631</v>
      </c>
    </row>
    <row r="1459" spans="1:5" x14ac:dyDescent="0.25">
      <c r="A1459" s="4" t="s">
        <v>7</v>
      </c>
      <c r="B1459" s="4" t="s">
        <v>3976</v>
      </c>
      <c r="C1459" s="1" t="s">
        <v>3977</v>
      </c>
      <c r="D1459" s="1" t="s">
        <v>3978</v>
      </c>
      <c r="E1459" s="6">
        <v>1861</v>
      </c>
    </row>
    <row r="1460" spans="1:5" x14ac:dyDescent="0.25">
      <c r="A1460" s="4" t="s">
        <v>7</v>
      </c>
      <c r="B1460" s="4" t="s">
        <v>3979</v>
      </c>
      <c r="C1460" s="1" t="s">
        <v>2998</v>
      </c>
      <c r="D1460" s="1" t="s">
        <v>2999</v>
      </c>
      <c r="E1460" s="6">
        <v>673</v>
      </c>
    </row>
    <row r="1461" spans="1:5" x14ac:dyDescent="0.25">
      <c r="A1461" s="4" t="s">
        <v>7</v>
      </c>
      <c r="B1461" s="4" t="s">
        <v>3980</v>
      </c>
      <c r="C1461" s="1" t="s">
        <v>3981</v>
      </c>
      <c r="D1461" s="1" t="s">
        <v>3982</v>
      </c>
      <c r="E1461" s="6">
        <v>593</v>
      </c>
    </row>
    <row r="1462" spans="1:5" x14ac:dyDescent="0.25">
      <c r="A1462" s="4" t="s">
        <v>7</v>
      </c>
      <c r="B1462" s="4" t="s">
        <v>3983</v>
      </c>
      <c r="C1462" s="1" t="s">
        <v>3984</v>
      </c>
      <c r="D1462" s="1" t="s">
        <v>3985</v>
      </c>
      <c r="E1462" s="6">
        <v>2362</v>
      </c>
    </row>
    <row r="1463" spans="1:5" x14ac:dyDescent="0.25">
      <c r="A1463" s="4" t="s">
        <v>7</v>
      </c>
      <c r="B1463" s="4" t="s">
        <v>3986</v>
      </c>
      <c r="C1463" s="1" t="s">
        <v>3183</v>
      </c>
      <c r="D1463" s="1" t="s">
        <v>3184</v>
      </c>
      <c r="E1463" s="6">
        <v>2334</v>
      </c>
    </row>
    <row r="1464" spans="1:5" x14ac:dyDescent="0.25">
      <c r="A1464" s="4" t="s">
        <v>7</v>
      </c>
      <c r="B1464" s="4" t="s">
        <v>3987</v>
      </c>
      <c r="C1464" s="1" t="s">
        <v>3192</v>
      </c>
      <c r="D1464" s="1" t="s">
        <v>3193</v>
      </c>
      <c r="E1464" s="6">
        <v>1187</v>
      </c>
    </row>
    <row r="1465" spans="1:5" x14ac:dyDescent="0.25">
      <c r="A1465" s="4" t="s">
        <v>7</v>
      </c>
      <c r="B1465" s="4" t="s">
        <v>3988</v>
      </c>
      <c r="C1465" s="1" t="s">
        <v>3198</v>
      </c>
      <c r="D1465" s="1" t="s">
        <v>3199</v>
      </c>
      <c r="E1465" s="6">
        <v>759</v>
      </c>
    </row>
    <row r="1466" spans="1:5" x14ac:dyDescent="0.25">
      <c r="A1466" s="4" t="s">
        <v>7</v>
      </c>
      <c r="B1466" s="4" t="s">
        <v>3989</v>
      </c>
      <c r="C1466" s="1" t="s">
        <v>3990</v>
      </c>
      <c r="D1466" s="1" t="s">
        <v>3991</v>
      </c>
      <c r="E1466" s="6">
        <v>2016</v>
      </c>
    </row>
    <row r="1467" spans="1:5" x14ac:dyDescent="0.25">
      <c r="A1467" s="4" t="s">
        <v>7</v>
      </c>
      <c r="B1467" s="4" t="s">
        <v>3992</v>
      </c>
      <c r="C1467" s="1" t="s">
        <v>3209</v>
      </c>
      <c r="D1467" s="1" t="s">
        <v>3210</v>
      </c>
      <c r="E1467" s="6">
        <v>881</v>
      </c>
    </row>
    <row r="1468" spans="1:5" x14ac:dyDescent="0.25">
      <c r="A1468" s="4" t="s">
        <v>7</v>
      </c>
      <c r="B1468" s="4" t="s">
        <v>3993</v>
      </c>
      <c r="C1468" s="1" t="s">
        <v>3277</v>
      </c>
      <c r="D1468" s="1" t="s">
        <v>3278</v>
      </c>
      <c r="E1468" s="6">
        <v>5383</v>
      </c>
    </row>
    <row r="1469" spans="1:5" x14ac:dyDescent="0.25">
      <c r="A1469" s="4" t="s">
        <v>7</v>
      </c>
      <c r="B1469" s="4" t="s">
        <v>3994</v>
      </c>
      <c r="C1469" s="1" t="s">
        <v>3282</v>
      </c>
      <c r="D1469" s="1" t="s">
        <v>3283</v>
      </c>
      <c r="E1469" s="6">
        <v>6589</v>
      </c>
    </row>
    <row r="1470" spans="1:5" x14ac:dyDescent="0.25">
      <c r="A1470" s="4" t="s">
        <v>7</v>
      </c>
      <c r="B1470" s="4" t="s">
        <v>3995</v>
      </c>
      <c r="C1470" s="1" t="s">
        <v>3287</v>
      </c>
      <c r="D1470" s="1" t="s">
        <v>3288</v>
      </c>
      <c r="E1470" s="6">
        <v>2646</v>
      </c>
    </row>
    <row r="1471" spans="1:5" x14ac:dyDescent="0.25">
      <c r="A1471" s="4" t="s">
        <v>7</v>
      </c>
      <c r="B1471" s="4" t="s">
        <v>3996</v>
      </c>
      <c r="C1471" s="1" t="s">
        <v>3317</v>
      </c>
      <c r="D1471" s="1" t="s">
        <v>3318</v>
      </c>
      <c r="E1471" s="6">
        <v>6526.5</v>
      </c>
    </row>
    <row r="1472" spans="1:5" x14ac:dyDescent="0.25">
      <c r="A1472" s="4" t="s">
        <v>7</v>
      </c>
      <c r="B1472" s="4" t="s">
        <v>3997</v>
      </c>
      <c r="C1472" s="1" t="s">
        <v>3998</v>
      </c>
      <c r="D1472" s="1" t="s">
        <v>3999</v>
      </c>
      <c r="E1472" s="6">
        <v>4060.43</v>
      </c>
    </row>
    <row r="1473" spans="1:5" x14ac:dyDescent="0.25">
      <c r="A1473" s="4" t="s">
        <v>7</v>
      </c>
      <c r="B1473" s="4" t="s">
        <v>4000</v>
      </c>
      <c r="C1473" s="1" t="s">
        <v>3465</v>
      </c>
      <c r="D1473" s="1" t="s">
        <v>3466</v>
      </c>
      <c r="E1473" s="6">
        <v>4454</v>
      </c>
    </row>
    <row r="1474" spans="1:5" x14ac:dyDescent="0.25">
      <c r="A1474" s="4" t="s">
        <v>7</v>
      </c>
      <c r="B1474" s="4" t="s">
        <v>4001</v>
      </c>
      <c r="C1474" s="1" t="s">
        <v>4002</v>
      </c>
      <c r="D1474" s="1" t="s">
        <v>4003</v>
      </c>
      <c r="E1474" s="6">
        <v>528</v>
      </c>
    </row>
    <row r="1475" spans="1:5" x14ac:dyDescent="0.25">
      <c r="A1475" s="4" t="s">
        <v>7</v>
      </c>
      <c r="B1475" s="4" t="s">
        <v>4004</v>
      </c>
      <c r="C1475" s="1" t="s">
        <v>2681</v>
      </c>
      <c r="D1475" s="1" t="s">
        <v>4005</v>
      </c>
      <c r="E1475" s="6">
        <v>521</v>
      </c>
    </row>
    <row r="1476" spans="1:5" x14ac:dyDescent="0.25">
      <c r="A1476" s="4" t="s">
        <v>7</v>
      </c>
      <c r="B1476" s="4" t="s">
        <v>4006</v>
      </c>
      <c r="C1476" s="1" t="s">
        <v>4007</v>
      </c>
      <c r="D1476" s="1" t="s">
        <v>4008</v>
      </c>
      <c r="E1476" s="6">
        <v>1126</v>
      </c>
    </row>
    <row r="1477" spans="1:5" x14ac:dyDescent="0.25">
      <c r="A1477" s="4" t="s">
        <v>7</v>
      </c>
      <c r="B1477" s="4" t="s">
        <v>4009</v>
      </c>
      <c r="C1477" s="1" t="s">
        <v>4010</v>
      </c>
      <c r="D1477" s="1" t="s">
        <v>4011</v>
      </c>
      <c r="E1477" s="6">
        <v>571</v>
      </c>
    </row>
    <row r="1478" spans="1:5" x14ac:dyDescent="0.25">
      <c r="A1478" s="4" t="s">
        <v>7</v>
      </c>
      <c r="B1478" s="4" t="s">
        <v>4012</v>
      </c>
      <c r="C1478" s="1" t="s">
        <v>4013</v>
      </c>
      <c r="D1478" s="1" t="s">
        <v>4014</v>
      </c>
      <c r="E1478" s="6">
        <v>4861</v>
      </c>
    </row>
    <row r="1479" spans="1:5" x14ac:dyDescent="0.25">
      <c r="A1479" s="4" t="s">
        <v>7</v>
      </c>
      <c r="B1479" s="4" t="s">
        <v>4015</v>
      </c>
      <c r="C1479" s="1" t="s">
        <v>4016</v>
      </c>
      <c r="D1479" s="1" t="s">
        <v>4017</v>
      </c>
      <c r="E1479" s="6">
        <v>394</v>
      </c>
    </row>
    <row r="1480" spans="1:5" x14ac:dyDescent="0.25">
      <c r="A1480" s="4" t="s">
        <v>7</v>
      </c>
      <c r="B1480" s="4" t="s">
        <v>4018</v>
      </c>
      <c r="C1480" s="1" t="s">
        <v>4019</v>
      </c>
      <c r="D1480" s="1" t="s">
        <v>4020</v>
      </c>
      <c r="E1480" s="6">
        <v>675</v>
      </c>
    </row>
    <row r="1481" spans="1:5" x14ac:dyDescent="0.25">
      <c r="A1481" s="4" t="s">
        <v>7</v>
      </c>
      <c r="B1481" s="4" t="s">
        <v>4021</v>
      </c>
      <c r="C1481" s="1" t="s">
        <v>4022</v>
      </c>
      <c r="D1481" s="1" t="s">
        <v>4023</v>
      </c>
      <c r="E1481" s="6">
        <v>837</v>
      </c>
    </row>
    <row r="1482" spans="1:5" x14ac:dyDescent="0.25">
      <c r="A1482" s="4" t="s">
        <v>7</v>
      </c>
      <c r="B1482" s="4" t="s">
        <v>4024</v>
      </c>
      <c r="C1482" s="1" t="s">
        <v>4025</v>
      </c>
      <c r="D1482" s="1" t="s">
        <v>4026</v>
      </c>
      <c r="E1482" s="6">
        <v>921</v>
      </c>
    </row>
    <row r="1483" spans="1:5" x14ac:dyDescent="0.25">
      <c r="A1483" s="4" t="s">
        <v>7</v>
      </c>
      <c r="B1483" s="4" t="s">
        <v>4027</v>
      </c>
      <c r="C1483" s="1" t="s">
        <v>4028</v>
      </c>
      <c r="D1483" s="1" t="s">
        <v>4029</v>
      </c>
      <c r="E1483" s="6">
        <v>567</v>
      </c>
    </row>
    <row r="1484" spans="1:5" x14ac:dyDescent="0.25">
      <c r="A1484" s="4" t="s">
        <v>7</v>
      </c>
      <c r="B1484" s="4" t="s">
        <v>4030</v>
      </c>
      <c r="C1484" s="1" t="s">
        <v>3634</v>
      </c>
      <c r="D1484" s="1" t="s">
        <v>4031</v>
      </c>
      <c r="E1484" s="6">
        <v>754</v>
      </c>
    </row>
    <row r="1485" spans="1:5" x14ac:dyDescent="0.25">
      <c r="A1485" s="4" t="s">
        <v>7</v>
      </c>
      <c r="B1485" s="4" t="s">
        <v>4032</v>
      </c>
      <c r="C1485" s="1" t="s">
        <v>4033</v>
      </c>
      <c r="D1485" s="1" t="s">
        <v>4034</v>
      </c>
      <c r="E1485" s="6">
        <v>3016.2</v>
      </c>
    </row>
    <row r="1486" spans="1:5" x14ac:dyDescent="0.25">
      <c r="A1486" s="4" t="s">
        <v>7</v>
      </c>
      <c r="B1486" s="4" t="s">
        <v>4035</v>
      </c>
      <c r="C1486" s="1" t="s">
        <v>4036</v>
      </c>
      <c r="D1486" s="1" t="s">
        <v>4037</v>
      </c>
      <c r="E1486" s="6">
        <v>1932.02</v>
      </c>
    </row>
    <row r="1487" spans="1:5" x14ac:dyDescent="0.25">
      <c r="A1487" s="4" t="s">
        <v>7</v>
      </c>
      <c r="B1487" s="4" t="s">
        <v>4038</v>
      </c>
      <c r="C1487" s="1" t="s">
        <v>3607</v>
      </c>
      <c r="D1487" s="1" t="s">
        <v>3608</v>
      </c>
      <c r="E1487" s="6">
        <v>5314.8</v>
      </c>
    </row>
    <row r="1488" spans="1:5" x14ac:dyDescent="0.25">
      <c r="A1488" s="4" t="s">
        <v>7</v>
      </c>
      <c r="B1488" s="4" t="s">
        <v>4039</v>
      </c>
      <c r="C1488" s="1" t="s">
        <v>4040</v>
      </c>
      <c r="D1488" s="1" t="s">
        <v>4041</v>
      </c>
      <c r="E1488" s="6">
        <v>2493</v>
      </c>
    </row>
    <row r="1489" spans="1:5" x14ac:dyDescent="0.25">
      <c r="A1489" s="4" t="s">
        <v>7</v>
      </c>
      <c r="B1489" s="4" t="s">
        <v>4042</v>
      </c>
      <c r="C1489" s="1" t="s">
        <v>2595</v>
      </c>
      <c r="D1489" s="1" t="s">
        <v>2596</v>
      </c>
      <c r="E1489" s="6">
        <v>4741.45</v>
      </c>
    </row>
    <row r="1490" spans="1:5" x14ac:dyDescent="0.25">
      <c r="A1490" s="4" t="s">
        <v>7</v>
      </c>
      <c r="B1490" s="4" t="s">
        <v>4043</v>
      </c>
      <c r="C1490" s="1" t="s">
        <v>2702</v>
      </c>
      <c r="D1490" s="1" t="s">
        <v>2703</v>
      </c>
      <c r="E1490" s="6">
        <v>39031</v>
      </c>
    </row>
    <row r="1491" spans="1:5" x14ac:dyDescent="0.25">
      <c r="A1491" s="4" t="s">
        <v>7</v>
      </c>
      <c r="B1491" s="4" t="s">
        <v>4044</v>
      </c>
      <c r="C1491" s="1" t="s">
        <v>2735</v>
      </c>
      <c r="D1491" s="1" t="s">
        <v>2736</v>
      </c>
      <c r="E1491" s="6">
        <v>2584</v>
      </c>
    </row>
    <row r="1492" spans="1:5" x14ac:dyDescent="0.25">
      <c r="A1492" s="4" t="s">
        <v>7</v>
      </c>
      <c r="B1492" s="4" t="s">
        <v>4045</v>
      </c>
      <c r="C1492" s="1" t="s">
        <v>3136</v>
      </c>
      <c r="D1492" s="1" t="s">
        <v>3137</v>
      </c>
      <c r="E1492" s="6">
        <v>2004</v>
      </c>
    </row>
    <row r="1493" spans="1:5" x14ac:dyDescent="0.25">
      <c r="A1493" s="4" t="s">
        <v>7</v>
      </c>
      <c r="B1493" s="4" t="s">
        <v>4046</v>
      </c>
      <c r="C1493" s="1" t="s">
        <v>3142</v>
      </c>
      <c r="D1493" s="1" t="s">
        <v>3143</v>
      </c>
      <c r="E1493" s="6">
        <v>4626</v>
      </c>
    </row>
    <row r="1494" spans="1:5" x14ac:dyDescent="0.25">
      <c r="A1494" s="4" t="s">
        <v>7</v>
      </c>
      <c r="B1494" s="4" t="s">
        <v>4047</v>
      </c>
      <c r="C1494" s="1" t="s">
        <v>3177</v>
      </c>
      <c r="D1494" s="1" t="s">
        <v>3178</v>
      </c>
      <c r="E1494" s="6">
        <v>1588</v>
      </c>
    </row>
    <row r="1495" spans="1:5" x14ac:dyDescent="0.25">
      <c r="A1495" s="4" t="s">
        <v>7</v>
      </c>
      <c r="B1495" s="4" t="s">
        <v>4048</v>
      </c>
      <c r="C1495" s="1" t="s">
        <v>3386</v>
      </c>
      <c r="D1495" s="1" t="s">
        <v>3387</v>
      </c>
      <c r="E1495" s="6">
        <v>28669</v>
      </c>
    </row>
    <row r="1496" spans="1:5" x14ac:dyDescent="0.25">
      <c r="A1496" s="4" t="s">
        <v>7</v>
      </c>
      <c r="B1496" s="4" t="s">
        <v>4049</v>
      </c>
      <c r="C1496" s="1" t="s">
        <v>3486</v>
      </c>
      <c r="D1496" s="1" t="s">
        <v>3487</v>
      </c>
      <c r="E1496" s="6">
        <v>22636</v>
      </c>
    </row>
    <row r="1497" spans="1:5" x14ac:dyDescent="0.25">
      <c r="A1497" s="4" t="s">
        <v>7</v>
      </c>
      <c r="B1497" s="4" t="s">
        <v>4050</v>
      </c>
      <c r="C1497" s="1" t="s">
        <v>2586</v>
      </c>
      <c r="D1497" s="1" t="s">
        <v>2587</v>
      </c>
      <c r="E1497" s="6">
        <v>15097</v>
      </c>
    </row>
    <row r="1498" spans="1:5" x14ac:dyDescent="0.25">
      <c r="A1498" s="4" t="s">
        <v>7</v>
      </c>
      <c r="B1498" s="4" t="s">
        <v>4051</v>
      </c>
      <c r="C1498" s="1" t="s">
        <v>4052</v>
      </c>
      <c r="D1498" s="1" t="s">
        <v>4053</v>
      </c>
      <c r="E1498" s="6">
        <v>1131</v>
      </c>
    </row>
    <row r="1499" spans="1:5" x14ac:dyDescent="0.25">
      <c r="A1499" s="4" t="s">
        <v>7</v>
      </c>
      <c r="B1499" s="4" t="s">
        <v>4054</v>
      </c>
      <c r="C1499" s="1" t="s">
        <v>4055</v>
      </c>
      <c r="D1499" s="1" t="s">
        <v>4056</v>
      </c>
      <c r="E1499" s="6">
        <v>2981</v>
      </c>
    </row>
    <row r="1500" spans="1:5" x14ac:dyDescent="0.25">
      <c r="A1500" s="4" t="s">
        <v>7</v>
      </c>
      <c r="B1500" s="4" t="s">
        <v>4057</v>
      </c>
      <c r="C1500" s="1" t="s">
        <v>3725</v>
      </c>
      <c r="D1500" s="1" t="s">
        <v>4058</v>
      </c>
      <c r="E1500" s="6">
        <v>1626</v>
      </c>
    </row>
    <row r="1501" spans="1:5" x14ac:dyDescent="0.25">
      <c r="A1501" s="4" t="s">
        <v>7</v>
      </c>
      <c r="B1501" s="4" t="s">
        <v>4059</v>
      </c>
      <c r="C1501" s="1" t="s">
        <v>3728</v>
      </c>
      <c r="D1501" s="1" t="s">
        <v>3729</v>
      </c>
      <c r="E1501" s="6">
        <v>899</v>
      </c>
    </row>
    <row r="1502" spans="1:5" x14ac:dyDescent="0.25">
      <c r="A1502" s="4" t="s">
        <v>7</v>
      </c>
      <c r="B1502" s="4" t="s">
        <v>4060</v>
      </c>
      <c r="C1502" s="1" t="s">
        <v>3731</v>
      </c>
      <c r="D1502" s="1" t="s">
        <v>3732</v>
      </c>
      <c r="E1502" s="6">
        <v>2038</v>
      </c>
    </row>
    <row r="1503" spans="1:5" x14ac:dyDescent="0.25">
      <c r="A1503" s="4" t="s">
        <v>7</v>
      </c>
      <c r="B1503" s="4" t="s">
        <v>4061</v>
      </c>
      <c r="C1503" s="1" t="s">
        <v>3734</v>
      </c>
      <c r="D1503" s="1" t="s">
        <v>3735</v>
      </c>
      <c r="E1503" s="6">
        <v>1980</v>
      </c>
    </row>
    <row r="1504" spans="1:5" x14ac:dyDescent="0.25">
      <c r="A1504" s="4" t="s">
        <v>7</v>
      </c>
      <c r="B1504" s="4" t="s">
        <v>4062</v>
      </c>
      <c r="C1504" s="1" t="s">
        <v>3737</v>
      </c>
      <c r="D1504" s="1" t="s">
        <v>3738</v>
      </c>
      <c r="E1504" s="6">
        <v>902</v>
      </c>
    </row>
    <row r="1505" spans="1:5" x14ac:dyDescent="0.25">
      <c r="A1505" s="4" t="s">
        <v>7</v>
      </c>
      <c r="B1505" s="4" t="s">
        <v>4063</v>
      </c>
      <c r="C1505" s="1" t="s">
        <v>4064</v>
      </c>
      <c r="D1505" s="1" t="s">
        <v>4065</v>
      </c>
      <c r="E1505" s="6">
        <v>2100</v>
      </c>
    </row>
    <row r="1506" spans="1:5" x14ac:dyDescent="0.25">
      <c r="A1506" s="4" t="s">
        <v>7</v>
      </c>
      <c r="B1506" s="4" t="s">
        <v>4066</v>
      </c>
      <c r="C1506" s="1" t="s">
        <v>4067</v>
      </c>
      <c r="D1506" s="1" t="s">
        <v>4068</v>
      </c>
      <c r="E1506" s="6">
        <v>6376</v>
      </c>
    </row>
    <row r="1507" spans="1:5" x14ac:dyDescent="0.25">
      <c r="A1507" s="4" t="s">
        <v>7</v>
      </c>
      <c r="B1507" s="4" t="s">
        <v>4069</v>
      </c>
      <c r="C1507" s="1" t="s">
        <v>4070</v>
      </c>
      <c r="D1507" s="1" t="s">
        <v>4071</v>
      </c>
      <c r="E1507" s="6">
        <v>8121</v>
      </c>
    </row>
    <row r="1508" spans="1:5" x14ac:dyDescent="0.25">
      <c r="A1508" s="4" t="s">
        <v>7</v>
      </c>
      <c r="B1508" s="4" t="s">
        <v>4072</v>
      </c>
      <c r="C1508" s="1" t="s">
        <v>4073</v>
      </c>
      <c r="D1508" s="1" t="s">
        <v>4074</v>
      </c>
      <c r="E1508" s="6">
        <v>1190</v>
      </c>
    </row>
    <row r="1509" spans="1:5" x14ac:dyDescent="0.25">
      <c r="A1509" s="4" t="s">
        <v>7</v>
      </c>
      <c r="B1509" s="4" t="s">
        <v>4075</v>
      </c>
      <c r="C1509" s="1" t="s">
        <v>4076</v>
      </c>
      <c r="D1509" s="1" t="s">
        <v>4077</v>
      </c>
      <c r="E1509" s="6">
        <v>1625</v>
      </c>
    </row>
    <row r="1510" spans="1:5" x14ac:dyDescent="0.25">
      <c r="A1510" s="4" t="s">
        <v>7</v>
      </c>
      <c r="B1510" s="4" t="s">
        <v>4078</v>
      </c>
      <c r="C1510" s="1" t="s">
        <v>4079</v>
      </c>
      <c r="D1510" s="1" t="s">
        <v>4080</v>
      </c>
      <c r="E1510" s="6">
        <v>672</v>
      </c>
    </row>
    <row r="1511" spans="1:5" x14ac:dyDescent="0.25">
      <c r="A1511" s="4" t="s">
        <v>7</v>
      </c>
      <c r="B1511" s="4" t="s">
        <v>4081</v>
      </c>
      <c r="C1511" s="1" t="s">
        <v>4082</v>
      </c>
      <c r="D1511" s="1" t="s">
        <v>4083</v>
      </c>
      <c r="E1511" s="6">
        <v>420</v>
      </c>
    </row>
    <row r="1512" spans="1:5" x14ac:dyDescent="0.25">
      <c r="A1512" s="4" t="s">
        <v>7</v>
      </c>
      <c r="B1512" s="4" t="s">
        <v>4084</v>
      </c>
      <c r="C1512" s="1" t="s">
        <v>3740</v>
      </c>
      <c r="D1512" s="1" t="s">
        <v>3741</v>
      </c>
      <c r="E1512" s="6">
        <v>423</v>
      </c>
    </row>
    <row r="1513" spans="1:5" x14ac:dyDescent="0.25">
      <c r="A1513" s="4" t="s">
        <v>7</v>
      </c>
      <c r="B1513" s="4" t="s">
        <v>4085</v>
      </c>
      <c r="C1513" s="1" t="s">
        <v>4086</v>
      </c>
      <c r="D1513" s="1" t="s">
        <v>4087</v>
      </c>
      <c r="E1513" s="6">
        <v>7113</v>
      </c>
    </row>
    <row r="1514" spans="1:5" x14ac:dyDescent="0.25">
      <c r="A1514" s="4" t="s">
        <v>7</v>
      </c>
      <c r="B1514" s="4" t="s">
        <v>4088</v>
      </c>
      <c r="C1514" s="1" t="s">
        <v>4089</v>
      </c>
      <c r="D1514" s="1" t="s">
        <v>4080</v>
      </c>
      <c r="E1514" s="6">
        <v>840</v>
      </c>
    </row>
    <row r="1515" spans="1:5" x14ac:dyDescent="0.25">
      <c r="A1515" s="4" t="s">
        <v>7</v>
      </c>
      <c r="B1515" s="4" t="s">
        <v>4090</v>
      </c>
      <c r="C1515" s="1" t="s">
        <v>4091</v>
      </c>
      <c r="D1515" s="1" t="s">
        <v>4092</v>
      </c>
      <c r="E1515" s="6">
        <v>3260</v>
      </c>
    </row>
    <row r="1516" spans="1:5" x14ac:dyDescent="0.25">
      <c r="A1516" s="4" t="s">
        <v>7</v>
      </c>
      <c r="B1516" s="4" t="s">
        <v>4093</v>
      </c>
      <c r="C1516" s="1" t="s">
        <v>4094</v>
      </c>
      <c r="D1516" s="1" t="s">
        <v>4095</v>
      </c>
      <c r="E1516" s="6">
        <v>3089</v>
      </c>
    </row>
    <row r="1517" spans="1:5" x14ac:dyDescent="0.25">
      <c r="A1517" s="4" t="s">
        <v>7</v>
      </c>
      <c r="B1517" s="4" t="s">
        <v>4096</v>
      </c>
      <c r="C1517" s="1" t="s">
        <v>3743</v>
      </c>
      <c r="D1517" s="1" t="s">
        <v>3744</v>
      </c>
      <c r="E1517" s="6">
        <v>506</v>
      </c>
    </row>
    <row r="1518" spans="1:5" x14ac:dyDescent="0.25">
      <c r="A1518" s="4" t="s">
        <v>7</v>
      </c>
      <c r="B1518" s="4" t="s">
        <v>4097</v>
      </c>
      <c r="C1518" s="1" t="s">
        <v>4098</v>
      </c>
      <c r="D1518" s="1" t="s">
        <v>4099</v>
      </c>
      <c r="E1518" s="6">
        <v>2965</v>
      </c>
    </row>
    <row r="1519" spans="1:5" x14ac:dyDescent="0.25">
      <c r="A1519" s="4" t="s">
        <v>7</v>
      </c>
      <c r="B1519" s="4" t="s">
        <v>4100</v>
      </c>
      <c r="C1519" s="1" t="s">
        <v>4101</v>
      </c>
      <c r="D1519" s="1" t="s">
        <v>4102</v>
      </c>
      <c r="E1519" s="6">
        <v>3200</v>
      </c>
    </row>
    <row r="1520" spans="1:5" x14ac:dyDescent="0.25">
      <c r="A1520" s="4" t="s">
        <v>7</v>
      </c>
      <c r="B1520" s="4" t="s">
        <v>4103</v>
      </c>
      <c r="C1520" s="1" t="s">
        <v>4104</v>
      </c>
      <c r="D1520" s="1" t="s">
        <v>4105</v>
      </c>
      <c r="E1520" s="6">
        <v>3500</v>
      </c>
    </row>
    <row r="1521" spans="1:5" x14ac:dyDescent="0.25">
      <c r="A1521" s="4" t="s">
        <v>7</v>
      </c>
      <c r="B1521" s="4" t="s">
        <v>4106</v>
      </c>
      <c r="C1521" s="1" t="s">
        <v>4107</v>
      </c>
      <c r="D1521" s="1" t="s">
        <v>4108</v>
      </c>
      <c r="E1521" s="6">
        <v>4084</v>
      </c>
    </row>
    <row r="1522" spans="1:5" x14ac:dyDescent="0.25">
      <c r="A1522" s="4" t="s">
        <v>7</v>
      </c>
      <c r="B1522" s="4" t="s">
        <v>4109</v>
      </c>
      <c r="C1522" s="1" t="s">
        <v>3746</v>
      </c>
      <c r="D1522" s="1" t="s">
        <v>3746</v>
      </c>
      <c r="E1522" s="6">
        <v>1310</v>
      </c>
    </row>
    <row r="1523" spans="1:5" x14ac:dyDescent="0.25">
      <c r="A1523" s="4" t="s">
        <v>7</v>
      </c>
      <c r="B1523" s="4" t="s">
        <v>4110</v>
      </c>
      <c r="C1523" s="1" t="s">
        <v>4111</v>
      </c>
      <c r="D1523" s="1" t="s">
        <v>4112</v>
      </c>
      <c r="E1523" s="6">
        <v>1783</v>
      </c>
    </row>
    <row r="1524" spans="1:5" x14ac:dyDescent="0.25">
      <c r="A1524" s="4" t="s">
        <v>7</v>
      </c>
      <c r="B1524" s="4" t="s">
        <v>4113</v>
      </c>
      <c r="C1524" s="1" t="s">
        <v>4114</v>
      </c>
      <c r="D1524" s="1" t="s">
        <v>4115</v>
      </c>
      <c r="E1524" s="6">
        <v>1335</v>
      </c>
    </row>
    <row r="1525" spans="1:5" x14ac:dyDescent="0.25">
      <c r="A1525" s="4" t="s">
        <v>7</v>
      </c>
      <c r="B1525" s="4" t="s">
        <v>4116</v>
      </c>
      <c r="C1525" s="1" t="s">
        <v>3748</v>
      </c>
      <c r="D1525" s="1" t="s">
        <v>3749</v>
      </c>
      <c r="E1525" s="6">
        <v>1516</v>
      </c>
    </row>
    <row r="1526" spans="1:5" x14ac:dyDescent="0.25">
      <c r="A1526" s="4" t="s">
        <v>7</v>
      </c>
      <c r="B1526" s="4" t="s">
        <v>4117</v>
      </c>
      <c r="C1526" s="1" t="s">
        <v>4118</v>
      </c>
      <c r="D1526" s="1" t="s">
        <v>4119</v>
      </c>
      <c r="E1526" s="6">
        <v>764.42</v>
      </c>
    </row>
    <row r="1527" spans="1:5" x14ac:dyDescent="0.25">
      <c r="A1527" s="4" t="s">
        <v>7</v>
      </c>
      <c r="B1527" s="4" t="s">
        <v>4120</v>
      </c>
      <c r="C1527" s="1" t="s">
        <v>4121</v>
      </c>
      <c r="D1527" s="1" t="s">
        <v>4122</v>
      </c>
      <c r="E1527" s="6">
        <v>3137</v>
      </c>
    </row>
    <row r="1528" spans="1:5" x14ac:dyDescent="0.25">
      <c r="A1528" s="4" t="s">
        <v>7</v>
      </c>
      <c r="B1528" s="4" t="s">
        <v>4123</v>
      </c>
      <c r="C1528" s="1" t="s">
        <v>4124</v>
      </c>
      <c r="D1528" s="1" t="s">
        <v>4125</v>
      </c>
      <c r="E1528" s="6">
        <v>3182</v>
      </c>
    </row>
    <row r="1529" spans="1:5" x14ac:dyDescent="0.25">
      <c r="A1529" s="4" t="s">
        <v>7</v>
      </c>
      <c r="B1529" s="4" t="s">
        <v>4126</v>
      </c>
      <c r="C1529" s="1" t="s">
        <v>4127</v>
      </c>
      <c r="D1529" s="1" t="s">
        <v>4128</v>
      </c>
      <c r="E1529" s="6">
        <v>8819</v>
      </c>
    </row>
    <row r="1530" spans="1:5" x14ac:dyDescent="0.25">
      <c r="A1530" s="4" t="s">
        <v>7</v>
      </c>
      <c r="B1530" s="4" t="s">
        <v>4129</v>
      </c>
      <c r="C1530" s="1" t="s">
        <v>4130</v>
      </c>
      <c r="D1530" s="1" t="s">
        <v>4131</v>
      </c>
      <c r="E1530" s="6">
        <v>10128</v>
      </c>
    </row>
    <row r="1531" spans="1:5" x14ac:dyDescent="0.25">
      <c r="A1531" s="4" t="s">
        <v>7</v>
      </c>
      <c r="B1531" s="4" t="s">
        <v>4132</v>
      </c>
      <c r="C1531" s="1" t="s">
        <v>4133</v>
      </c>
      <c r="D1531" s="1" t="s">
        <v>4134</v>
      </c>
      <c r="E1531" s="6">
        <v>1675</v>
      </c>
    </row>
    <row r="1532" spans="1:5" x14ac:dyDescent="0.25">
      <c r="A1532" s="4" t="s">
        <v>7</v>
      </c>
      <c r="B1532" s="4" t="s">
        <v>4135</v>
      </c>
      <c r="C1532" s="1" t="s">
        <v>4136</v>
      </c>
      <c r="D1532" s="1" t="s">
        <v>4137</v>
      </c>
      <c r="E1532" s="6">
        <v>2854</v>
      </c>
    </row>
    <row r="1533" spans="1:5" x14ac:dyDescent="0.25">
      <c r="A1533" s="4" t="s">
        <v>7</v>
      </c>
      <c r="B1533" s="4" t="s">
        <v>4138</v>
      </c>
      <c r="C1533" s="1" t="s">
        <v>4139</v>
      </c>
      <c r="D1533" s="1" t="s">
        <v>4140</v>
      </c>
      <c r="E1533" s="6">
        <v>3986</v>
      </c>
    </row>
    <row r="1534" spans="1:5" x14ac:dyDescent="0.25">
      <c r="A1534" s="4" t="s">
        <v>7</v>
      </c>
      <c r="B1534" s="4" t="s">
        <v>4141</v>
      </c>
      <c r="C1534" s="1" t="s">
        <v>4142</v>
      </c>
      <c r="D1534" s="1" t="s">
        <v>4143</v>
      </c>
      <c r="E1534" s="6">
        <v>3672</v>
      </c>
    </row>
    <row r="1535" spans="1:5" x14ac:dyDescent="0.25">
      <c r="A1535" s="4" t="s">
        <v>7</v>
      </c>
      <c r="B1535" s="4" t="s">
        <v>4144</v>
      </c>
      <c r="C1535" s="1" t="s">
        <v>4145</v>
      </c>
      <c r="D1535" s="1" t="s">
        <v>4146</v>
      </c>
      <c r="E1535" s="6">
        <v>3821</v>
      </c>
    </row>
    <row r="1536" spans="1:5" x14ac:dyDescent="0.25">
      <c r="A1536" s="4" t="s">
        <v>7</v>
      </c>
      <c r="B1536" s="4" t="s">
        <v>4147</v>
      </c>
      <c r="C1536" s="1" t="s">
        <v>4148</v>
      </c>
      <c r="D1536" s="1" t="s">
        <v>4149</v>
      </c>
      <c r="E1536" s="6">
        <v>1212</v>
      </c>
    </row>
    <row r="1537" spans="1:5" x14ac:dyDescent="0.25">
      <c r="A1537" s="4" t="s">
        <v>7</v>
      </c>
      <c r="B1537" s="4" t="s">
        <v>4150</v>
      </c>
      <c r="C1537" s="1" t="s">
        <v>4151</v>
      </c>
      <c r="D1537" s="1" t="s">
        <v>4149</v>
      </c>
      <c r="E1537" s="6">
        <v>9656</v>
      </c>
    </row>
    <row r="1538" spans="1:5" x14ac:dyDescent="0.25">
      <c r="A1538" s="4" t="s">
        <v>7</v>
      </c>
      <c r="B1538" s="4" t="s">
        <v>4152</v>
      </c>
      <c r="C1538" s="1" t="s">
        <v>4153</v>
      </c>
      <c r="D1538" s="1" t="s">
        <v>4154</v>
      </c>
      <c r="E1538" s="6">
        <v>3487</v>
      </c>
    </row>
    <row r="1539" spans="1:5" x14ac:dyDescent="0.25">
      <c r="A1539" s="4" t="s">
        <v>7</v>
      </c>
      <c r="B1539" s="4" t="s">
        <v>4155</v>
      </c>
      <c r="C1539" s="1" t="s">
        <v>4156</v>
      </c>
      <c r="D1539" s="1" t="s">
        <v>4157</v>
      </c>
      <c r="E1539" s="6">
        <v>4000</v>
      </c>
    </row>
    <row r="1540" spans="1:5" x14ac:dyDescent="0.25">
      <c r="A1540" s="4" t="s">
        <v>7</v>
      </c>
      <c r="B1540" s="4" t="s">
        <v>4158</v>
      </c>
      <c r="C1540" s="1" t="s">
        <v>4159</v>
      </c>
      <c r="D1540" s="1" t="s">
        <v>4160</v>
      </c>
      <c r="E1540" s="6">
        <v>3798</v>
      </c>
    </row>
    <row r="1541" spans="1:5" x14ac:dyDescent="0.25">
      <c r="A1541" s="4" t="s">
        <v>7</v>
      </c>
      <c r="B1541" s="4" t="s">
        <v>4161</v>
      </c>
      <c r="C1541" s="1" t="s">
        <v>4162</v>
      </c>
      <c r="D1541" s="1" t="s">
        <v>4163</v>
      </c>
      <c r="E1541" s="6">
        <v>2318</v>
      </c>
    </row>
    <row r="1542" spans="1:5" x14ac:dyDescent="0.25">
      <c r="A1542" s="4" t="s">
        <v>7</v>
      </c>
      <c r="B1542" s="4" t="s">
        <v>4164</v>
      </c>
      <c r="C1542" s="1" t="s">
        <v>4165</v>
      </c>
      <c r="D1542" s="1" t="s">
        <v>4166</v>
      </c>
      <c r="E1542" s="6">
        <v>3371</v>
      </c>
    </row>
    <row r="1543" spans="1:5" x14ac:dyDescent="0.25">
      <c r="A1543" s="4" t="s">
        <v>7</v>
      </c>
      <c r="B1543" s="4" t="s">
        <v>4167</v>
      </c>
      <c r="C1543" s="1" t="s">
        <v>4168</v>
      </c>
      <c r="D1543" s="1" t="s">
        <v>4169</v>
      </c>
      <c r="E1543" s="6">
        <v>3683</v>
      </c>
    </row>
    <row r="1544" spans="1:5" x14ac:dyDescent="0.25">
      <c r="A1544" s="4" t="s">
        <v>7</v>
      </c>
      <c r="B1544" s="4" t="s">
        <v>4170</v>
      </c>
      <c r="C1544" s="1" t="s">
        <v>4171</v>
      </c>
      <c r="D1544" s="1" t="s">
        <v>4172</v>
      </c>
      <c r="E1544" s="6">
        <v>3474</v>
      </c>
    </row>
    <row r="1545" spans="1:5" x14ac:dyDescent="0.25">
      <c r="A1545" s="4" t="s">
        <v>7</v>
      </c>
      <c r="B1545" s="4" t="s">
        <v>4173</v>
      </c>
      <c r="C1545" s="1" t="s">
        <v>4174</v>
      </c>
      <c r="D1545" s="1" t="s">
        <v>4175</v>
      </c>
      <c r="E1545" s="6">
        <v>5148</v>
      </c>
    </row>
    <row r="1546" spans="1:5" x14ac:dyDescent="0.25">
      <c r="A1546" s="4" t="s">
        <v>7</v>
      </c>
      <c r="B1546" s="4" t="s">
        <v>4176</v>
      </c>
      <c r="C1546" s="1" t="s">
        <v>4177</v>
      </c>
      <c r="D1546" s="1" t="s">
        <v>4178</v>
      </c>
      <c r="E1546" s="6">
        <v>9370</v>
      </c>
    </row>
    <row r="1547" spans="1:5" x14ac:dyDescent="0.25">
      <c r="A1547" s="4" t="s">
        <v>7</v>
      </c>
      <c r="B1547" s="4" t="s">
        <v>4179</v>
      </c>
      <c r="C1547" s="1" t="s">
        <v>4180</v>
      </c>
      <c r="D1547" s="1" t="s">
        <v>4181</v>
      </c>
      <c r="E1547" s="6">
        <v>4541</v>
      </c>
    </row>
    <row r="1548" spans="1:5" x14ac:dyDescent="0.25">
      <c r="A1548" s="4" t="s">
        <v>7</v>
      </c>
      <c r="B1548" s="4" t="s">
        <v>4182</v>
      </c>
      <c r="C1548" s="1" t="s">
        <v>4183</v>
      </c>
      <c r="D1548" s="1" t="s">
        <v>4184</v>
      </c>
      <c r="E1548" s="6">
        <v>3110</v>
      </c>
    </row>
    <row r="1549" spans="1:5" x14ac:dyDescent="0.25">
      <c r="A1549" s="4" t="s">
        <v>7</v>
      </c>
      <c r="B1549" s="4" t="s">
        <v>4185</v>
      </c>
      <c r="C1549" s="1" t="s">
        <v>4186</v>
      </c>
      <c r="D1549" s="1" t="s">
        <v>4187</v>
      </c>
      <c r="E1549" s="6">
        <v>3937</v>
      </c>
    </row>
    <row r="1550" spans="1:5" x14ac:dyDescent="0.25">
      <c r="A1550" s="4" t="s">
        <v>7</v>
      </c>
      <c r="B1550" s="4" t="s">
        <v>4188</v>
      </c>
      <c r="C1550" s="1" t="s">
        <v>4189</v>
      </c>
      <c r="D1550" s="1" t="s">
        <v>4190</v>
      </c>
      <c r="E1550" s="6">
        <v>3971</v>
      </c>
    </row>
    <row r="1551" spans="1:5" x14ac:dyDescent="0.25">
      <c r="A1551" s="4" t="s">
        <v>7</v>
      </c>
      <c r="B1551" s="4" t="s">
        <v>4191</v>
      </c>
      <c r="C1551" s="1" t="s">
        <v>4192</v>
      </c>
      <c r="D1551" s="1" t="s">
        <v>4160</v>
      </c>
      <c r="E1551" s="6">
        <v>1831</v>
      </c>
    </row>
    <row r="1552" spans="1:5" x14ac:dyDescent="0.25">
      <c r="A1552" s="4" t="s">
        <v>7</v>
      </c>
      <c r="B1552" s="4" t="s">
        <v>4193</v>
      </c>
      <c r="C1552" s="1" t="s">
        <v>4194</v>
      </c>
      <c r="D1552" s="1" t="s">
        <v>4194</v>
      </c>
      <c r="E1552" s="6">
        <v>1528</v>
      </c>
    </row>
    <row r="1553" spans="1:5" x14ac:dyDescent="0.25">
      <c r="A1553" s="4" t="s">
        <v>7</v>
      </c>
      <c r="B1553" s="4" t="s">
        <v>4195</v>
      </c>
      <c r="C1553" s="1" t="s">
        <v>4196</v>
      </c>
      <c r="D1553" s="1" t="s">
        <v>4196</v>
      </c>
      <c r="E1553" s="6">
        <v>7704</v>
      </c>
    </row>
    <row r="1554" spans="1:5" x14ac:dyDescent="0.25">
      <c r="A1554" s="4" t="s">
        <v>7</v>
      </c>
      <c r="B1554" s="4" t="s">
        <v>4197</v>
      </c>
      <c r="C1554" s="1" t="s">
        <v>3753</v>
      </c>
      <c r="D1554" s="1" t="s">
        <v>3753</v>
      </c>
      <c r="E1554" s="6">
        <v>536</v>
      </c>
    </row>
    <row r="1555" spans="1:5" x14ac:dyDescent="0.25">
      <c r="A1555" s="4" t="s">
        <v>7</v>
      </c>
      <c r="B1555" s="4" t="s">
        <v>4198</v>
      </c>
      <c r="C1555" s="1" t="s">
        <v>3755</v>
      </c>
      <c r="D1555" s="1" t="s">
        <v>3755</v>
      </c>
      <c r="E1555" s="6">
        <v>670</v>
      </c>
    </row>
    <row r="1556" spans="1:5" x14ac:dyDescent="0.25">
      <c r="A1556" s="4" t="s">
        <v>7</v>
      </c>
      <c r="B1556" s="4" t="s">
        <v>4199</v>
      </c>
      <c r="C1556" s="1" t="s">
        <v>4200</v>
      </c>
      <c r="D1556" s="1" t="s">
        <v>4201</v>
      </c>
      <c r="E1556" s="6">
        <v>3051</v>
      </c>
    </row>
    <row r="1557" spans="1:5" x14ac:dyDescent="0.25">
      <c r="A1557" s="4" t="s">
        <v>7</v>
      </c>
      <c r="B1557" s="4" t="s">
        <v>4202</v>
      </c>
      <c r="C1557" s="1" t="s">
        <v>3757</v>
      </c>
      <c r="D1557" s="1" t="s">
        <v>3758</v>
      </c>
      <c r="E1557" s="6">
        <v>1482</v>
      </c>
    </row>
    <row r="1558" spans="1:5" x14ac:dyDescent="0.25">
      <c r="A1558" s="4" t="s">
        <v>7</v>
      </c>
      <c r="B1558" s="4" t="s">
        <v>4203</v>
      </c>
      <c r="C1558" s="1" t="s">
        <v>3760</v>
      </c>
      <c r="D1558" s="1" t="s">
        <v>3761</v>
      </c>
      <c r="E1558" s="6">
        <v>1801</v>
      </c>
    </row>
    <row r="1559" spans="1:5" x14ac:dyDescent="0.25">
      <c r="A1559" s="4" t="s">
        <v>7</v>
      </c>
      <c r="B1559" s="4" t="s">
        <v>4204</v>
      </c>
      <c r="C1559" s="1" t="s">
        <v>3763</v>
      </c>
      <c r="D1559" s="1" t="s">
        <v>3764</v>
      </c>
      <c r="E1559" s="6">
        <v>1271</v>
      </c>
    </row>
    <row r="1560" spans="1:5" x14ac:dyDescent="0.25">
      <c r="A1560" s="4" t="s">
        <v>7</v>
      </c>
      <c r="B1560" s="4" t="s">
        <v>4205</v>
      </c>
      <c r="C1560" s="1" t="s">
        <v>3769</v>
      </c>
      <c r="D1560" s="1" t="s">
        <v>3770</v>
      </c>
      <c r="E1560" s="6">
        <v>763</v>
      </c>
    </row>
    <row r="1561" spans="1:5" x14ac:dyDescent="0.25">
      <c r="A1561" s="4" t="s">
        <v>7</v>
      </c>
      <c r="B1561" s="4" t="s">
        <v>4206</v>
      </c>
      <c r="C1561" s="1" t="s">
        <v>4207</v>
      </c>
      <c r="D1561" s="1" t="s">
        <v>4208</v>
      </c>
      <c r="E1561" s="6">
        <v>919</v>
      </c>
    </row>
    <row r="1562" spans="1:5" x14ac:dyDescent="0.25">
      <c r="A1562" s="4" t="s">
        <v>7</v>
      </c>
      <c r="B1562" s="4" t="s">
        <v>4209</v>
      </c>
      <c r="C1562" s="1" t="s">
        <v>4210</v>
      </c>
      <c r="D1562" s="1" t="s">
        <v>4211</v>
      </c>
      <c r="E1562" s="6">
        <v>7602</v>
      </c>
    </row>
    <row r="1563" spans="1:5" x14ac:dyDescent="0.25">
      <c r="A1563" s="4" t="s">
        <v>7</v>
      </c>
      <c r="B1563" s="4" t="s">
        <v>4212</v>
      </c>
      <c r="C1563" s="1" t="s">
        <v>4213</v>
      </c>
      <c r="D1563" s="1" t="s">
        <v>4214</v>
      </c>
      <c r="E1563" s="6">
        <v>1171</v>
      </c>
    </row>
    <row r="1564" spans="1:5" x14ac:dyDescent="0.25">
      <c r="A1564" s="4" t="s">
        <v>7</v>
      </c>
      <c r="B1564" s="4" t="s">
        <v>4215</v>
      </c>
      <c r="C1564" s="1" t="s">
        <v>4216</v>
      </c>
      <c r="D1564" s="1" t="s">
        <v>4217</v>
      </c>
      <c r="E1564" s="6">
        <v>1718</v>
      </c>
    </row>
    <row r="1565" spans="1:5" x14ac:dyDescent="0.25">
      <c r="A1565" s="4" t="s">
        <v>7</v>
      </c>
      <c r="B1565" s="4" t="s">
        <v>4218</v>
      </c>
      <c r="C1565" s="1" t="s">
        <v>3772</v>
      </c>
      <c r="D1565" s="1" t="s">
        <v>3773</v>
      </c>
      <c r="E1565" s="6">
        <v>865</v>
      </c>
    </row>
    <row r="1566" spans="1:5" x14ac:dyDescent="0.25">
      <c r="A1566" s="4" t="s">
        <v>7</v>
      </c>
      <c r="B1566" s="4" t="s">
        <v>4219</v>
      </c>
      <c r="C1566" s="1" t="s">
        <v>3775</v>
      </c>
      <c r="D1566" s="1" t="s">
        <v>4220</v>
      </c>
      <c r="E1566" s="6">
        <v>916</v>
      </c>
    </row>
    <row r="1567" spans="1:5" x14ac:dyDescent="0.25">
      <c r="A1567" s="4" t="s">
        <v>7</v>
      </c>
      <c r="B1567" s="4" t="s">
        <v>4221</v>
      </c>
      <c r="C1567" s="1" t="s">
        <v>3778</v>
      </c>
      <c r="D1567" s="1" t="s">
        <v>3779</v>
      </c>
      <c r="E1567" s="6">
        <v>916</v>
      </c>
    </row>
    <row r="1568" spans="1:5" x14ac:dyDescent="0.25">
      <c r="A1568" s="4" t="s">
        <v>7</v>
      </c>
      <c r="B1568" s="4" t="s">
        <v>4222</v>
      </c>
      <c r="C1568" s="1" t="s">
        <v>3781</v>
      </c>
      <c r="D1568" s="1" t="s">
        <v>3782</v>
      </c>
      <c r="E1568" s="6">
        <v>1233</v>
      </c>
    </row>
    <row r="1569" spans="1:5" x14ac:dyDescent="0.25">
      <c r="A1569" s="4" t="s">
        <v>7</v>
      </c>
      <c r="B1569" s="4" t="s">
        <v>4223</v>
      </c>
      <c r="C1569" s="1" t="s">
        <v>3784</v>
      </c>
      <c r="D1569" s="1" t="s">
        <v>3785</v>
      </c>
      <c r="E1569" s="6">
        <v>1578</v>
      </c>
    </row>
    <row r="1570" spans="1:5" x14ac:dyDescent="0.25">
      <c r="A1570" s="4" t="s">
        <v>7</v>
      </c>
      <c r="B1570" s="4" t="s">
        <v>4224</v>
      </c>
      <c r="C1570" s="1" t="s">
        <v>3787</v>
      </c>
      <c r="D1570" s="1" t="s">
        <v>3788</v>
      </c>
      <c r="E1570" s="6">
        <v>650</v>
      </c>
    </row>
    <row r="1571" spans="1:5" x14ac:dyDescent="0.25">
      <c r="A1571" s="4" t="s">
        <v>7</v>
      </c>
      <c r="B1571" s="4" t="s">
        <v>4225</v>
      </c>
      <c r="C1571" s="1" t="s">
        <v>3790</v>
      </c>
      <c r="D1571" s="1" t="s">
        <v>3791</v>
      </c>
      <c r="E1571" s="6">
        <v>1022</v>
      </c>
    </row>
    <row r="1572" spans="1:5" x14ac:dyDescent="0.25">
      <c r="A1572" s="4" t="s">
        <v>7</v>
      </c>
      <c r="B1572" s="4" t="s">
        <v>4226</v>
      </c>
      <c r="C1572" s="1" t="s">
        <v>4227</v>
      </c>
      <c r="D1572" s="1" t="s">
        <v>4228</v>
      </c>
      <c r="E1572" s="6">
        <v>1278</v>
      </c>
    </row>
    <row r="1573" spans="1:5" x14ac:dyDescent="0.25">
      <c r="A1573" s="4" t="s">
        <v>7</v>
      </c>
      <c r="B1573" s="4" t="s">
        <v>4229</v>
      </c>
      <c r="C1573" s="1" t="s">
        <v>3793</v>
      </c>
      <c r="D1573" s="1" t="s">
        <v>3794</v>
      </c>
      <c r="E1573" s="6">
        <v>858</v>
      </c>
    </row>
    <row r="1574" spans="1:5" x14ac:dyDescent="0.25">
      <c r="A1574" s="4" t="s">
        <v>7</v>
      </c>
      <c r="B1574" s="4" t="s">
        <v>4230</v>
      </c>
      <c r="C1574" s="1" t="s">
        <v>3802</v>
      </c>
      <c r="D1574" s="1" t="s">
        <v>3803</v>
      </c>
      <c r="E1574" s="6">
        <v>861</v>
      </c>
    </row>
    <row r="1575" spans="1:5" x14ac:dyDescent="0.25">
      <c r="A1575" s="4" t="s">
        <v>7</v>
      </c>
      <c r="B1575" s="4" t="s">
        <v>4231</v>
      </c>
      <c r="C1575" s="1" t="s">
        <v>3805</v>
      </c>
      <c r="D1575" s="1" t="s">
        <v>3806</v>
      </c>
      <c r="E1575" s="6">
        <v>861</v>
      </c>
    </row>
    <row r="1576" spans="1:5" x14ac:dyDescent="0.25">
      <c r="A1576" s="4" t="s">
        <v>7</v>
      </c>
      <c r="B1576" s="4" t="s">
        <v>4232</v>
      </c>
      <c r="C1576" s="1" t="s">
        <v>3808</v>
      </c>
      <c r="D1576" s="1" t="s">
        <v>3809</v>
      </c>
      <c r="E1576" s="6">
        <v>1180</v>
      </c>
    </row>
    <row r="1577" spans="1:5" x14ac:dyDescent="0.25">
      <c r="A1577" s="4" t="s">
        <v>7</v>
      </c>
      <c r="B1577" s="4" t="s">
        <v>4233</v>
      </c>
      <c r="C1577" s="1" t="s">
        <v>4234</v>
      </c>
      <c r="D1577" s="1" t="s">
        <v>4235</v>
      </c>
      <c r="E1577" s="6">
        <v>3007</v>
      </c>
    </row>
    <row r="1578" spans="1:5" x14ac:dyDescent="0.25">
      <c r="A1578" s="4" t="s">
        <v>7</v>
      </c>
      <c r="B1578" s="4" t="s">
        <v>4236</v>
      </c>
      <c r="C1578" s="1" t="s">
        <v>4237</v>
      </c>
      <c r="D1578" s="1" t="s">
        <v>4238</v>
      </c>
      <c r="E1578" s="6">
        <v>9325</v>
      </c>
    </row>
    <row r="1579" spans="1:5" x14ac:dyDescent="0.25">
      <c r="A1579" s="4" t="s">
        <v>7</v>
      </c>
      <c r="B1579" s="4" t="s">
        <v>4239</v>
      </c>
      <c r="C1579" s="1" t="s">
        <v>4240</v>
      </c>
      <c r="D1579" s="1" t="s">
        <v>4241</v>
      </c>
      <c r="E1579" s="6">
        <v>8609</v>
      </c>
    </row>
    <row r="1580" spans="1:5" x14ac:dyDescent="0.25">
      <c r="A1580" s="4" t="s">
        <v>7</v>
      </c>
      <c r="B1580" s="4" t="s">
        <v>4242</v>
      </c>
      <c r="C1580" s="1" t="s">
        <v>4243</v>
      </c>
      <c r="D1580" s="1" t="s">
        <v>4244</v>
      </c>
      <c r="E1580" s="6">
        <v>6781</v>
      </c>
    </row>
    <row r="1581" spans="1:5" x14ac:dyDescent="0.25">
      <c r="A1581" s="4" t="s">
        <v>7</v>
      </c>
      <c r="B1581" s="4" t="s">
        <v>4245</v>
      </c>
      <c r="C1581" s="1" t="s">
        <v>4246</v>
      </c>
      <c r="D1581" s="1" t="s">
        <v>4247</v>
      </c>
      <c r="E1581" s="6">
        <v>7007</v>
      </c>
    </row>
    <row r="1582" spans="1:5" x14ac:dyDescent="0.25">
      <c r="A1582" s="4" t="s">
        <v>7</v>
      </c>
      <c r="B1582" s="4" t="s">
        <v>4248</v>
      </c>
      <c r="C1582" s="1" t="s">
        <v>4249</v>
      </c>
      <c r="D1582" s="1" t="s">
        <v>4250</v>
      </c>
      <c r="E1582" s="6">
        <v>8047</v>
      </c>
    </row>
    <row r="1583" spans="1:5" x14ac:dyDescent="0.25">
      <c r="A1583" s="4" t="s">
        <v>7</v>
      </c>
      <c r="B1583" s="4" t="s">
        <v>4251</v>
      </c>
      <c r="C1583" s="1" t="s">
        <v>4252</v>
      </c>
      <c r="D1583" s="1" t="s">
        <v>4253</v>
      </c>
      <c r="E1583" s="6">
        <v>4676</v>
      </c>
    </row>
    <row r="1584" spans="1:5" x14ac:dyDescent="0.25">
      <c r="A1584" s="4" t="s">
        <v>7</v>
      </c>
      <c r="B1584" s="4" t="s">
        <v>4254</v>
      </c>
      <c r="C1584" s="1" t="s">
        <v>4255</v>
      </c>
      <c r="D1584" s="1" t="s">
        <v>4256</v>
      </c>
      <c r="E1584" s="6">
        <v>8006</v>
      </c>
    </row>
    <row r="1585" spans="1:5" x14ac:dyDescent="0.25">
      <c r="A1585" s="4" t="s">
        <v>7</v>
      </c>
      <c r="B1585" s="4" t="s">
        <v>4257</v>
      </c>
      <c r="C1585" s="1" t="s">
        <v>4258</v>
      </c>
      <c r="D1585" s="1" t="s">
        <v>4259</v>
      </c>
      <c r="E1585" s="6">
        <v>4252</v>
      </c>
    </row>
    <row r="1586" spans="1:5" x14ac:dyDescent="0.25">
      <c r="A1586" s="4" t="s">
        <v>7</v>
      </c>
      <c r="B1586" s="4" t="s">
        <v>4260</v>
      </c>
      <c r="C1586" s="1" t="s">
        <v>4261</v>
      </c>
      <c r="D1586" s="1" t="s">
        <v>4262</v>
      </c>
      <c r="E1586" s="6">
        <v>7831</v>
      </c>
    </row>
    <row r="1587" spans="1:5" x14ac:dyDescent="0.25">
      <c r="A1587" s="4" t="s">
        <v>7</v>
      </c>
      <c r="B1587" s="4" t="s">
        <v>4263</v>
      </c>
      <c r="C1587" s="1" t="s">
        <v>4264</v>
      </c>
      <c r="D1587" s="1" t="s">
        <v>4265</v>
      </c>
      <c r="E1587" s="6">
        <v>4500</v>
      </c>
    </row>
    <row r="1588" spans="1:5" x14ac:dyDescent="0.25">
      <c r="A1588" s="4" t="s">
        <v>7</v>
      </c>
      <c r="B1588" s="4" t="s">
        <v>4266</v>
      </c>
      <c r="C1588" s="1" t="s">
        <v>3811</v>
      </c>
      <c r="D1588" s="1" t="s">
        <v>3811</v>
      </c>
      <c r="E1588" s="6">
        <v>990</v>
      </c>
    </row>
    <row r="1589" spans="1:5" x14ac:dyDescent="0.25">
      <c r="A1589" s="4" t="s">
        <v>7</v>
      </c>
      <c r="B1589" s="4" t="s">
        <v>4267</v>
      </c>
      <c r="C1589" s="1" t="s">
        <v>3813</v>
      </c>
      <c r="D1589" s="1" t="s">
        <v>3813</v>
      </c>
      <c r="E1589" s="6">
        <v>1189</v>
      </c>
    </row>
    <row r="1590" spans="1:5" x14ac:dyDescent="0.25">
      <c r="A1590" s="4" t="s">
        <v>7</v>
      </c>
      <c r="B1590" s="4" t="s">
        <v>4268</v>
      </c>
      <c r="C1590" s="1" t="s">
        <v>3815</v>
      </c>
      <c r="D1590" s="1" t="s">
        <v>3816</v>
      </c>
      <c r="E1590" s="6">
        <v>1107</v>
      </c>
    </row>
    <row r="1591" spans="1:5" x14ac:dyDescent="0.25">
      <c r="A1591" s="4" t="s">
        <v>7</v>
      </c>
      <c r="B1591" s="4" t="s">
        <v>4269</v>
      </c>
      <c r="C1591" s="1" t="s">
        <v>4270</v>
      </c>
      <c r="D1591" s="1" t="s">
        <v>4271</v>
      </c>
      <c r="E1591" s="6">
        <v>10401</v>
      </c>
    </row>
    <row r="1592" spans="1:5" x14ac:dyDescent="0.25">
      <c r="A1592" s="4" t="s">
        <v>7</v>
      </c>
      <c r="B1592" s="4" t="s">
        <v>4272</v>
      </c>
      <c r="C1592" s="1" t="s">
        <v>4273</v>
      </c>
      <c r="D1592" s="1" t="s">
        <v>4274</v>
      </c>
      <c r="E1592" s="6">
        <v>1517</v>
      </c>
    </row>
    <row r="1593" spans="1:5" x14ac:dyDescent="0.25">
      <c r="A1593" s="4" t="s">
        <v>7</v>
      </c>
      <c r="B1593" s="4" t="s">
        <v>4275</v>
      </c>
      <c r="C1593" s="1" t="s">
        <v>3818</v>
      </c>
      <c r="D1593" s="1" t="s">
        <v>3819</v>
      </c>
      <c r="E1593" s="6">
        <v>1693</v>
      </c>
    </row>
    <row r="1594" spans="1:5" x14ac:dyDescent="0.25">
      <c r="A1594" s="4" t="s">
        <v>7</v>
      </c>
      <c r="B1594" s="4" t="s">
        <v>4276</v>
      </c>
      <c r="C1594" s="1" t="s">
        <v>3827</v>
      </c>
      <c r="D1594" s="1" t="s">
        <v>3828</v>
      </c>
      <c r="E1594" s="6">
        <v>1259</v>
      </c>
    </row>
    <row r="1595" spans="1:5" x14ac:dyDescent="0.25">
      <c r="A1595" s="4" t="s">
        <v>7</v>
      </c>
      <c r="B1595" s="4" t="s">
        <v>4277</v>
      </c>
      <c r="C1595" s="1" t="s">
        <v>3830</v>
      </c>
      <c r="D1595" s="1" t="s">
        <v>3831</v>
      </c>
      <c r="E1595" s="6">
        <v>1006</v>
      </c>
    </row>
    <row r="1596" spans="1:5" x14ac:dyDescent="0.25">
      <c r="A1596" s="4" t="s">
        <v>7</v>
      </c>
      <c r="B1596" s="4" t="s">
        <v>4278</v>
      </c>
      <c r="C1596" s="1" t="s">
        <v>3833</v>
      </c>
      <c r="D1596" s="1" t="s">
        <v>3834</v>
      </c>
      <c r="E1596" s="6">
        <v>838</v>
      </c>
    </row>
    <row r="1597" spans="1:5" x14ac:dyDescent="0.25">
      <c r="A1597" s="4" t="s">
        <v>7</v>
      </c>
      <c r="B1597" s="4" t="s">
        <v>4279</v>
      </c>
      <c r="C1597" s="1" t="s">
        <v>3836</v>
      </c>
      <c r="D1597" s="1" t="s">
        <v>4280</v>
      </c>
      <c r="E1597" s="6">
        <v>1584</v>
      </c>
    </row>
    <row r="1598" spans="1:5" x14ac:dyDescent="0.25">
      <c r="A1598" s="4" t="s">
        <v>7</v>
      </c>
      <c r="B1598" s="4" t="s">
        <v>4281</v>
      </c>
      <c r="C1598" s="1" t="s">
        <v>3842</v>
      </c>
      <c r="D1598" s="1" t="s">
        <v>3843</v>
      </c>
      <c r="E1598" s="6">
        <v>1071</v>
      </c>
    </row>
    <row r="1599" spans="1:5" x14ac:dyDescent="0.25">
      <c r="A1599" s="4" t="s">
        <v>7</v>
      </c>
      <c r="B1599" s="4" t="s">
        <v>4282</v>
      </c>
      <c r="C1599" s="1" t="s">
        <v>3845</v>
      </c>
      <c r="D1599" s="1" t="s">
        <v>4283</v>
      </c>
      <c r="E1599" s="6">
        <v>538</v>
      </c>
    </row>
    <row r="1600" spans="1:5" x14ac:dyDescent="0.25">
      <c r="A1600" s="4" t="s">
        <v>7</v>
      </c>
      <c r="B1600" s="4" t="s">
        <v>4284</v>
      </c>
      <c r="C1600" s="1" t="s">
        <v>3847</v>
      </c>
      <c r="D1600" s="1" t="s">
        <v>3848</v>
      </c>
      <c r="E1600" s="6">
        <v>838</v>
      </c>
    </row>
    <row r="1601" spans="1:5" x14ac:dyDescent="0.25">
      <c r="A1601" s="4" t="s">
        <v>7</v>
      </c>
      <c r="B1601" s="4" t="s">
        <v>4285</v>
      </c>
      <c r="C1601" s="1" t="s">
        <v>3853</v>
      </c>
      <c r="D1601" s="1" t="s">
        <v>3854</v>
      </c>
      <c r="E1601" s="6">
        <v>810</v>
      </c>
    </row>
    <row r="1602" spans="1:5" x14ac:dyDescent="0.25">
      <c r="A1602" s="4" t="s">
        <v>7</v>
      </c>
      <c r="B1602" s="4" t="s">
        <v>4286</v>
      </c>
      <c r="C1602" s="1" t="s">
        <v>3856</v>
      </c>
      <c r="D1602" s="1" t="s">
        <v>3857</v>
      </c>
      <c r="E1602" s="6">
        <v>1217</v>
      </c>
    </row>
    <row r="1603" spans="1:5" x14ac:dyDescent="0.25">
      <c r="A1603" s="4" t="s">
        <v>7</v>
      </c>
      <c r="B1603" s="4" t="s">
        <v>4287</v>
      </c>
      <c r="C1603" s="1" t="s">
        <v>3859</v>
      </c>
      <c r="D1603" s="1" t="s">
        <v>4288</v>
      </c>
      <c r="E1603" s="6">
        <v>711</v>
      </c>
    </row>
    <row r="1604" spans="1:5" x14ac:dyDescent="0.25">
      <c r="A1604" s="4" t="s">
        <v>7</v>
      </c>
      <c r="B1604" s="4" t="s">
        <v>4289</v>
      </c>
      <c r="C1604" s="1" t="s">
        <v>3865</v>
      </c>
      <c r="D1604" s="1" t="s">
        <v>3866</v>
      </c>
      <c r="E1604" s="6">
        <v>588</v>
      </c>
    </row>
    <row r="1605" spans="1:5" x14ac:dyDescent="0.25">
      <c r="A1605" s="4" t="s">
        <v>7</v>
      </c>
      <c r="B1605" s="4" t="s">
        <v>4290</v>
      </c>
      <c r="C1605" s="1" t="s">
        <v>3868</v>
      </c>
      <c r="D1605" s="1" t="s">
        <v>3869</v>
      </c>
      <c r="E1605" s="6">
        <v>711</v>
      </c>
    </row>
    <row r="1606" spans="1:5" x14ac:dyDescent="0.25">
      <c r="A1606" s="4" t="s">
        <v>7</v>
      </c>
      <c r="B1606" s="4" t="s">
        <v>4291</v>
      </c>
      <c r="C1606" s="1" t="s">
        <v>3871</v>
      </c>
      <c r="D1606" s="1" t="s">
        <v>3872</v>
      </c>
      <c r="E1606" s="6">
        <v>538</v>
      </c>
    </row>
    <row r="1607" spans="1:5" x14ac:dyDescent="0.25">
      <c r="A1607" s="4" t="s">
        <v>7</v>
      </c>
      <c r="B1607" s="4" t="s">
        <v>4292</v>
      </c>
      <c r="C1607" s="1" t="s">
        <v>4293</v>
      </c>
      <c r="D1607" s="1" t="s">
        <v>4294</v>
      </c>
      <c r="E1607" s="6">
        <v>2716</v>
      </c>
    </row>
    <row r="1608" spans="1:5" x14ac:dyDescent="0.25">
      <c r="A1608" s="4" t="s">
        <v>7</v>
      </c>
      <c r="B1608" s="4" t="s">
        <v>4295</v>
      </c>
      <c r="C1608" s="1" t="s">
        <v>4296</v>
      </c>
      <c r="D1608" s="1" t="s">
        <v>4297</v>
      </c>
      <c r="E1608" s="6">
        <v>8284</v>
      </c>
    </row>
    <row r="1609" spans="1:5" x14ac:dyDescent="0.25">
      <c r="A1609" s="4" t="s">
        <v>7</v>
      </c>
      <c r="B1609" s="4" t="s">
        <v>4298</v>
      </c>
      <c r="C1609" s="1" t="s">
        <v>4299</v>
      </c>
      <c r="D1609" s="1" t="s">
        <v>3881</v>
      </c>
      <c r="E1609" s="6">
        <v>2147</v>
      </c>
    </row>
    <row r="1610" spans="1:5" x14ac:dyDescent="0.25">
      <c r="A1610" s="4" t="s">
        <v>7</v>
      </c>
      <c r="B1610" s="4" t="s">
        <v>4300</v>
      </c>
      <c r="C1610" s="1" t="s">
        <v>3883</v>
      </c>
      <c r="D1610" s="1" t="s">
        <v>3884</v>
      </c>
      <c r="E1610" s="6">
        <v>1729</v>
      </c>
    </row>
    <row r="1611" spans="1:5" x14ac:dyDescent="0.25">
      <c r="A1611" s="4" t="s">
        <v>7</v>
      </c>
      <c r="B1611" s="4" t="s">
        <v>4301</v>
      </c>
      <c r="C1611" s="1" t="s">
        <v>3892</v>
      </c>
      <c r="D1611" s="1" t="s">
        <v>3893</v>
      </c>
      <c r="E1611" s="6">
        <v>1706</v>
      </c>
    </row>
    <row r="1612" spans="1:5" x14ac:dyDescent="0.25">
      <c r="A1612" s="4" t="s">
        <v>7</v>
      </c>
      <c r="B1612" s="4" t="s">
        <v>4302</v>
      </c>
      <c r="C1612" s="1" t="s">
        <v>3898</v>
      </c>
      <c r="D1612" s="1" t="s">
        <v>4303</v>
      </c>
      <c r="E1612" s="6">
        <v>711</v>
      </c>
    </row>
    <row r="1613" spans="1:5" x14ac:dyDescent="0.25">
      <c r="A1613" s="4" t="s">
        <v>7</v>
      </c>
      <c r="B1613" s="4" t="s">
        <v>4304</v>
      </c>
      <c r="C1613" s="1" t="s">
        <v>3901</v>
      </c>
      <c r="D1613" s="1" t="s">
        <v>3902</v>
      </c>
      <c r="E1613" s="6">
        <v>2067</v>
      </c>
    </row>
    <row r="1614" spans="1:5" x14ac:dyDescent="0.25">
      <c r="A1614" s="4" t="s">
        <v>7</v>
      </c>
      <c r="B1614" s="4" t="s">
        <v>4305</v>
      </c>
      <c r="C1614" s="1" t="s">
        <v>3895</v>
      </c>
      <c r="D1614" s="1" t="s">
        <v>4306</v>
      </c>
      <c r="E1614" s="6">
        <v>740</v>
      </c>
    </row>
    <row r="1615" spans="1:5" x14ac:dyDescent="0.25">
      <c r="A1615" s="4" t="s">
        <v>7</v>
      </c>
      <c r="B1615" s="4" t="s">
        <v>4307</v>
      </c>
      <c r="C1615" s="1" t="s">
        <v>3907</v>
      </c>
      <c r="D1615" s="1" t="s">
        <v>3908</v>
      </c>
      <c r="E1615" s="6">
        <v>995</v>
      </c>
    </row>
    <row r="1616" spans="1:5" x14ac:dyDescent="0.25">
      <c r="A1616" s="4" t="s">
        <v>7</v>
      </c>
      <c r="B1616" s="4" t="s">
        <v>4308</v>
      </c>
      <c r="C1616" s="1" t="s">
        <v>3913</v>
      </c>
      <c r="D1616" s="1" t="s">
        <v>3914</v>
      </c>
      <c r="E1616" s="6">
        <v>704</v>
      </c>
    </row>
    <row r="1617" spans="1:5" x14ac:dyDescent="0.25">
      <c r="A1617" s="4" t="s">
        <v>7</v>
      </c>
      <c r="B1617" s="4" t="s">
        <v>4309</v>
      </c>
      <c r="C1617" s="1" t="s">
        <v>3916</v>
      </c>
      <c r="D1617" s="1" t="s">
        <v>3917</v>
      </c>
      <c r="E1617" s="6">
        <v>1066</v>
      </c>
    </row>
    <row r="1618" spans="1:5" x14ac:dyDescent="0.25">
      <c r="A1618" s="4" t="s">
        <v>7</v>
      </c>
      <c r="B1618" s="4" t="s">
        <v>4310</v>
      </c>
      <c r="C1618" s="1" t="s">
        <v>3919</v>
      </c>
      <c r="D1618" s="1" t="s">
        <v>4311</v>
      </c>
      <c r="E1618" s="6">
        <v>603</v>
      </c>
    </row>
    <row r="1619" spans="1:5" x14ac:dyDescent="0.25">
      <c r="A1619" s="4" t="s">
        <v>7</v>
      </c>
      <c r="B1619" s="4" t="s">
        <v>4312</v>
      </c>
      <c r="C1619" s="1" t="s">
        <v>3922</v>
      </c>
      <c r="D1619" s="1" t="s">
        <v>4313</v>
      </c>
      <c r="E1619" s="6">
        <v>711</v>
      </c>
    </row>
    <row r="1620" spans="1:5" x14ac:dyDescent="0.25">
      <c r="A1620" s="4" t="s">
        <v>7</v>
      </c>
      <c r="B1620" s="4" t="s">
        <v>4314</v>
      </c>
      <c r="C1620" s="1" t="s">
        <v>3925</v>
      </c>
      <c r="D1620" s="1" t="s">
        <v>4315</v>
      </c>
      <c r="E1620" s="6">
        <v>526</v>
      </c>
    </row>
    <row r="1621" spans="1:5" x14ac:dyDescent="0.25">
      <c r="A1621" s="4" t="s">
        <v>7</v>
      </c>
      <c r="B1621" s="4" t="s">
        <v>4316</v>
      </c>
      <c r="C1621" s="1" t="s">
        <v>3928</v>
      </c>
      <c r="D1621" s="1" t="s">
        <v>3929</v>
      </c>
      <c r="E1621" s="6">
        <v>1158</v>
      </c>
    </row>
    <row r="1622" spans="1:5" x14ac:dyDescent="0.25">
      <c r="A1622" s="4" t="s">
        <v>7</v>
      </c>
      <c r="B1622" s="4" t="s">
        <v>4317</v>
      </c>
      <c r="C1622" s="1" t="s">
        <v>4318</v>
      </c>
      <c r="D1622" s="1" t="s">
        <v>4319</v>
      </c>
      <c r="E1622" s="6">
        <v>5777</v>
      </c>
    </row>
    <row r="1623" spans="1:5" x14ac:dyDescent="0.25">
      <c r="A1623" s="4" t="s">
        <v>7</v>
      </c>
      <c r="B1623" s="4" t="s">
        <v>4320</v>
      </c>
      <c r="C1623" s="1" t="s">
        <v>4321</v>
      </c>
      <c r="D1623" s="1" t="s">
        <v>4322</v>
      </c>
      <c r="E1623" s="6">
        <v>8480</v>
      </c>
    </row>
    <row r="1624" spans="1:5" x14ac:dyDescent="0.25">
      <c r="A1624" s="4" t="s">
        <v>7</v>
      </c>
      <c r="B1624" s="4" t="s">
        <v>4323</v>
      </c>
      <c r="C1624" s="1" t="s">
        <v>3931</v>
      </c>
      <c r="D1624" s="1" t="s">
        <v>3931</v>
      </c>
      <c r="E1624" s="6">
        <v>410</v>
      </c>
    </row>
    <row r="1625" spans="1:5" x14ac:dyDescent="0.25">
      <c r="A1625" s="4" t="s">
        <v>7</v>
      </c>
      <c r="B1625" s="4" t="s">
        <v>4324</v>
      </c>
      <c r="C1625" s="1" t="s">
        <v>3935</v>
      </c>
      <c r="D1625" s="1" t="s">
        <v>3936</v>
      </c>
      <c r="E1625" s="6">
        <v>1867</v>
      </c>
    </row>
    <row r="1626" spans="1:5" x14ac:dyDescent="0.25">
      <c r="A1626" s="4" t="s">
        <v>7</v>
      </c>
      <c r="B1626" s="4" t="s">
        <v>4325</v>
      </c>
      <c r="C1626" s="1" t="s">
        <v>4326</v>
      </c>
      <c r="D1626" s="1" t="s">
        <v>4327</v>
      </c>
      <c r="E1626" s="6">
        <v>2312</v>
      </c>
    </row>
    <row r="1627" spans="1:5" x14ac:dyDescent="0.25">
      <c r="A1627" s="4" t="s">
        <v>7</v>
      </c>
      <c r="B1627" s="4" t="s">
        <v>4328</v>
      </c>
      <c r="C1627" s="1" t="s">
        <v>4329</v>
      </c>
      <c r="D1627" s="1" t="s">
        <v>4330</v>
      </c>
      <c r="E1627" s="6">
        <v>18037</v>
      </c>
    </row>
    <row r="1628" spans="1:5" x14ac:dyDescent="0.25">
      <c r="A1628" s="4" t="s">
        <v>7</v>
      </c>
      <c r="B1628" s="4" t="s">
        <v>4331</v>
      </c>
      <c r="C1628" s="1" t="s">
        <v>4332</v>
      </c>
      <c r="D1628" s="1" t="s">
        <v>4333</v>
      </c>
      <c r="E1628" s="6">
        <v>1752</v>
      </c>
    </row>
    <row r="1629" spans="1:5" x14ac:dyDescent="0.25">
      <c r="A1629" s="4" t="s">
        <v>7</v>
      </c>
      <c r="B1629" s="4" t="s">
        <v>4334</v>
      </c>
      <c r="C1629" s="1" t="s">
        <v>4335</v>
      </c>
      <c r="D1629" s="1" t="s">
        <v>4336</v>
      </c>
      <c r="E1629" s="6">
        <v>2600</v>
      </c>
    </row>
    <row r="1630" spans="1:5" x14ac:dyDescent="0.25">
      <c r="A1630" s="4" t="s">
        <v>7</v>
      </c>
      <c r="B1630" s="4" t="s">
        <v>4337</v>
      </c>
      <c r="C1630" s="1" t="s">
        <v>4338</v>
      </c>
      <c r="D1630" s="1" t="s">
        <v>4339</v>
      </c>
      <c r="E1630" s="6">
        <v>3200</v>
      </c>
    </row>
    <row r="1631" spans="1:5" x14ac:dyDescent="0.25">
      <c r="A1631" s="4" t="s">
        <v>7</v>
      </c>
      <c r="B1631" s="4" t="s">
        <v>4340</v>
      </c>
      <c r="C1631" s="1" t="s">
        <v>4341</v>
      </c>
      <c r="D1631" s="1" t="s">
        <v>4342</v>
      </c>
      <c r="E1631" s="6">
        <v>1270</v>
      </c>
    </row>
    <row r="1632" spans="1:5" x14ac:dyDescent="0.25">
      <c r="A1632" s="4" t="s">
        <v>7</v>
      </c>
      <c r="B1632" s="4" t="s">
        <v>4343</v>
      </c>
      <c r="C1632" s="1" t="s">
        <v>3990</v>
      </c>
      <c r="D1632" s="1" t="s">
        <v>3991</v>
      </c>
      <c r="E1632" s="6">
        <v>1085</v>
      </c>
    </row>
    <row r="1633" spans="1:5" x14ac:dyDescent="0.25">
      <c r="A1633" s="4" t="s">
        <v>7</v>
      </c>
      <c r="B1633" s="4" t="s">
        <v>4344</v>
      </c>
      <c r="C1633" s="1" t="s">
        <v>4345</v>
      </c>
      <c r="D1633" s="1" t="s">
        <v>4346</v>
      </c>
      <c r="E1633" s="6">
        <v>909</v>
      </c>
    </row>
    <row r="1634" spans="1:5" x14ac:dyDescent="0.25">
      <c r="A1634" s="4" t="s">
        <v>7</v>
      </c>
      <c r="B1634" s="4" t="s">
        <v>4347</v>
      </c>
      <c r="C1634" s="1" t="s">
        <v>4348</v>
      </c>
      <c r="D1634" s="1" t="s">
        <v>4349</v>
      </c>
      <c r="E1634" s="6">
        <v>1424</v>
      </c>
    </row>
    <row r="1635" spans="1:5" x14ac:dyDescent="0.25">
      <c r="A1635" s="4" t="s">
        <v>7</v>
      </c>
      <c r="B1635" s="4" t="s">
        <v>4350</v>
      </c>
      <c r="C1635" s="1" t="s">
        <v>2451</v>
      </c>
      <c r="D1635" s="1" t="s">
        <v>4351</v>
      </c>
      <c r="E1635" s="6">
        <v>4131</v>
      </c>
    </row>
    <row r="1636" spans="1:5" x14ac:dyDescent="0.25">
      <c r="A1636" s="4" t="s">
        <v>7</v>
      </c>
      <c r="B1636" s="4" t="s">
        <v>4352</v>
      </c>
      <c r="C1636" s="1" t="s">
        <v>4353</v>
      </c>
      <c r="D1636" s="1" t="s">
        <v>4354</v>
      </c>
      <c r="E1636" s="6">
        <v>3401</v>
      </c>
    </row>
    <row r="1637" spans="1:5" x14ac:dyDescent="0.25">
      <c r="A1637" s="4" t="s">
        <v>7</v>
      </c>
      <c r="B1637" s="4" t="s">
        <v>4355</v>
      </c>
      <c r="C1637" s="1" t="s">
        <v>4356</v>
      </c>
      <c r="D1637" s="1" t="s">
        <v>4357</v>
      </c>
      <c r="E1637" s="6">
        <v>1907</v>
      </c>
    </row>
    <row r="1638" spans="1:5" x14ac:dyDescent="0.25">
      <c r="A1638" s="4" t="s">
        <v>7</v>
      </c>
      <c r="B1638" s="4" t="s">
        <v>4358</v>
      </c>
      <c r="C1638" s="1" t="s">
        <v>4359</v>
      </c>
      <c r="D1638" s="1" t="s">
        <v>4360</v>
      </c>
      <c r="E1638" s="6">
        <v>934</v>
      </c>
    </row>
    <row r="1639" spans="1:5" x14ac:dyDescent="0.25">
      <c r="A1639" s="4" t="s">
        <v>7</v>
      </c>
      <c r="B1639" s="4" t="s">
        <v>4361</v>
      </c>
      <c r="C1639" s="1" t="s">
        <v>4362</v>
      </c>
      <c r="D1639" s="1" t="s">
        <v>4363</v>
      </c>
      <c r="E1639" s="6">
        <v>802</v>
      </c>
    </row>
    <row r="1640" spans="1:5" x14ac:dyDescent="0.25">
      <c r="A1640" s="4" t="s">
        <v>7</v>
      </c>
      <c r="B1640" s="4" t="s">
        <v>4364</v>
      </c>
      <c r="C1640" s="1" t="s">
        <v>4365</v>
      </c>
      <c r="D1640" s="1" t="s">
        <v>4366</v>
      </c>
      <c r="E1640" s="6">
        <v>3276</v>
      </c>
    </row>
    <row r="1641" spans="1:5" x14ac:dyDescent="0.25">
      <c r="A1641" s="4" t="s">
        <v>7</v>
      </c>
      <c r="B1641" s="4" t="s">
        <v>4367</v>
      </c>
      <c r="C1641" s="1" t="s">
        <v>4368</v>
      </c>
      <c r="D1641" s="1" t="s">
        <v>4369</v>
      </c>
      <c r="E1641" s="6">
        <v>830</v>
      </c>
    </row>
    <row r="1642" spans="1:5" x14ac:dyDescent="0.25">
      <c r="A1642" s="4" t="s">
        <v>7</v>
      </c>
      <c r="B1642" s="4" t="s">
        <v>4370</v>
      </c>
      <c r="C1642" s="1" t="s">
        <v>4371</v>
      </c>
      <c r="D1642" s="1" t="s">
        <v>4372</v>
      </c>
      <c r="E1642" s="6">
        <v>1084</v>
      </c>
    </row>
    <row r="1643" spans="1:5" x14ac:dyDescent="0.25">
      <c r="A1643" s="4" t="s">
        <v>7</v>
      </c>
      <c r="B1643" s="4" t="s">
        <v>4373</v>
      </c>
      <c r="C1643" s="1" t="s">
        <v>4374</v>
      </c>
      <c r="D1643" s="1" t="s">
        <v>4375</v>
      </c>
      <c r="E1643" s="6">
        <v>1814</v>
      </c>
    </row>
    <row r="1644" spans="1:5" x14ac:dyDescent="0.25">
      <c r="A1644" s="4" t="s">
        <v>7</v>
      </c>
      <c r="B1644" s="4" t="s">
        <v>4376</v>
      </c>
      <c r="C1644" s="1" t="s">
        <v>4377</v>
      </c>
      <c r="D1644" s="1" t="s">
        <v>4378</v>
      </c>
      <c r="E1644" s="6">
        <v>1431</v>
      </c>
    </row>
    <row r="1645" spans="1:5" x14ac:dyDescent="0.25">
      <c r="A1645" s="4" t="s">
        <v>7</v>
      </c>
      <c r="B1645" s="4" t="s">
        <v>4379</v>
      </c>
      <c r="C1645" s="1" t="s">
        <v>4380</v>
      </c>
      <c r="D1645" s="1" t="s">
        <v>4381</v>
      </c>
      <c r="E1645" s="6">
        <v>1221</v>
      </c>
    </row>
    <row r="1646" spans="1:5" x14ac:dyDescent="0.25">
      <c r="A1646" s="4" t="s">
        <v>7</v>
      </c>
      <c r="B1646" s="4" t="s">
        <v>4382</v>
      </c>
      <c r="C1646" s="1" t="s">
        <v>4383</v>
      </c>
      <c r="D1646" s="1" t="s">
        <v>4384</v>
      </c>
      <c r="E1646" s="6">
        <v>1244</v>
      </c>
    </row>
    <row r="1647" spans="1:5" x14ac:dyDescent="0.25">
      <c r="A1647" s="4" t="s">
        <v>7</v>
      </c>
      <c r="B1647" s="4" t="s">
        <v>4385</v>
      </c>
      <c r="C1647" s="1" t="s">
        <v>4386</v>
      </c>
      <c r="D1647" s="1" t="s">
        <v>4387</v>
      </c>
      <c r="E1647" s="6">
        <v>2249</v>
      </c>
    </row>
    <row r="1648" spans="1:5" x14ac:dyDescent="0.25">
      <c r="A1648" s="4" t="s">
        <v>7</v>
      </c>
      <c r="B1648" s="4" t="s">
        <v>4388</v>
      </c>
      <c r="C1648" s="1" t="s">
        <v>4389</v>
      </c>
      <c r="D1648" s="1" t="s">
        <v>4390</v>
      </c>
      <c r="E1648" s="6">
        <v>3491</v>
      </c>
    </row>
    <row r="1649" spans="1:5" x14ac:dyDescent="0.25">
      <c r="A1649" s="4" t="s">
        <v>7</v>
      </c>
      <c r="B1649" s="4" t="s">
        <v>4391</v>
      </c>
      <c r="C1649" s="1" t="s">
        <v>4392</v>
      </c>
      <c r="D1649" s="1" t="s">
        <v>4393</v>
      </c>
      <c r="E1649" s="6">
        <v>2417</v>
      </c>
    </row>
    <row r="1650" spans="1:5" x14ac:dyDescent="0.25">
      <c r="A1650" s="4" t="s">
        <v>7</v>
      </c>
      <c r="B1650" s="4" t="s">
        <v>4394</v>
      </c>
      <c r="C1650" s="1" t="s">
        <v>4395</v>
      </c>
      <c r="D1650" s="1" t="s">
        <v>4396</v>
      </c>
      <c r="E1650" s="6">
        <v>1041</v>
      </c>
    </row>
    <row r="1651" spans="1:5" x14ac:dyDescent="0.25">
      <c r="A1651" s="4" t="s">
        <v>7</v>
      </c>
      <c r="B1651" s="4" t="s">
        <v>4397</v>
      </c>
      <c r="C1651" s="1" t="s">
        <v>4398</v>
      </c>
      <c r="D1651" s="1" t="s">
        <v>4399</v>
      </c>
      <c r="E1651" s="6">
        <v>1358</v>
      </c>
    </row>
    <row r="1652" spans="1:5" x14ac:dyDescent="0.25">
      <c r="A1652" s="4" t="s">
        <v>7</v>
      </c>
      <c r="B1652" s="4" t="s">
        <v>4400</v>
      </c>
      <c r="C1652" s="1" t="s">
        <v>4401</v>
      </c>
      <c r="D1652" s="1" t="s">
        <v>4402</v>
      </c>
      <c r="E1652" s="6">
        <v>926</v>
      </c>
    </row>
    <row r="1653" spans="1:5" x14ac:dyDescent="0.25">
      <c r="A1653" s="4" t="s">
        <v>7</v>
      </c>
      <c r="B1653" s="4" t="s">
        <v>4403</v>
      </c>
      <c r="C1653" s="1" t="s">
        <v>4404</v>
      </c>
      <c r="D1653" s="1" t="s">
        <v>4405</v>
      </c>
      <c r="E1653" s="6">
        <v>2484</v>
      </c>
    </row>
    <row r="1654" spans="1:5" x14ac:dyDescent="0.25">
      <c r="A1654" s="4" t="s">
        <v>7</v>
      </c>
      <c r="B1654" s="4" t="s">
        <v>4406</v>
      </c>
      <c r="C1654" s="1" t="s">
        <v>4407</v>
      </c>
      <c r="D1654" s="1" t="s">
        <v>4408</v>
      </c>
      <c r="E1654" s="6">
        <v>1680</v>
      </c>
    </row>
    <row r="1655" spans="1:5" x14ac:dyDescent="0.25">
      <c r="A1655" s="4" t="s">
        <v>7</v>
      </c>
      <c r="B1655" s="4" t="s">
        <v>4409</v>
      </c>
      <c r="C1655" s="1" t="s">
        <v>4410</v>
      </c>
      <c r="D1655" s="1" t="s">
        <v>4411</v>
      </c>
      <c r="E1655" s="6">
        <v>1194</v>
      </c>
    </row>
    <row r="1656" spans="1:5" x14ac:dyDescent="0.25">
      <c r="A1656" s="4" t="s">
        <v>7</v>
      </c>
      <c r="B1656" s="4" t="s">
        <v>4412</v>
      </c>
      <c r="C1656" s="1" t="s">
        <v>4413</v>
      </c>
      <c r="D1656" s="1" t="s">
        <v>4414</v>
      </c>
      <c r="E1656" s="6">
        <v>1712</v>
      </c>
    </row>
    <row r="1657" spans="1:5" x14ac:dyDescent="0.25">
      <c r="A1657" s="4" t="s">
        <v>7</v>
      </c>
      <c r="B1657" s="4" t="s">
        <v>4415</v>
      </c>
      <c r="C1657" s="1" t="s">
        <v>4416</v>
      </c>
      <c r="D1657" s="1" t="s">
        <v>4417</v>
      </c>
      <c r="E1657" s="6">
        <v>2787</v>
      </c>
    </row>
    <row r="1658" spans="1:5" x14ac:dyDescent="0.25">
      <c r="A1658" s="4" t="s">
        <v>7</v>
      </c>
      <c r="B1658" s="4" t="s">
        <v>4418</v>
      </c>
      <c r="C1658" s="1" t="s">
        <v>4419</v>
      </c>
      <c r="D1658" s="1" t="s">
        <v>4420</v>
      </c>
      <c r="E1658" s="6">
        <v>1190</v>
      </c>
    </row>
    <row r="1659" spans="1:5" x14ac:dyDescent="0.25">
      <c r="A1659" s="4" t="s">
        <v>7</v>
      </c>
      <c r="B1659" s="4" t="s">
        <v>4421</v>
      </c>
      <c r="C1659" s="1" t="s">
        <v>4422</v>
      </c>
      <c r="D1659" s="1" t="s">
        <v>4423</v>
      </c>
      <c r="E1659" s="6">
        <v>1200</v>
      </c>
    </row>
    <row r="1660" spans="1:5" x14ac:dyDescent="0.25">
      <c r="A1660" s="4" t="s">
        <v>7</v>
      </c>
      <c r="B1660" s="4" t="s">
        <v>4424</v>
      </c>
      <c r="C1660" s="1" t="s">
        <v>4425</v>
      </c>
      <c r="D1660" s="1" t="s">
        <v>4426</v>
      </c>
      <c r="E1660" s="6">
        <v>252</v>
      </c>
    </row>
    <row r="1661" spans="1:5" x14ac:dyDescent="0.25">
      <c r="A1661" s="4" t="s">
        <v>7</v>
      </c>
      <c r="B1661" s="4" t="s">
        <v>4427</v>
      </c>
      <c r="C1661" s="1" t="s">
        <v>4428</v>
      </c>
      <c r="D1661" s="1" t="s">
        <v>4429</v>
      </c>
      <c r="E1661" s="6">
        <v>392</v>
      </c>
    </row>
    <row r="1662" spans="1:5" x14ac:dyDescent="0.25">
      <c r="A1662" s="4" t="s">
        <v>7</v>
      </c>
      <c r="B1662" s="4" t="s">
        <v>4430</v>
      </c>
      <c r="C1662" s="1" t="s">
        <v>4431</v>
      </c>
      <c r="D1662" s="1" t="s">
        <v>4432</v>
      </c>
      <c r="E1662" s="6">
        <v>101</v>
      </c>
    </row>
    <row r="1663" spans="1:5" x14ac:dyDescent="0.25">
      <c r="A1663" s="4" t="s">
        <v>7</v>
      </c>
      <c r="B1663" s="4" t="s">
        <v>4433</v>
      </c>
      <c r="C1663" s="1" t="s">
        <v>4434</v>
      </c>
      <c r="D1663" s="1" t="s">
        <v>4149</v>
      </c>
      <c r="E1663" s="6">
        <v>9415</v>
      </c>
    </row>
    <row r="1664" spans="1:5" x14ac:dyDescent="0.25">
      <c r="A1664" s="4" t="s">
        <v>7</v>
      </c>
      <c r="B1664" s="4" t="s">
        <v>4435</v>
      </c>
      <c r="C1664" s="1" t="s">
        <v>4436</v>
      </c>
      <c r="D1664" s="1" t="s">
        <v>4437</v>
      </c>
      <c r="E1664" s="6">
        <v>2061</v>
      </c>
    </row>
    <row r="1665" spans="1:5" x14ac:dyDescent="0.25">
      <c r="A1665" s="4" t="s">
        <v>7</v>
      </c>
      <c r="B1665" s="4" t="s">
        <v>4438</v>
      </c>
      <c r="C1665" s="1" t="s">
        <v>4439</v>
      </c>
      <c r="D1665" s="1" t="s">
        <v>4440</v>
      </c>
      <c r="E1665" s="6">
        <v>3245</v>
      </c>
    </row>
    <row r="1666" spans="1:5" x14ac:dyDescent="0.25">
      <c r="A1666" s="4" t="s">
        <v>7</v>
      </c>
      <c r="B1666" s="4" t="s">
        <v>4441</v>
      </c>
      <c r="C1666" s="1" t="s">
        <v>4442</v>
      </c>
      <c r="D1666" s="1" t="s">
        <v>4443</v>
      </c>
      <c r="E1666" s="6">
        <v>3192</v>
      </c>
    </row>
    <row r="1667" spans="1:5" x14ac:dyDescent="0.25">
      <c r="A1667" s="4" t="s">
        <v>7</v>
      </c>
      <c r="B1667" s="4" t="s">
        <v>4444</v>
      </c>
      <c r="C1667" s="1" t="s">
        <v>4445</v>
      </c>
      <c r="D1667" s="1" t="s">
        <v>4446</v>
      </c>
      <c r="E1667" s="6">
        <v>1727</v>
      </c>
    </row>
    <row r="1668" spans="1:5" x14ac:dyDescent="0.25">
      <c r="A1668" s="4" t="s">
        <v>7</v>
      </c>
      <c r="B1668" s="4" t="s">
        <v>4447</v>
      </c>
      <c r="C1668" s="1" t="s">
        <v>4448</v>
      </c>
      <c r="D1668" s="1" t="s">
        <v>4449</v>
      </c>
      <c r="E1668" s="6">
        <v>1932</v>
      </c>
    </row>
    <row r="1669" spans="1:5" x14ac:dyDescent="0.25">
      <c r="A1669" s="4" t="s">
        <v>7</v>
      </c>
      <c r="B1669" s="4" t="s">
        <v>4450</v>
      </c>
      <c r="C1669" s="1" t="s">
        <v>4451</v>
      </c>
      <c r="D1669" s="1" t="s">
        <v>4452</v>
      </c>
      <c r="E1669" s="6">
        <v>2268</v>
      </c>
    </row>
    <row r="1670" spans="1:5" x14ac:dyDescent="0.25">
      <c r="A1670" s="4" t="s">
        <v>7</v>
      </c>
      <c r="B1670" s="4" t="s">
        <v>4453</v>
      </c>
      <c r="C1670" s="1" t="s">
        <v>4454</v>
      </c>
      <c r="D1670" s="1" t="s">
        <v>4455</v>
      </c>
      <c r="E1670" s="6">
        <v>2466</v>
      </c>
    </row>
    <row r="1671" spans="1:5" x14ac:dyDescent="0.25">
      <c r="A1671" s="4" t="s">
        <v>7</v>
      </c>
      <c r="B1671" s="4" t="s">
        <v>4456</v>
      </c>
      <c r="C1671" s="1" t="s">
        <v>4457</v>
      </c>
      <c r="D1671" s="1" t="s">
        <v>4458</v>
      </c>
      <c r="E1671" s="6">
        <v>2095</v>
      </c>
    </row>
    <row r="1672" spans="1:5" x14ac:dyDescent="0.25">
      <c r="A1672" s="4" t="s">
        <v>7</v>
      </c>
      <c r="B1672" s="4" t="s">
        <v>4459</v>
      </c>
      <c r="C1672" s="1" t="s">
        <v>4460</v>
      </c>
      <c r="D1672" s="1" t="s">
        <v>4461</v>
      </c>
      <c r="E1672" s="6">
        <v>2061</v>
      </c>
    </row>
    <row r="1673" spans="1:5" x14ac:dyDescent="0.25">
      <c r="A1673" s="4" t="s">
        <v>7</v>
      </c>
      <c r="B1673" s="4" t="s">
        <v>4462</v>
      </c>
      <c r="C1673" s="1" t="s">
        <v>4463</v>
      </c>
      <c r="D1673" s="1" t="s">
        <v>4464</v>
      </c>
      <c r="E1673" s="6">
        <v>2139</v>
      </c>
    </row>
    <row r="1674" spans="1:5" x14ac:dyDescent="0.25">
      <c r="A1674" s="4" t="s">
        <v>7</v>
      </c>
      <c r="B1674" s="4" t="s">
        <v>4465</v>
      </c>
      <c r="C1674" s="1" t="s">
        <v>4466</v>
      </c>
      <c r="D1674" s="1" t="s">
        <v>4467</v>
      </c>
      <c r="E1674" s="6">
        <v>659</v>
      </c>
    </row>
    <row r="1675" spans="1:5" x14ac:dyDescent="0.25">
      <c r="A1675" s="4" t="s">
        <v>7</v>
      </c>
      <c r="B1675" s="4" t="s">
        <v>4468</v>
      </c>
      <c r="C1675" s="1" t="s">
        <v>4469</v>
      </c>
      <c r="D1675" s="1" t="s">
        <v>4470</v>
      </c>
      <c r="E1675" s="6">
        <v>1638</v>
      </c>
    </row>
    <row r="1676" spans="1:5" x14ac:dyDescent="0.25">
      <c r="A1676" s="4" t="s">
        <v>7</v>
      </c>
      <c r="B1676" s="4" t="s">
        <v>4471</v>
      </c>
      <c r="C1676" s="1" t="s">
        <v>4472</v>
      </c>
      <c r="D1676" s="1" t="s">
        <v>4473</v>
      </c>
      <c r="E1676" s="6">
        <v>6353</v>
      </c>
    </row>
    <row r="1677" spans="1:5" x14ac:dyDescent="0.25">
      <c r="A1677" s="4" t="s">
        <v>7</v>
      </c>
      <c r="B1677" s="4" t="s">
        <v>4474</v>
      </c>
      <c r="C1677" s="1" t="s">
        <v>4475</v>
      </c>
      <c r="D1677" s="1" t="s">
        <v>4476</v>
      </c>
      <c r="E1677" s="6">
        <v>11845</v>
      </c>
    </row>
    <row r="1678" spans="1:5" x14ac:dyDescent="0.25">
      <c r="A1678" s="4" t="s">
        <v>7</v>
      </c>
      <c r="B1678" s="4" t="s">
        <v>4477</v>
      </c>
      <c r="C1678" s="1" t="s">
        <v>4478</v>
      </c>
      <c r="D1678" s="1" t="s">
        <v>4479</v>
      </c>
      <c r="E1678" s="6">
        <v>1840</v>
      </c>
    </row>
    <row r="1679" spans="1:5" x14ac:dyDescent="0.25">
      <c r="A1679" s="4" t="s">
        <v>7</v>
      </c>
      <c r="B1679" s="4" t="s">
        <v>4480</v>
      </c>
      <c r="C1679" s="1" t="s">
        <v>4481</v>
      </c>
      <c r="D1679" s="1" t="s">
        <v>4482</v>
      </c>
      <c r="E1679" s="6">
        <v>919</v>
      </c>
    </row>
    <row r="1680" spans="1:5" x14ac:dyDescent="0.25">
      <c r="A1680" s="4" t="s">
        <v>7</v>
      </c>
      <c r="B1680" s="4" t="s">
        <v>4483</v>
      </c>
      <c r="C1680" s="1" t="s">
        <v>4484</v>
      </c>
      <c r="D1680" s="1" t="s">
        <v>4485</v>
      </c>
      <c r="E1680" s="6">
        <v>1865</v>
      </c>
    </row>
    <row r="1681" spans="1:5" x14ac:dyDescent="0.25">
      <c r="A1681" s="4" t="s">
        <v>7</v>
      </c>
      <c r="B1681" s="4" t="s">
        <v>4486</v>
      </c>
      <c r="C1681" s="1" t="s">
        <v>4487</v>
      </c>
      <c r="D1681" s="1" t="s">
        <v>4482</v>
      </c>
      <c r="E1681" s="6">
        <v>905</v>
      </c>
    </row>
    <row r="1682" spans="1:5" x14ac:dyDescent="0.25">
      <c r="A1682" s="4" t="s">
        <v>7</v>
      </c>
      <c r="B1682" s="4" t="s">
        <v>4488</v>
      </c>
      <c r="C1682" s="1" t="s">
        <v>4489</v>
      </c>
      <c r="D1682" s="1" t="s">
        <v>4490</v>
      </c>
      <c r="E1682" s="6">
        <v>8121</v>
      </c>
    </row>
    <row r="1683" spans="1:5" x14ac:dyDescent="0.25">
      <c r="A1683" s="4" t="s">
        <v>7</v>
      </c>
      <c r="B1683" s="4" t="s">
        <v>4491</v>
      </c>
      <c r="C1683" s="1" t="s">
        <v>4492</v>
      </c>
      <c r="D1683" s="1" t="s">
        <v>4482</v>
      </c>
      <c r="E1683" s="6">
        <v>4871</v>
      </c>
    </row>
    <row r="1684" spans="1:5" x14ac:dyDescent="0.25">
      <c r="A1684" s="4" t="s">
        <v>7</v>
      </c>
      <c r="B1684" s="4" t="s">
        <v>4493</v>
      </c>
      <c r="C1684" s="1" t="s">
        <v>4494</v>
      </c>
      <c r="D1684" s="1" t="s">
        <v>4495</v>
      </c>
      <c r="E1684" s="6">
        <v>2211</v>
      </c>
    </row>
    <row r="1685" spans="1:5" x14ac:dyDescent="0.25">
      <c r="A1685" s="4" t="s">
        <v>7</v>
      </c>
      <c r="B1685" s="4" t="s">
        <v>4496</v>
      </c>
      <c r="C1685" s="1" t="s">
        <v>4497</v>
      </c>
      <c r="D1685" s="1" t="s">
        <v>4498</v>
      </c>
      <c r="E1685" s="6">
        <v>2244</v>
      </c>
    </row>
    <row r="1686" spans="1:5" x14ac:dyDescent="0.25">
      <c r="A1686" s="4" t="s">
        <v>7</v>
      </c>
      <c r="B1686" s="4" t="s">
        <v>4499</v>
      </c>
      <c r="C1686" s="1" t="s">
        <v>4500</v>
      </c>
      <c r="D1686" s="1" t="s">
        <v>4501</v>
      </c>
      <c r="E1686" s="6">
        <v>1969</v>
      </c>
    </row>
    <row r="1687" spans="1:5" x14ac:dyDescent="0.25">
      <c r="A1687" s="4" t="s">
        <v>7</v>
      </c>
      <c r="B1687" s="4" t="s">
        <v>4502</v>
      </c>
      <c r="C1687" s="1" t="s">
        <v>4503</v>
      </c>
      <c r="D1687" s="1" t="s">
        <v>4504</v>
      </c>
      <c r="E1687" s="6">
        <v>1441</v>
      </c>
    </row>
    <row r="1688" spans="1:5" x14ac:dyDescent="0.25">
      <c r="A1688" s="4" t="s">
        <v>7</v>
      </c>
      <c r="B1688" s="4" t="s">
        <v>4505</v>
      </c>
      <c r="C1688" s="1" t="s">
        <v>4506</v>
      </c>
      <c r="D1688" s="1" t="s">
        <v>4501</v>
      </c>
      <c r="E1688" s="6">
        <v>1406</v>
      </c>
    </row>
    <row r="1689" spans="1:5" x14ac:dyDescent="0.25">
      <c r="A1689" s="4" t="s">
        <v>7</v>
      </c>
      <c r="B1689" s="4" t="s">
        <v>4507</v>
      </c>
      <c r="C1689" s="1" t="s">
        <v>4508</v>
      </c>
      <c r="D1689" s="1" t="s">
        <v>4504</v>
      </c>
      <c r="E1689" s="6">
        <v>2951</v>
      </c>
    </row>
    <row r="1690" spans="1:5" x14ac:dyDescent="0.25">
      <c r="A1690" s="4" t="s">
        <v>7</v>
      </c>
      <c r="B1690" s="4" t="s">
        <v>4509</v>
      </c>
      <c r="C1690" s="1" t="s">
        <v>4407</v>
      </c>
      <c r="D1690" s="1" t="s">
        <v>4408</v>
      </c>
      <c r="E1690" s="6">
        <v>1680</v>
      </c>
    </row>
    <row r="1691" spans="1:5" x14ac:dyDescent="0.25">
      <c r="A1691" s="4" t="s">
        <v>7</v>
      </c>
      <c r="B1691" s="4" t="s">
        <v>4510</v>
      </c>
      <c r="C1691" s="1" t="s">
        <v>4511</v>
      </c>
      <c r="D1691" s="1" t="s">
        <v>4512</v>
      </c>
      <c r="E1691" s="6">
        <v>1213.77</v>
      </c>
    </row>
    <row r="1692" spans="1:5" x14ac:dyDescent="0.25">
      <c r="A1692" s="4" t="s">
        <v>7</v>
      </c>
      <c r="B1692" s="4" t="s">
        <v>4513</v>
      </c>
      <c r="C1692" s="1" t="s">
        <v>4514</v>
      </c>
      <c r="D1692" s="1" t="s">
        <v>4515</v>
      </c>
      <c r="E1692" s="6">
        <v>5720</v>
      </c>
    </row>
    <row r="1693" spans="1:5" x14ac:dyDescent="0.25">
      <c r="A1693" s="4" t="s">
        <v>7</v>
      </c>
      <c r="B1693" s="4" t="s">
        <v>4516</v>
      </c>
      <c r="C1693" s="1" t="s">
        <v>2496</v>
      </c>
      <c r="D1693" s="1" t="s">
        <v>2497</v>
      </c>
      <c r="E1693" s="6">
        <v>651</v>
      </c>
    </row>
    <row r="1694" spans="1:5" x14ac:dyDescent="0.25">
      <c r="A1694" s="4" t="s">
        <v>7</v>
      </c>
      <c r="B1694" s="4" t="s">
        <v>4517</v>
      </c>
      <c r="C1694" s="1" t="s">
        <v>4070</v>
      </c>
      <c r="D1694" s="1" t="s">
        <v>4071</v>
      </c>
      <c r="E1694" s="6">
        <v>8819</v>
      </c>
    </row>
    <row r="1695" spans="1:5" x14ac:dyDescent="0.25">
      <c r="A1695" s="4" t="s">
        <v>7</v>
      </c>
      <c r="B1695" s="4" t="s">
        <v>4518</v>
      </c>
      <c r="C1695" s="1" t="s">
        <v>4073</v>
      </c>
      <c r="D1695" s="1" t="s">
        <v>4074</v>
      </c>
      <c r="E1695" s="6">
        <v>1190</v>
      </c>
    </row>
    <row r="1696" spans="1:5" x14ac:dyDescent="0.25">
      <c r="A1696" s="4" t="s">
        <v>7</v>
      </c>
      <c r="B1696" s="4" t="s">
        <v>4519</v>
      </c>
      <c r="C1696" s="1" t="s">
        <v>2586</v>
      </c>
      <c r="D1696" s="1" t="s">
        <v>2587</v>
      </c>
      <c r="E1696" s="6">
        <v>3075</v>
      </c>
    </row>
    <row r="1697" spans="1:5" x14ac:dyDescent="0.25">
      <c r="A1697" s="4" t="s">
        <v>7</v>
      </c>
      <c r="B1697" s="4" t="s">
        <v>4520</v>
      </c>
      <c r="C1697" s="1" t="s">
        <v>4413</v>
      </c>
      <c r="D1697" s="1" t="s">
        <v>4414</v>
      </c>
      <c r="E1697" s="6">
        <v>1712</v>
      </c>
    </row>
    <row r="1698" spans="1:5" x14ac:dyDescent="0.25">
      <c r="A1698" s="4" t="s">
        <v>7</v>
      </c>
      <c r="B1698" s="4" t="s">
        <v>4521</v>
      </c>
      <c r="C1698" s="1" t="s">
        <v>4522</v>
      </c>
      <c r="D1698" s="1" t="s">
        <v>4523</v>
      </c>
      <c r="E1698" s="6">
        <v>2294</v>
      </c>
    </row>
    <row r="1699" spans="1:5" x14ac:dyDescent="0.25">
      <c r="A1699" s="4" t="s">
        <v>7</v>
      </c>
      <c r="B1699" s="4" t="s">
        <v>4524</v>
      </c>
      <c r="C1699" s="1" t="s">
        <v>4525</v>
      </c>
      <c r="D1699" s="1" t="s">
        <v>4526</v>
      </c>
      <c r="E1699" s="6">
        <v>7602</v>
      </c>
    </row>
    <row r="1700" spans="1:5" x14ac:dyDescent="0.25">
      <c r="A1700" s="4" t="s">
        <v>7</v>
      </c>
      <c r="B1700" s="4" t="s">
        <v>4527</v>
      </c>
      <c r="C1700" s="1" t="s">
        <v>4416</v>
      </c>
      <c r="D1700" s="1" t="s">
        <v>4417</v>
      </c>
      <c r="E1700" s="6">
        <v>2787</v>
      </c>
    </row>
    <row r="1701" spans="1:5" x14ac:dyDescent="0.25">
      <c r="A1701" s="4" t="s">
        <v>7</v>
      </c>
      <c r="B1701" s="4" t="s">
        <v>4528</v>
      </c>
      <c r="C1701" s="1" t="s">
        <v>4419</v>
      </c>
      <c r="D1701" s="1" t="s">
        <v>4420</v>
      </c>
      <c r="E1701" s="6">
        <v>1190</v>
      </c>
    </row>
    <row r="1702" spans="1:5" x14ac:dyDescent="0.25">
      <c r="A1702" s="4" t="s">
        <v>7</v>
      </c>
      <c r="B1702" s="4" t="s">
        <v>4529</v>
      </c>
      <c r="C1702" s="1" t="s">
        <v>4127</v>
      </c>
      <c r="D1702" s="1" t="s">
        <v>4128</v>
      </c>
      <c r="E1702" s="6">
        <v>1281</v>
      </c>
    </row>
    <row r="1703" spans="1:5" x14ac:dyDescent="0.25">
      <c r="A1703" s="4" t="s">
        <v>7</v>
      </c>
      <c r="B1703" s="4" t="s">
        <v>4530</v>
      </c>
      <c r="C1703" s="1" t="s">
        <v>4133</v>
      </c>
      <c r="D1703" s="1" t="s">
        <v>4134</v>
      </c>
      <c r="E1703" s="6">
        <v>1675</v>
      </c>
    </row>
    <row r="1704" spans="1:5" x14ac:dyDescent="0.25">
      <c r="A1704" s="4" t="s">
        <v>7</v>
      </c>
      <c r="B1704" s="4" t="s">
        <v>4531</v>
      </c>
      <c r="C1704" s="1" t="s">
        <v>4136</v>
      </c>
      <c r="D1704" s="1" t="s">
        <v>4137</v>
      </c>
      <c r="E1704" s="6">
        <v>2854</v>
      </c>
    </row>
    <row r="1705" spans="1:5" x14ac:dyDescent="0.25">
      <c r="A1705" s="4" t="s">
        <v>7</v>
      </c>
      <c r="B1705" s="4" t="s">
        <v>4532</v>
      </c>
      <c r="C1705" s="1" t="s">
        <v>4139</v>
      </c>
      <c r="D1705" s="1" t="s">
        <v>4140</v>
      </c>
      <c r="E1705" s="6">
        <v>3986</v>
      </c>
    </row>
    <row r="1706" spans="1:5" x14ac:dyDescent="0.25">
      <c r="A1706" s="4" t="s">
        <v>7</v>
      </c>
      <c r="B1706" s="4" t="s">
        <v>4533</v>
      </c>
      <c r="C1706" s="1" t="s">
        <v>4534</v>
      </c>
      <c r="D1706" s="1" t="s">
        <v>4535</v>
      </c>
      <c r="E1706" s="6">
        <v>1562</v>
      </c>
    </row>
    <row r="1707" spans="1:5" x14ac:dyDescent="0.25">
      <c r="A1707" s="4" t="s">
        <v>7</v>
      </c>
      <c r="B1707" s="4" t="s">
        <v>4536</v>
      </c>
      <c r="C1707" s="1" t="s">
        <v>4537</v>
      </c>
      <c r="D1707" s="1" t="s">
        <v>4538</v>
      </c>
      <c r="E1707" s="6">
        <v>1385</v>
      </c>
    </row>
    <row r="1708" spans="1:5" x14ac:dyDescent="0.25">
      <c r="A1708" s="4" t="s">
        <v>7</v>
      </c>
      <c r="B1708" s="4" t="s">
        <v>4539</v>
      </c>
      <c r="C1708" s="1" t="s">
        <v>4540</v>
      </c>
      <c r="D1708" s="1" t="s">
        <v>4541</v>
      </c>
      <c r="E1708" s="6">
        <v>1461</v>
      </c>
    </row>
    <row r="1709" spans="1:5" x14ac:dyDescent="0.25">
      <c r="A1709" s="4" t="s">
        <v>7</v>
      </c>
      <c r="B1709" s="4" t="s">
        <v>4542</v>
      </c>
      <c r="C1709" s="1" t="s">
        <v>4543</v>
      </c>
      <c r="D1709" s="1" t="s">
        <v>4544</v>
      </c>
      <c r="E1709" s="6">
        <v>1562</v>
      </c>
    </row>
    <row r="1710" spans="1:5" x14ac:dyDescent="0.25">
      <c r="A1710" s="4" t="s">
        <v>7</v>
      </c>
      <c r="B1710" s="4" t="s">
        <v>4545</v>
      </c>
      <c r="C1710" s="1" t="s">
        <v>4546</v>
      </c>
      <c r="D1710" s="1" t="s">
        <v>4547</v>
      </c>
      <c r="E1710" s="6">
        <v>1461</v>
      </c>
    </row>
    <row r="1711" spans="1:5" x14ac:dyDescent="0.25">
      <c r="A1711" s="4" t="s">
        <v>7</v>
      </c>
      <c r="B1711" s="4" t="s">
        <v>4548</v>
      </c>
      <c r="C1711" s="1" t="s">
        <v>4148</v>
      </c>
      <c r="D1711" s="1" t="s">
        <v>4149</v>
      </c>
      <c r="E1711" s="6">
        <v>1212</v>
      </c>
    </row>
    <row r="1712" spans="1:5" x14ac:dyDescent="0.25">
      <c r="A1712" s="4" t="s">
        <v>7</v>
      </c>
      <c r="B1712" s="4" t="s">
        <v>4549</v>
      </c>
      <c r="C1712" s="1" t="s">
        <v>4434</v>
      </c>
      <c r="D1712" s="1" t="s">
        <v>4149</v>
      </c>
      <c r="E1712" s="6">
        <v>1482</v>
      </c>
    </row>
    <row r="1713" spans="1:5" x14ac:dyDescent="0.25">
      <c r="A1713" s="4" t="s">
        <v>7</v>
      </c>
      <c r="B1713" s="4" t="s">
        <v>4550</v>
      </c>
      <c r="C1713" s="1" t="s">
        <v>4151</v>
      </c>
      <c r="D1713" s="1" t="s">
        <v>4149</v>
      </c>
      <c r="E1713" s="6">
        <v>1588</v>
      </c>
    </row>
    <row r="1714" spans="1:5" x14ac:dyDescent="0.25">
      <c r="A1714" s="4" t="s">
        <v>7</v>
      </c>
      <c r="B1714" s="4" t="s">
        <v>4551</v>
      </c>
      <c r="C1714" s="1" t="s">
        <v>2622</v>
      </c>
      <c r="D1714" s="1" t="s">
        <v>3751</v>
      </c>
      <c r="E1714" s="6">
        <v>2494</v>
      </c>
    </row>
    <row r="1715" spans="1:5" x14ac:dyDescent="0.25">
      <c r="A1715" s="4" t="s">
        <v>7</v>
      </c>
      <c r="B1715" s="4" t="s">
        <v>4552</v>
      </c>
      <c r="C1715" s="1" t="s">
        <v>2669</v>
      </c>
      <c r="D1715" s="1" t="s">
        <v>2670</v>
      </c>
      <c r="E1715" s="6">
        <v>1986</v>
      </c>
    </row>
    <row r="1716" spans="1:5" x14ac:dyDescent="0.25">
      <c r="A1716" s="4" t="s">
        <v>7</v>
      </c>
      <c r="B1716" s="4" t="s">
        <v>4553</v>
      </c>
      <c r="C1716" s="1" t="s">
        <v>4436</v>
      </c>
      <c r="D1716" s="1" t="s">
        <v>4437</v>
      </c>
      <c r="E1716" s="6">
        <v>2061</v>
      </c>
    </row>
    <row r="1717" spans="1:5" x14ac:dyDescent="0.25">
      <c r="A1717" s="4" t="s">
        <v>7</v>
      </c>
      <c r="B1717" s="4" t="s">
        <v>4554</v>
      </c>
      <c r="C1717" s="1" t="s">
        <v>4439</v>
      </c>
      <c r="D1717" s="1" t="s">
        <v>4440</v>
      </c>
      <c r="E1717" s="6">
        <v>3245</v>
      </c>
    </row>
    <row r="1718" spans="1:5" x14ac:dyDescent="0.25">
      <c r="A1718" s="4" t="s">
        <v>7</v>
      </c>
      <c r="B1718" s="4" t="s">
        <v>4555</v>
      </c>
      <c r="C1718" s="1" t="s">
        <v>4264</v>
      </c>
      <c r="D1718" s="1" t="s">
        <v>4265</v>
      </c>
      <c r="E1718" s="6">
        <v>4500</v>
      </c>
    </row>
    <row r="1719" spans="1:5" x14ac:dyDescent="0.25">
      <c r="A1719" s="4" t="s">
        <v>7</v>
      </c>
      <c r="B1719" s="4" t="s">
        <v>4556</v>
      </c>
      <c r="C1719" s="1" t="s">
        <v>4557</v>
      </c>
      <c r="D1719" s="1" t="s">
        <v>4211</v>
      </c>
      <c r="E1719" s="6">
        <v>7602</v>
      </c>
    </row>
    <row r="1720" spans="1:5" x14ac:dyDescent="0.25">
      <c r="A1720" s="4" t="s">
        <v>7</v>
      </c>
      <c r="B1720" s="4" t="s">
        <v>4558</v>
      </c>
      <c r="C1720" s="1" t="s">
        <v>4442</v>
      </c>
      <c r="D1720" s="1" t="s">
        <v>4443</v>
      </c>
      <c r="E1720" s="6">
        <v>3192</v>
      </c>
    </row>
    <row r="1721" spans="1:5" x14ac:dyDescent="0.25">
      <c r="A1721" s="4" t="s">
        <v>7</v>
      </c>
      <c r="B1721" s="4" t="s">
        <v>4559</v>
      </c>
      <c r="C1721" s="1" t="s">
        <v>4560</v>
      </c>
      <c r="D1721" s="1" t="s">
        <v>4561</v>
      </c>
      <c r="E1721" s="6">
        <v>2700</v>
      </c>
    </row>
    <row r="1722" spans="1:5" x14ac:dyDescent="0.25">
      <c r="A1722" s="4" t="s">
        <v>7</v>
      </c>
      <c r="B1722" s="4" t="s">
        <v>4562</v>
      </c>
      <c r="C1722" s="1" t="s">
        <v>4240</v>
      </c>
      <c r="D1722" s="1" t="s">
        <v>4241</v>
      </c>
      <c r="E1722" s="6">
        <v>1736</v>
      </c>
    </row>
    <row r="1723" spans="1:5" x14ac:dyDescent="0.25">
      <c r="A1723" s="4" t="s">
        <v>7</v>
      </c>
      <c r="B1723" s="4" t="s">
        <v>4563</v>
      </c>
      <c r="C1723" s="1" t="s">
        <v>4243</v>
      </c>
      <c r="D1723" s="1" t="s">
        <v>4244</v>
      </c>
      <c r="E1723" s="6">
        <v>2249</v>
      </c>
    </row>
    <row r="1724" spans="1:5" x14ac:dyDescent="0.25">
      <c r="A1724" s="4" t="s">
        <v>7</v>
      </c>
      <c r="B1724" s="4" t="s">
        <v>4564</v>
      </c>
      <c r="C1724" s="1" t="s">
        <v>4445</v>
      </c>
      <c r="D1724" s="1" t="s">
        <v>4446</v>
      </c>
      <c r="E1724" s="6">
        <v>1727</v>
      </c>
    </row>
    <row r="1725" spans="1:5" x14ac:dyDescent="0.25">
      <c r="A1725" s="4" t="s">
        <v>7</v>
      </c>
      <c r="B1725" s="4" t="s">
        <v>4565</v>
      </c>
      <c r="C1725" s="1" t="s">
        <v>4249</v>
      </c>
      <c r="D1725" s="1" t="s">
        <v>4250</v>
      </c>
      <c r="E1725" s="6">
        <v>2300</v>
      </c>
    </row>
    <row r="1726" spans="1:5" x14ac:dyDescent="0.25">
      <c r="A1726" s="4" t="s">
        <v>7</v>
      </c>
      <c r="B1726" s="4" t="s">
        <v>4566</v>
      </c>
      <c r="C1726" s="1" t="s">
        <v>4448</v>
      </c>
      <c r="D1726" s="1" t="s">
        <v>4449</v>
      </c>
      <c r="E1726" s="6">
        <v>1932</v>
      </c>
    </row>
    <row r="1727" spans="1:5" x14ac:dyDescent="0.25">
      <c r="A1727" s="4" t="s">
        <v>7</v>
      </c>
      <c r="B1727" s="4" t="s">
        <v>4567</v>
      </c>
      <c r="C1727" s="1" t="s">
        <v>4451</v>
      </c>
      <c r="D1727" s="1" t="s">
        <v>4452</v>
      </c>
      <c r="E1727" s="6">
        <v>2268</v>
      </c>
    </row>
    <row r="1728" spans="1:5" x14ac:dyDescent="0.25">
      <c r="A1728" s="4" t="s">
        <v>7</v>
      </c>
      <c r="B1728" s="4" t="s">
        <v>4568</v>
      </c>
      <c r="C1728" s="1" t="s">
        <v>4270</v>
      </c>
      <c r="D1728" s="1" t="s">
        <v>4271</v>
      </c>
      <c r="E1728" s="6">
        <v>2688</v>
      </c>
    </row>
    <row r="1729" spans="1:5" x14ac:dyDescent="0.25">
      <c r="A1729" s="4" t="s">
        <v>7</v>
      </c>
      <c r="B1729" s="4" t="s">
        <v>4569</v>
      </c>
      <c r="C1729" s="1" t="s">
        <v>4570</v>
      </c>
      <c r="D1729" s="1" t="s">
        <v>4571</v>
      </c>
      <c r="E1729" s="6">
        <v>2744</v>
      </c>
    </row>
    <row r="1730" spans="1:5" x14ac:dyDescent="0.25">
      <c r="A1730" s="4" t="s">
        <v>7</v>
      </c>
      <c r="B1730" s="4" t="s">
        <v>4572</v>
      </c>
      <c r="C1730" s="1" t="s">
        <v>2735</v>
      </c>
      <c r="D1730" s="1" t="s">
        <v>2736</v>
      </c>
      <c r="E1730" s="6">
        <v>4388</v>
      </c>
    </row>
    <row r="1731" spans="1:5" x14ac:dyDescent="0.25">
      <c r="A1731" s="4" t="s">
        <v>7</v>
      </c>
      <c r="B1731" s="4" t="s">
        <v>4573</v>
      </c>
      <c r="C1731" s="1" t="s">
        <v>2741</v>
      </c>
      <c r="D1731" s="1" t="s">
        <v>2742</v>
      </c>
      <c r="E1731" s="6">
        <v>6556</v>
      </c>
    </row>
    <row r="1732" spans="1:5" x14ac:dyDescent="0.25">
      <c r="A1732" s="4" t="s">
        <v>7</v>
      </c>
      <c r="B1732" s="4" t="s">
        <v>4574</v>
      </c>
      <c r="C1732" s="1" t="s">
        <v>4454</v>
      </c>
      <c r="D1732" s="1" t="s">
        <v>4455</v>
      </c>
      <c r="E1732" s="6">
        <v>2466</v>
      </c>
    </row>
    <row r="1733" spans="1:5" x14ac:dyDescent="0.25">
      <c r="A1733" s="4" t="s">
        <v>7</v>
      </c>
      <c r="B1733" s="4" t="s">
        <v>4575</v>
      </c>
      <c r="C1733" s="1" t="s">
        <v>4293</v>
      </c>
      <c r="D1733" s="1" t="s">
        <v>4294</v>
      </c>
      <c r="E1733" s="6">
        <v>2716</v>
      </c>
    </row>
    <row r="1734" spans="1:5" x14ac:dyDescent="0.25">
      <c r="A1734" s="4" t="s">
        <v>7</v>
      </c>
      <c r="B1734" s="4" t="s">
        <v>4576</v>
      </c>
      <c r="C1734" s="1" t="s">
        <v>4577</v>
      </c>
      <c r="D1734" s="1" t="s">
        <v>4578</v>
      </c>
      <c r="E1734" s="6">
        <v>3852</v>
      </c>
    </row>
    <row r="1735" spans="1:5" x14ac:dyDescent="0.25">
      <c r="A1735" s="4" t="s">
        <v>7</v>
      </c>
      <c r="B1735" s="4" t="s">
        <v>4579</v>
      </c>
      <c r="C1735" s="1" t="s">
        <v>4457</v>
      </c>
      <c r="D1735" s="1" t="s">
        <v>4458</v>
      </c>
      <c r="E1735" s="6">
        <v>2095</v>
      </c>
    </row>
    <row r="1736" spans="1:5" x14ac:dyDescent="0.25">
      <c r="A1736" s="4" t="s">
        <v>7</v>
      </c>
      <c r="B1736" s="4" t="s">
        <v>4580</v>
      </c>
      <c r="C1736" s="1" t="s">
        <v>4318</v>
      </c>
      <c r="D1736" s="1" t="s">
        <v>4319</v>
      </c>
      <c r="E1736" s="6">
        <v>2114</v>
      </c>
    </row>
    <row r="1737" spans="1:5" x14ac:dyDescent="0.25">
      <c r="A1737" s="4" t="s">
        <v>7</v>
      </c>
      <c r="B1737" s="4" t="s">
        <v>4581</v>
      </c>
      <c r="C1737" s="1" t="s">
        <v>4582</v>
      </c>
      <c r="D1737" s="1" t="s">
        <v>4583</v>
      </c>
      <c r="E1737" s="6">
        <v>4241</v>
      </c>
    </row>
    <row r="1738" spans="1:5" x14ac:dyDescent="0.25">
      <c r="A1738" s="4" t="s">
        <v>7</v>
      </c>
      <c r="B1738" s="4" t="s">
        <v>4584</v>
      </c>
      <c r="C1738" s="1" t="s">
        <v>4460</v>
      </c>
      <c r="D1738" s="1" t="s">
        <v>4461</v>
      </c>
      <c r="E1738" s="6">
        <v>2061</v>
      </c>
    </row>
    <row r="1739" spans="1:5" x14ac:dyDescent="0.25">
      <c r="A1739" s="4" t="s">
        <v>7</v>
      </c>
      <c r="B1739" s="4" t="s">
        <v>4585</v>
      </c>
      <c r="C1739" s="1" t="s">
        <v>4463</v>
      </c>
      <c r="D1739" s="1" t="s">
        <v>4464</v>
      </c>
      <c r="E1739" s="6">
        <v>2139</v>
      </c>
    </row>
    <row r="1740" spans="1:5" x14ac:dyDescent="0.25">
      <c r="A1740" s="4" t="s">
        <v>7</v>
      </c>
      <c r="B1740" s="4" t="s">
        <v>4586</v>
      </c>
      <c r="C1740" s="1" t="s">
        <v>4326</v>
      </c>
      <c r="D1740" s="1" t="s">
        <v>4327</v>
      </c>
      <c r="E1740" s="6">
        <v>2312</v>
      </c>
    </row>
    <row r="1741" spans="1:5" x14ac:dyDescent="0.25">
      <c r="A1741" s="4" t="s">
        <v>7</v>
      </c>
      <c r="B1741" s="4" t="s">
        <v>4587</v>
      </c>
      <c r="C1741" s="1" t="s">
        <v>4329</v>
      </c>
      <c r="D1741" s="1" t="s">
        <v>4330</v>
      </c>
      <c r="E1741" s="6">
        <v>3328</v>
      </c>
    </row>
    <row r="1742" spans="1:5" x14ac:dyDescent="0.25">
      <c r="A1742" s="4" t="s">
        <v>7</v>
      </c>
      <c r="B1742" s="4" t="s">
        <v>4588</v>
      </c>
      <c r="C1742" s="1" t="s">
        <v>4335</v>
      </c>
      <c r="D1742" s="1" t="s">
        <v>4336</v>
      </c>
      <c r="E1742" s="6">
        <v>2600</v>
      </c>
    </row>
    <row r="1743" spans="1:5" x14ac:dyDescent="0.25">
      <c r="A1743" s="4" t="s">
        <v>7</v>
      </c>
      <c r="B1743" s="4" t="s">
        <v>4589</v>
      </c>
      <c r="C1743" s="1" t="s">
        <v>4338</v>
      </c>
      <c r="D1743" s="1" t="s">
        <v>4339</v>
      </c>
      <c r="E1743" s="6">
        <v>3200</v>
      </c>
    </row>
    <row r="1744" spans="1:5" x14ac:dyDescent="0.25">
      <c r="A1744" s="4" t="s">
        <v>7</v>
      </c>
      <c r="B1744" s="4" t="s">
        <v>4590</v>
      </c>
      <c r="C1744" s="1" t="s">
        <v>4332</v>
      </c>
      <c r="D1744" s="1" t="s">
        <v>4333</v>
      </c>
      <c r="E1744" s="6">
        <v>1752</v>
      </c>
    </row>
    <row r="1745" spans="1:5" x14ac:dyDescent="0.25">
      <c r="A1745" s="4" t="s">
        <v>7</v>
      </c>
      <c r="B1745" s="4" t="s">
        <v>4591</v>
      </c>
      <c r="C1745" s="1" t="s">
        <v>4592</v>
      </c>
      <c r="D1745" s="1" t="s">
        <v>4593</v>
      </c>
      <c r="E1745" s="6">
        <v>3328</v>
      </c>
    </row>
    <row r="1746" spans="1:5" x14ac:dyDescent="0.25">
      <c r="A1746" s="4" t="s">
        <v>7</v>
      </c>
      <c r="B1746" s="4" t="s">
        <v>4594</v>
      </c>
      <c r="C1746" s="1" t="s">
        <v>4595</v>
      </c>
      <c r="D1746" s="1" t="s">
        <v>4596</v>
      </c>
      <c r="E1746" s="6">
        <v>2295</v>
      </c>
    </row>
    <row r="1747" spans="1:5" x14ac:dyDescent="0.25">
      <c r="A1747" s="4" t="s">
        <v>7</v>
      </c>
      <c r="B1747" s="4" t="s">
        <v>4597</v>
      </c>
      <c r="C1747" s="1" t="s">
        <v>4598</v>
      </c>
      <c r="D1747" s="1" t="s">
        <v>4599</v>
      </c>
      <c r="E1747" s="6">
        <v>4630</v>
      </c>
    </row>
    <row r="1748" spans="1:5" x14ac:dyDescent="0.25">
      <c r="A1748" s="4" t="s">
        <v>7</v>
      </c>
      <c r="B1748" s="4" t="s">
        <v>4600</v>
      </c>
      <c r="C1748" s="1" t="s">
        <v>4601</v>
      </c>
      <c r="D1748" s="1" t="s">
        <v>4602</v>
      </c>
      <c r="E1748" s="6">
        <v>1658</v>
      </c>
    </row>
    <row r="1749" spans="1:5" x14ac:dyDescent="0.25">
      <c r="A1749" s="4" t="s">
        <v>7</v>
      </c>
      <c r="B1749" s="4" t="s">
        <v>4603</v>
      </c>
      <c r="C1749" s="1" t="s">
        <v>4604</v>
      </c>
      <c r="D1749" s="1" t="s">
        <v>4605</v>
      </c>
      <c r="E1749" s="6">
        <v>6576</v>
      </c>
    </row>
    <row r="1750" spans="1:5" x14ac:dyDescent="0.25">
      <c r="A1750" s="4" t="s">
        <v>7</v>
      </c>
      <c r="B1750" s="4" t="s">
        <v>4606</v>
      </c>
      <c r="C1750" s="1" t="s">
        <v>2511</v>
      </c>
      <c r="D1750" s="1" t="s">
        <v>2512</v>
      </c>
      <c r="E1750" s="6">
        <v>7427</v>
      </c>
    </row>
    <row r="1751" spans="1:5" x14ac:dyDescent="0.25">
      <c r="A1751" s="4" t="s">
        <v>7</v>
      </c>
      <c r="B1751" s="4" t="s">
        <v>4607</v>
      </c>
      <c r="C1751" s="1" t="s">
        <v>3456</v>
      </c>
      <c r="D1751" s="1" t="s">
        <v>3457</v>
      </c>
      <c r="E1751" s="6">
        <v>5275</v>
      </c>
    </row>
    <row r="1752" spans="1:5" x14ac:dyDescent="0.25">
      <c r="A1752" s="4" t="s">
        <v>7</v>
      </c>
      <c r="B1752" s="4" t="s">
        <v>4608</v>
      </c>
      <c r="C1752" s="1" t="s">
        <v>4609</v>
      </c>
      <c r="D1752" s="1" t="s">
        <v>4610</v>
      </c>
      <c r="E1752" s="6">
        <v>5827</v>
      </c>
    </row>
    <row r="1753" spans="1:5" x14ac:dyDescent="0.25">
      <c r="A1753" s="4" t="s">
        <v>7</v>
      </c>
      <c r="B1753" s="4" t="s">
        <v>4611</v>
      </c>
      <c r="C1753" s="1" t="s">
        <v>3998</v>
      </c>
      <c r="D1753" s="1" t="s">
        <v>3999</v>
      </c>
      <c r="E1753" s="6">
        <v>2414</v>
      </c>
    </row>
    <row r="1754" spans="1:5" x14ac:dyDescent="0.25">
      <c r="A1754" s="4" t="s">
        <v>7</v>
      </c>
      <c r="B1754" s="4" t="s">
        <v>4612</v>
      </c>
      <c r="C1754" s="1" t="s">
        <v>4613</v>
      </c>
      <c r="D1754" s="1" t="s">
        <v>4614</v>
      </c>
      <c r="E1754" s="6">
        <v>4067</v>
      </c>
    </row>
    <row r="1755" spans="1:5" x14ac:dyDescent="0.25">
      <c r="A1755" s="4" t="s">
        <v>7</v>
      </c>
      <c r="B1755" s="4" t="s">
        <v>4615</v>
      </c>
      <c r="C1755" s="1" t="s">
        <v>2499</v>
      </c>
      <c r="D1755" s="1" t="s">
        <v>2500</v>
      </c>
      <c r="E1755" s="6">
        <v>2826</v>
      </c>
    </row>
    <row r="1756" spans="1:5" x14ac:dyDescent="0.25">
      <c r="A1756" s="4" t="s">
        <v>7</v>
      </c>
      <c r="B1756" s="4" t="s">
        <v>4616</v>
      </c>
      <c r="C1756" s="1" t="s">
        <v>3560</v>
      </c>
      <c r="D1756" s="1" t="s">
        <v>4617</v>
      </c>
      <c r="E1756" s="6">
        <v>2413</v>
      </c>
    </row>
    <row r="1757" spans="1:5" x14ac:dyDescent="0.25">
      <c r="A1757" s="4" t="s">
        <v>7</v>
      </c>
      <c r="B1757" s="4" t="s">
        <v>4618</v>
      </c>
      <c r="C1757" s="1" t="s">
        <v>2589</v>
      </c>
      <c r="D1757" s="1" t="s">
        <v>2590</v>
      </c>
      <c r="E1757" s="6">
        <v>2413</v>
      </c>
    </row>
    <row r="1758" spans="1:5" x14ac:dyDescent="0.25">
      <c r="A1758" s="4" t="s">
        <v>7</v>
      </c>
      <c r="B1758" s="4" t="s">
        <v>4619</v>
      </c>
      <c r="C1758" s="1" t="s">
        <v>3593</v>
      </c>
      <c r="D1758" s="1" t="s">
        <v>3594</v>
      </c>
      <c r="E1758" s="6">
        <v>2095</v>
      </c>
    </row>
    <row r="1759" spans="1:5" x14ac:dyDescent="0.25">
      <c r="A1759" s="4" t="s">
        <v>7</v>
      </c>
      <c r="B1759" s="4" t="s">
        <v>4620</v>
      </c>
      <c r="C1759" s="1" t="s">
        <v>4621</v>
      </c>
      <c r="D1759" s="1" t="s">
        <v>4622</v>
      </c>
      <c r="E1759" s="6">
        <v>948</v>
      </c>
    </row>
    <row r="1760" spans="1:5" x14ac:dyDescent="0.25">
      <c r="A1760" s="4" t="s">
        <v>7</v>
      </c>
      <c r="B1760" s="4" t="s">
        <v>4623</v>
      </c>
      <c r="C1760" s="1" t="s">
        <v>4036</v>
      </c>
      <c r="D1760" s="1" t="s">
        <v>4037</v>
      </c>
      <c r="E1760" s="6">
        <v>2164</v>
      </c>
    </row>
    <row r="1761" spans="1:5" x14ac:dyDescent="0.25">
      <c r="A1761" s="4" t="s">
        <v>7</v>
      </c>
      <c r="B1761" s="4" t="s">
        <v>4624</v>
      </c>
      <c r="C1761" s="1" t="s">
        <v>4625</v>
      </c>
      <c r="D1761" s="1" t="s">
        <v>4626</v>
      </c>
      <c r="E1761" s="6">
        <v>6508</v>
      </c>
    </row>
    <row r="1762" spans="1:5" x14ac:dyDescent="0.25">
      <c r="A1762" s="4" t="s">
        <v>7</v>
      </c>
      <c r="B1762" s="4" t="s">
        <v>4627</v>
      </c>
      <c r="C1762" s="1" t="s">
        <v>4628</v>
      </c>
      <c r="D1762" s="1" t="s">
        <v>4626</v>
      </c>
      <c r="E1762" s="6">
        <v>2651</v>
      </c>
    </row>
    <row r="1763" spans="1:5" x14ac:dyDescent="0.25">
      <c r="A1763" s="4" t="s">
        <v>7</v>
      </c>
      <c r="B1763" s="4" t="s">
        <v>4629</v>
      </c>
      <c r="C1763" s="1" t="s">
        <v>2669</v>
      </c>
      <c r="D1763" s="1" t="s">
        <v>2670</v>
      </c>
      <c r="E1763" s="6">
        <v>1986</v>
      </c>
    </row>
    <row r="1764" spans="1:5" x14ac:dyDescent="0.25">
      <c r="A1764" s="4" t="s">
        <v>7</v>
      </c>
      <c r="B1764" s="4" t="s">
        <v>4630</v>
      </c>
      <c r="C1764" s="1" t="s">
        <v>2496</v>
      </c>
      <c r="D1764" s="1" t="s">
        <v>2497</v>
      </c>
      <c r="E1764" s="6">
        <v>651</v>
      </c>
    </row>
    <row r="1765" spans="1:5" x14ac:dyDescent="0.25">
      <c r="A1765" s="4" t="s">
        <v>7</v>
      </c>
      <c r="B1765" s="4" t="s">
        <v>4631</v>
      </c>
      <c r="C1765" s="1" t="s">
        <v>2460</v>
      </c>
      <c r="D1765" s="1" t="s">
        <v>2461</v>
      </c>
      <c r="E1765" s="6">
        <v>4315</v>
      </c>
    </row>
    <row r="1766" spans="1:5" x14ac:dyDescent="0.25">
      <c r="A1766" s="4" t="s">
        <v>7</v>
      </c>
      <c r="B1766" s="4" t="s">
        <v>4632</v>
      </c>
      <c r="C1766" s="1" t="s">
        <v>4353</v>
      </c>
      <c r="D1766" s="1" t="s">
        <v>4633</v>
      </c>
      <c r="E1766" s="6">
        <v>3401</v>
      </c>
    </row>
    <row r="1767" spans="1:5" x14ac:dyDescent="0.25">
      <c r="A1767" s="4" t="s">
        <v>7</v>
      </c>
      <c r="B1767" s="4" t="s">
        <v>4634</v>
      </c>
      <c r="C1767" s="1" t="s">
        <v>4635</v>
      </c>
      <c r="D1767" s="1" t="s">
        <v>4636</v>
      </c>
      <c r="E1767" s="6">
        <v>5904</v>
      </c>
    </row>
    <row r="1768" spans="1:5" x14ac:dyDescent="0.25">
      <c r="A1768" s="4" t="s">
        <v>7</v>
      </c>
      <c r="B1768" s="4" t="s">
        <v>4637</v>
      </c>
      <c r="C1768" s="1" t="s">
        <v>4216</v>
      </c>
      <c r="D1768" s="1" t="s">
        <v>4217</v>
      </c>
      <c r="E1768" s="6">
        <v>3512</v>
      </c>
    </row>
    <row r="1769" spans="1:5" x14ac:dyDescent="0.25">
      <c r="A1769" s="4" t="s">
        <v>7</v>
      </c>
      <c r="B1769" s="4" t="s">
        <v>4638</v>
      </c>
      <c r="C1769" s="1" t="s">
        <v>2735</v>
      </c>
      <c r="D1769" s="1" t="s">
        <v>2736</v>
      </c>
      <c r="E1769" s="6">
        <v>2584</v>
      </c>
    </row>
    <row r="1770" spans="1:5" x14ac:dyDescent="0.25">
      <c r="A1770" s="4" t="s">
        <v>7</v>
      </c>
      <c r="B1770" s="4" t="s">
        <v>4639</v>
      </c>
      <c r="C1770" s="1" t="s">
        <v>4362</v>
      </c>
      <c r="D1770" s="1" t="s">
        <v>4363</v>
      </c>
      <c r="E1770" s="6">
        <v>802</v>
      </c>
    </row>
    <row r="1771" spans="1:5" x14ac:dyDescent="0.25">
      <c r="A1771" s="4" t="s">
        <v>7</v>
      </c>
      <c r="B1771" s="4" t="s">
        <v>4640</v>
      </c>
      <c r="C1771" s="1" t="s">
        <v>2451</v>
      </c>
      <c r="D1771" s="1" t="s">
        <v>4641</v>
      </c>
      <c r="E1771" s="6">
        <v>4131</v>
      </c>
    </row>
    <row r="1772" spans="1:5" x14ac:dyDescent="0.25">
      <c r="A1772" s="4" t="s">
        <v>7</v>
      </c>
      <c r="B1772" s="4" t="s">
        <v>4642</v>
      </c>
      <c r="C1772" s="1" t="s">
        <v>4365</v>
      </c>
      <c r="D1772" s="1" t="s">
        <v>4366</v>
      </c>
      <c r="E1772" s="6">
        <v>3276</v>
      </c>
    </row>
    <row r="1773" spans="1:5" x14ac:dyDescent="0.25">
      <c r="A1773" s="4" t="s">
        <v>7</v>
      </c>
      <c r="B1773" s="4" t="s">
        <v>4643</v>
      </c>
      <c r="C1773" s="1" t="s">
        <v>4371</v>
      </c>
      <c r="D1773" s="1" t="s">
        <v>4372</v>
      </c>
      <c r="E1773" s="6">
        <v>1084</v>
      </c>
    </row>
    <row r="1774" spans="1:5" x14ac:dyDescent="0.25">
      <c r="A1774" s="4" t="s">
        <v>7</v>
      </c>
      <c r="B1774" s="4" t="s">
        <v>4644</v>
      </c>
      <c r="C1774" s="1" t="s">
        <v>4645</v>
      </c>
      <c r="D1774" s="1" t="s">
        <v>4646</v>
      </c>
      <c r="E1774" s="6">
        <v>1073.5</v>
      </c>
    </row>
    <row r="1775" spans="1:5" x14ac:dyDescent="0.25">
      <c r="A1775" s="4" t="s">
        <v>7</v>
      </c>
      <c r="B1775" s="4" t="s">
        <v>4647</v>
      </c>
      <c r="C1775" s="1" t="s">
        <v>4374</v>
      </c>
      <c r="D1775" s="1" t="s">
        <v>4648</v>
      </c>
      <c r="E1775" s="6">
        <v>1814</v>
      </c>
    </row>
    <row r="1776" spans="1:5" x14ac:dyDescent="0.25">
      <c r="A1776" s="4" t="s">
        <v>7</v>
      </c>
      <c r="B1776" s="4" t="s">
        <v>4649</v>
      </c>
      <c r="C1776" s="1" t="s">
        <v>4650</v>
      </c>
      <c r="D1776" s="1" t="s">
        <v>4378</v>
      </c>
      <c r="E1776" s="6">
        <v>1431</v>
      </c>
    </row>
    <row r="1777" spans="1:5" x14ac:dyDescent="0.25">
      <c r="A1777" s="4" t="s">
        <v>7</v>
      </c>
      <c r="B1777" s="4" t="s">
        <v>4651</v>
      </c>
      <c r="C1777" s="1" t="s">
        <v>4359</v>
      </c>
      <c r="D1777" s="1" t="s">
        <v>4360</v>
      </c>
      <c r="E1777" s="6">
        <v>934</v>
      </c>
    </row>
    <row r="1778" spans="1:5" x14ac:dyDescent="0.25">
      <c r="A1778" s="4" t="s">
        <v>7</v>
      </c>
      <c r="B1778" s="4" t="s">
        <v>4652</v>
      </c>
      <c r="C1778" s="1" t="s">
        <v>4653</v>
      </c>
      <c r="D1778" s="1" t="s">
        <v>4654</v>
      </c>
      <c r="E1778" s="6">
        <v>1714</v>
      </c>
    </row>
    <row r="1779" spans="1:5" x14ac:dyDescent="0.25">
      <c r="A1779" s="4" t="s">
        <v>7</v>
      </c>
      <c r="B1779" s="4" t="s">
        <v>4655</v>
      </c>
      <c r="C1779" s="1" t="s">
        <v>4380</v>
      </c>
      <c r="D1779" s="1" t="s">
        <v>4381</v>
      </c>
      <c r="E1779" s="6">
        <v>1221</v>
      </c>
    </row>
    <row r="1780" spans="1:5" x14ac:dyDescent="0.25">
      <c r="A1780" s="4" t="s">
        <v>7</v>
      </c>
      <c r="B1780" s="4" t="s">
        <v>4656</v>
      </c>
      <c r="C1780" s="1" t="s">
        <v>4383</v>
      </c>
      <c r="D1780" s="1" t="s">
        <v>4384</v>
      </c>
      <c r="E1780" s="6">
        <v>1244</v>
      </c>
    </row>
    <row r="1781" spans="1:5" x14ac:dyDescent="0.25">
      <c r="A1781" s="4" t="s">
        <v>7</v>
      </c>
      <c r="B1781" s="4" t="s">
        <v>4657</v>
      </c>
      <c r="C1781" s="1" t="s">
        <v>4386</v>
      </c>
      <c r="D1781" s="1" t="s">
        <v>4387</v>
      </c>
      <c r="E1781" s="6">
        <v>2249</v>
      </c>
    </row>
    <row r="1782" spans="1:5" x14ac:dyDescent="0.25">
      <c r="A1782" s="4" t="s">
        <v>7</v>
      </c>
      <c r="B1782" s="4" t="s">
        <v>4658</v>
      </c>
      <c r="C1782" s="1" t="s">
        <v>4389</v>
      </c>
      <c r="D1782" s="1" t="s">
        <v>4390</v>
      </c>
      <c r="E1782" s="6">
        <v>1898</v>
      </c>
    </row>
    <row r="1783" spans="1:5" x14ac:dyDescent="0.25">
      <c r="A1783" s="4" t="s">
        <v>7</v>
      </c>
      <c r="B1783" s="4" t="s">
        <v>4659</v>
      </c>
      <c r="C1783" s="1" t="s">
        <v>4392</v>
      </c>
      <c r="D1783" s="1" t="s">
        <v>4393</v>
      </c>
      <c r="E1783" s="6">
        <v>2417</v>
      </c>
    </row>
    <row r="1784" spans="1:5" x14ac:dyDescent="0.25">
      <c r="A1784" s="4" t="s">
        <v>7</v>
      </c>
      <c r="B1784" s="4" t="s">
        <v>4660</v>
      </c>
      <c r="C1784" s="1" t="s">
        <v>4469</v>
      </c>
      <c r="D1784" s="1" t="s">
        <v>4661</v>
      </c>
      <c r="E1784" s="6">
        <v>1638</v>
      </c>
    </row>
    <row r="1785" spans="1:5" x14ac:dyDescent="0.25">
      <c r="A1785" s="4" t="s">
        <v>7</v>
      </c>
      <c r="B1785" s="4" t="s">
        <v>4662</v>
      </c>
      <c r="C1785" s="1" t="s">
        <v>4663</v>
      </c>
      <c r="D1785" s="1" t="s">
        <v>4664</v>
      </c>
      <c r="E1785" s="6">
        <v>3079</v>
      </c>
    </row>
    <row r="1786" spans="1:5" x14ac:dyDescent="0.25">
      <c r="A1786" s="4" t="s">
        <v>7</v>
      </c>
      <c r="B1786" s="4" t="s">
        <v>4665</v>
      </c>
      <c r="C1786" s="1" t="s">
        <v>4395</v>
      </c>
      <c r="D1786" s="1" t="s">
        <v>4396</v>
      </c>
      <c r="E1786" s="6">
        <v>1041</v>
      </c>
    </row>
    <row r="1787" spans="1:5" x14ac:dyDescent="0.25">
      <c r="A1787" s="4" t="s">
        <v>7</v>
      </c>
      <c r="B1787" s="4" t="s">
        <v>4666</v>
      </c>
      <c r="C1787" s="1" t="s">
        <v>4398</v>
      </c>
      <c r="D1787" s="1" t="s">
        <v>4399</v>
      </c>
      <c r="E1787" s="6">
        <v>1358</v>
      </c>
    </row>
    <row r="1788" spans="1:5" x14ac:dyDescent="0.25">
      <c r="A1788" s="4" t="s">
        <v>7</v>
      </c>
      <c r="B1788" s="4" t="s">
        <v>4667</v>
      </c>
      <c r="C1788" s="1" t="s">
        <v>4401</v>
      </c>
      <c r="D1788" s="1" t="s">
        <v>4402</v>
      </c>
      <c r="E1788" s="6">
        <v>926</v>
      </c>
    </row>
    <row r="1789" spans="1:5" x14ac:dyDescent="0.25">
      <c r="A1789" s="4" t="s">
        <v>7</v>
      </c>
      <c r="B1789" s="4" t="s">
        <v>4668</v>
      </c>
      <c r="C1789" s="1" t="s">
        <v>4407</v>
      </c>
      <c r="D1789" s="1" t="s">
        <v>4408</v>
      </c>
      <c r="E1789" s="6">
        <v>1680</v>
      </c>
    </row>
    <row r="1790" spans="1:5" x14ac:dyDescent="0.25">
      <c r="A1790" s="4" t="s">
        <v>7</v>
      </c>
      <c r="B1790" s="4" t="s">
        <v>4669</v>
      </c>
      <c r="C1790" s="1" t="s">
        <v>3356</v>
      </c>
      <c r="D1790" s="1" t="s">
        <v>3357</v>
      </c>
      <c r="E1790" s="6">
        <v>2907</v>
      </c>
    </row>
    <row r="1791" spans="1:5" x14ac:dyDescent="0.25">
      <c r="A1791" s="4" t="s">
        <v>7</v>
      </c>
      <c r="B1791" s="4" t="s">
        <v>4670</v>
      </c>
      <c r="C1791" s="1" t="s">
        <v>4671</v>
      </c>
      <c r="D1791" s="1" t="s">
        <v>4672</v>
      </c>
      <c r="E1791" s="6">
        <v>1962</v>
      </c>
    </row>
    <row r="1792" spans="1:5" x14ac:dyDescent="0.25">
      <c r="A1792" s="4" t="s">
        <v>7</v>
      </c>
      <c r="B1792" s="4" t="s">
        <v>4673</v>
      </c>
      <c r="C1792" s="1" t="s">
        <v>4356</v>
      </c>
      <c r="D1792" s="1" t="s">
        <v>4357</v>
      </c>
      <c r="E1792" s="6">
        <v>1907</v>
      </c>
    </row>
    <row r="1793" spans="1:5" x14ac:dyDescent="0.25">
      <c r="A1793" s="4" t="s">
        <v>7</v>
      </c>
      <c r="B1793" s="4" t="s">
        <v>4674</v>
      </c>
      <c r="C1793" s="1" t="s">
        <v>4675</v>
      </c>
      <c r="D1793" s="1" t="s">
        <v>4676</v>
      </c>
      <c r="E1793" s="6">
        <v>252</v>
      </c>
    </row>
    <row r="1794" spans="1:5" x14ac:dyDescent="0.25">
      <c r="A1794" s="4" t="s">
        <v>7</v>
      </c>
      <c r="B1794" s="4" t="s">
        <v>4677</v>
      </c>
      <c r="C1794" s="1" t="s">
        <v>2457</v>
      </c>
      <c r="D1794" s="1" t="s">
        <v>2458</v>
      </c>
      <c r="E1794" s="6">
        <v>714</v>
      </c>
    </row>
    <row r="1795" spans="1:5" x14ac:dyDescent="0.25">
      <c r="A1795" s="4" t="s">
        <v>7</v>
      </c>
      <c r="B1795" s="4" t="s">
        <v>4678</v>
      </c>
      <c r="C1795" s="1" t="s">
        <v>4679</v>
      </c>
      <c r="D1795" s="1" t="s">
        <v>4680</v>
      </c>
      <c r="E1795" s="6">
        <v>3951</v>
      </c>
    </row>
    <row r="1796" spans="1:5" x14ac:dyDescent="0.25">
      <c r="A1796" s="4" t="s">
        <v>7</v>
      </c>
      <c r="B1796" s="4" t="s">
        <v>4681</v>
      </c>
      <c r="C1796" s="1" t="s">
        <v>2589</v>
      </c>
      <c r="D1796" s="1" t="s">
        <v>2590</v>
      </c>
      <c r="E1796" s="6">
        <v>2413</v>
      </c>
    </row>
    <row r="1797" spans="1:5" x14ac:dyDescent="0.25">
      <c r="A1797" s="4" t="s">
        <v>7</v>
      </c>
      <c r="B1797" s="4" t="s">
        <v>4682</v>
      </c>
      <c r="C1797" s="1" t="s">
        <v>4683</v>
      </c>
      <c r="D1797" s="1" t="s">
        <v>4684</v>
      </c>
      <c r="E1797" s="6">
        <v>9882</v>
      </c>
    </row>
    <row r="1798" spans="1:5" x14ac:dyDescent="0.25">
      <c r="A1798" s="4" t="s">
        <v>7</v>
      </c>
      <c r="B1798" s="4" t="s">
        <v>4685</v>
      </c>
      <c r="C1798" s="1" t="s">
        <v>2499</v>
      </c>
      <c r="D1798" s="1" t="s">
        <v>2500</v>
      </c>
      <c r="E1798" s="6">
        <v>2826</v>
      </c>
    </row>
    <row r="1799" spans="1:5" x14ac:dyDescent="0.25">
      <c r="A1799" s="4" t="s">
        <v>7</v>
      </c>
      <c r="B1799" s="4" t="s">
        <v>4686</v>
      </c>
      <c r="C1799" s="1" t="s">
        <v>3180</v>
      </c>
      <c r="D1799" s="1" t="s">
        <v>3181</v>
      </c>
      <c r="E1799" s="6">
        <v>1184</v>
      </c>
    </row>
    <row r="1800" spans="1:5" x14ac:dyDescent="0.25">
      <c r="A1800" s="4" t="s">
        <v>7</v>
      </c>
      <c r="B1800" s="4" t="s">
        <v>4687</v>
      </c>
      <c r="C1800" s="1" t="s">
        <v>3560</v>
      </c>
      <c r="D1800" s="1" t="s">
        <v>4617</v>
      </c>
      <c r="E1800" s="6">
        <v>2413</v>
      </c>
    </row>
    <row r="1801" spans="1:5" x14ac:dyDescent="0.25">
      <c r="A1801" s="4" t="s">
        <v>7</v>
      </c>
      <c r="B1801" s="4" t="s">
        <v>4688</v>
      </c>
      <c r="C1801" s="1" t="s">
        <v>4689</v>
      </c>
      <c r="D1801" s="1" t="s">
        <v>4690</v>
      </c>
      <c r="E1801" s="6">
        <v>2229</v>
      </c>
    </row>
    <row r="1802" spans="1:5" x14ac:dyDescent="0.25">
      <c r="A1802" s="4" t="s">
        <v>7</v>
      </c>
      <c r="B1802" s="4" t="s">
        <v>4691</v>
      </c>
      <c r="C1802" s="1" t="s">
        <v>3569</v>
      </c>
      <c r="D1802" s="1" t="s">
        <v>3570</v>
      </c>
      <c r="E1802" s="6">
        <v>2237</v>
      </c>
    </row>
    <row r="1803" spans="1:5" x14ac:dyDescent="0.25">
      <c r="A1803" s="4" t="s">
        <v>7</v>
      </c>
      <c r="B1803" s="4" t="s">
        <v>4692</v>
      </c>
      <c r="C1803" s="1" t="s">
        <v>4506</v>
      </c>
      <c r="D1803" s="1" t="s">
        <v>4501</v>
      </c>
      <c r="E1803" s="6">
        <v>3084</v>
      </c>
    </row>
    <row r="1804" spans="1:5" x14ac:dyDescent="0.25">
      <c r="A1804" s="4" t="s">
        <v>7</v>
      </c>
      <c r="B1804" s="4" t="s">
        <v>4693</v>
      </c>
      <c r="C1804" s="1" t="s">
        <v>4694</v>
      </c>
      <c r="D1804" s="1" t="s">
        <v>4504</v>
      </c>
      <c r="E1804" s="6">
        <v>1956</v>
      </c>
    </row>
    <row r="1805" spans="1:5" x14ac:dyDescent="0.25">
      <c r="A1805" s="4" t="s">
        <v>7</v>
      </c>
      <c r="B1805" s="4" t="s">
        <v>4695</v>
      </c>
      <c r="C1805" s="1" t="s">
        <v>4696</v>
      </c>
      <c r="D1805" s="1" t="s">
        <v>4697</v>
      </c>
      <c r="E1805" s="6">
        <v>9261</v>
      </c>
    </row>
    <row r="1806" spans="1:5" x14ac:dyDescent="0.25">
      <c r="A1806" s="4" t="s">
        <v>7</v>
      </c>
      <c r="B1806" s="4" t="s">
        <v>4698</v>
      </c>
      <c r="C1806" s="1" t="s">
        <v>4699</v>
      </c>
      <c r="D1806" s="1" t="s">
        <v>4700</v>
      </c>
      <c r="E1806" s="6">
        <v>8254</v>
      </c>
    </row>
    <row r="1807" spans="1:5" x14ac:dyDescent="0.25">
      <c r="A1807" s="4" t="s">
        <v>7</v>
      </c>
      <c r="B1807" s="4" t="s">
        <v>4701</v>
      </c>
      <c r="C1807" s="1" t="s">
        <v>4702</v>
      </c>
      <c r="D1807" s="1" t="s">
        <v>4703</v>
      </c>
      <c r="E1807" s="6">
        <v>917</v>
      </c>
    </row>
    <row r="1808" spans="1:5" x14ac:dyDescent="0.25">
      <c r="A1808" s="4" t="s">
        <v>7</v>
      </c>
      <c r="B1808" s="4" t="s">
        <v>4704</v>
      </c>
      <c r="C1808" s="1" t="s">
        <v>4705</v>
      </c>
      <c r="D1808" s="1" t="s">
        <v>4706</v>
      </c>
      <c r="E1808" s="6">
        <v>7997</v>
      </c>
    </row>
    <row r="1809" spans="1:5" x14ac:dyDescent="0.25">
      <c r="A1809" s="4" t="s">
        <v>7</v>
      </c>
      <c r="B1809" s="4" t="s">
        <v>4707</v>
      </c>
      <c r="C1809" s="1" t="s">
        <v>4708</v>
      </c>
      <c r="D1809" s="1" t="s">
        <v>4709</v>
      </c>
      <c r="E1809" s="6">
        <v>1999</v>
      </c>
    </row>
    <row r="1810" spans="1:5" x14ac:dyDescent="0.25">
      <c r="A1810" s="4" t="s">
        <v>7</v>
      </c>
      <c r="B1810" s="4" t="s">
        <v>4710</v>
      </c>
      <c r="C1810" s="1" t="s">
        <v>4711</v>
      </c>
      <c r="D1810" s="1" t="s">
        <v>4712</v>
      </c>
      <c r="E1810" s="6">
        <v>2450</v>
      </c>
    </row>
    <row r="1811" spans="1:5" x14ac:dyDescent="0.25">
      <c r="A1811" s="4" t="s">
        <v>7</v>
      </c>
      <c r="B1811" s="4" t="s">
        <v>4713</v>
      </c>
      <c r="C1811" s="1" t="s">
        <v>4714</v>
      </c>
      <c r="D1811" s="1" t="s">
        <v>4715</v>
      </c>
      <c r="E1811" s="6">
        <v>609</v>
      </c>
    </row>
    <row r="1812" spans="1:5" x14ac:dyDescent="0.25">
      <c r="A1812" s="4" t="s">
        <v>7</v>
      </c>
      <c r="B1812" s="4" t="s">
        <v>4716</v>
      </c>
      <c r="C1812" s="1" t="s">
        <v>4717</v>
      </c>
      <c r="D1812" s="1" t="s">
        <v>4718</v>
      </c>
      <c r="E1812" s="6">
        <v>2750</v>
      </c>
    </row>
    <row r="1813" spans="1:5" x14ac:dyDescent="0.25">
      <c r="A1813" s="4" t="s">
        <v>7</v>
      </c>
      <c r="B1813" s="4" t="s">
        <v>4719</v>
      </c>
      <c r="C1813" s="1" t="s">
        <v>4720</v>
      </c>
      <c r="D1813" s="1" t="s">
        <v>4721</v>
      </c>
      <c r="E1813" s="6">
        <v>800</v>
      </c>
    </row>
    <row r="1814" spans="1:5" x14ac:dyDescent="0.25">
      <c r="A1814" s="4" t="s">
        <v>7</v>
      </c>
      <c r="B1814" s="4" t="s">
        <v>4722</v>
      </c>
      <c r="C1814" s="1" t="s">
        <v>4723</v>
      </c>
      <c r="D1814" s="1" t="s">
        <v>91</v>
      </c>
      <c r="E1814" s="6">
        <v>1018</v>
      </c>
    </row>
    <row r="1815" spans="1:5" x14ac:dyDescent="0.25">
      <c r="A1815" s="4" t="s">
        <v>7</v>
      </c>
      <c r="B1815" s="4" t="s">
        <v>4724</v>
      </c>
      <c r="C1815" s="1" t="s">
        <v>4725</v>
      </c>
      <c r="D1815" s="1" t="s">
        <v>4726</v>
      </c>
      <c r="E1815" s="6">
        <v>573</v>
      </c>
    </row>
    <row r="1816" spans="1:5" x14ac:dyDescent="0.25">
      <c r="A1816" s="4" t="s">
        <v>7</v>
      </c>
      <c r="B1816" s="4" t="s">
        <v>4727</v>
      </c>
      <c r="C1816" s="1" t="s">
        <v>3574</v>
      </c>
      <c r="D1816" s="1" t="s">
        <v>3575</v>
      </c>
      <c r="E1816" s="6">
        <v>434</v>
      </c>
    </row>
    <row r="1817" spans="1:5" x14ac:dyDescent="0.25">
      <c r="A1817" s="4" t="s">
        <v>7</v>
      </c>
      <c r="B1817" s="4" t="s">
        <v>4728</v>
      </c>
      <c r="C1817" s="1" t="s">
        <v>3577</v>
      </c>
      <c r="D1817" s="1" t="s">
        <v>3578</v>
      </c>
      <c r="E1817" s="6">
        <v>157</v>
      </c>
    </row>
    <row r="1818" spans="1:5" x14ac:dyDescent="0.25">
      <c r="A1818" s="4" t="s">
        <v>7</v>
      </c>
      <c r="B1818" s="4" t="s">
        <v>4729</v>
      </c>
      <c r="C1818" s="1" t="s">
        <v>4730</v>
      </c>
      <c r="D1818" s="1" t="s">
        <v>4731</v>
      </c>
      <c r="E1818" s="6">
        <v>602</v>
      </c>
    </row>
    <row r="1819" spans="1:5" x14ac:dyDescent="0.25">
      <c r="A1819" s="4" t="s">
        <v>7</v>
      </c>
      <c r="B1819" s="4" t="s">
        <v>4732</v>
      </c>
      <c r="C1819" s="1" t="s">
        <v>4733</v>
      </c>
      <c r="D1819" s="1" t="s">
        <v>4734</v>
      </c>
      <c r="E1819" s="6">
        <v>1068</v>
      </c>
    </row>
    <row r="1820" spans="1:5" x14ac:dyDescent="0.25">
      <c r="A1820" s="4" t="s">
        <v>7</v>
      </c>
      <c r="B1820" s="4" t="s">
        <v>4735</v>
      </c>
      <c r="C1820" s="1" t="s">
        <v>4736</v>
      </c>
      <c r="D1820" s="1" t="s">
        <v>4737</v>
      </c>
      <c r="E1820" s="6">
        <v>654</v>
      </c>
    </row>
    <row r="1821" spans="1:5" x14ac:dyDescent="0.25">
      <c r="A1821" s="4" t="s">
        <v>7</v>
      </c>
      <c r="B1821" s="4" t="s">
        <v>4738</v>
      </c>
      <c r="C1821" s="1" t="s">
        <v>4739</v>
      </c>
      <c r="D1821" s="1" t="s">
        <v>4740</v>
      </c>
      <c r="E1821" s="6">
        <v>260</v>
      </c>
    </row>
    <row r="1822" spans="1:5" x14ac:dyDescent="0.25">
      <c r="A1822" s="4" t="s">
        <v>7</v>
      </c>
      <c r="B1822" s="4" t="s">
        <v>4741</v>
      </c>
      <c r="C1822" s="1" t="s">
        <v>4742</v>
      </c>
      <c r="D1822" s="1" t="s">
        <v>4743</v>
      </c>
      <c r="E1822" s="6">
        <v>1096</v>
      </c>
    </row>
    <row r="1823" spans="1:5" x14ac:dyDescent="0.25">
      <c r="A1823" s="4" t="s">
        <v>7</v>
      </c>
      <c r="B1823" s="4" t="s">
        <v>4744</v>
      </c>
      <c r="C1823" s="1" t="s">
        <v>4745</v>
      </c>
      <c r="D1823" s="1" t="s">
        <v>4746</v>
      </c>
      <c r="E1823" s="6">
        <v>235</v>
      </c>
    </row>
    <row r="1824" spans="1:5" x14ac:dyDescent="0.25">
      <c r="A1824" s="4" t="s">
        <v>7</v>
      </c>
      <c r="B1824" s="4" t="s">
        <v>4747</v>
      </c>
      <c r="C1824" s="1" t="s">
        <v>4748</v>
      </c>
      <c r="D1824" s="1" t="s">
        <v>4749</v>
      </c>
      <c r="E1824" s="6">
        <v>11</v>
      </c>
    </row>
    <row r="1825" spans="1:5" x14ac:dyDescent="0.25">
      <c r="A1825" s="4" t="s">
        <v>7</v>
      </c>
      <c r="B1825" s="4" t="s">
        <v>4750</v>
      </c>
      <c r="C1825" s="1" t="s">
        <v>4751</v>
      </c>
      <c r="D1825" s="1" t="s">
        <v>4752</v>
      </c>
      <c r="E1825" s="6">
        <v>268</v>
      </c>
    </row>
    <row r="1826" spans="1:5" x14ac:dyDescent="0.25">
      <c r="A1826" s="4" t="s">
        <v>7</v>
      </c>
      <c r="B1826" s="4" t="s">
        <v>4753</v>
      </c>
      <c r="C1826" s="1" t="s">
        <v>4754</v>
      </c>
      <c r="D1826" s="1" t="s">
        <v>4755</v>
      </c>
      <c r="E1826" s="6">
        <v>141</v>
      </c>
    </row>
    <row r="1827" spans="1:5" x14ac:dyDescent="0.25">
      <c r="A1827" s="4" t="s">
        <v>7</v>
      </c>
      <c r="B1827" s="4" t="s">
        <v>4756</v>
      </c>
      <c r="C1827" s="1" t="s">
        <v>4757</v>
      </c>
      <c r="D1827" s="1" t="s">
        <v>4758</v>
      </c>
      <c r="E1827" s="6">
        <v>163</v>
      </c>
    </row>
    <row r="1828" spans="1:5" x14ac:dyDescent="0.25">
      <c r="A1828" s="4" t="s">
        <v>7</v>
      </c>
      <c r="B1828" s="4" t="s">
        <v>4759</v>
      </c>
      <c r="C1828" s="1" t="s">
        <v>4760</v>
      </c>
      <c r="D1828" s="1" t="s">
        <v>4761</v>
      </c>
      <c r="E1828" s="6">
        <v>285</v>
      </c>
    </row>
    <row r="1829" spans="1:5" x14ac:dyDescent="0.25">
      <c r="A1829" s="4" t="s">
        <v>7</v>
      </c>
      <c r="B1829" s="4" t="s">
        <v>4762</v>
      </c>
      <c r="C1829" s="1" t="s">
        <v>4763</v>
      </c>
      <c r="D1829" s="1" t="s">
        <v>4764</v>
      </c>
      <c r="E1829" s="6">
        <v>206</v>
      </c>
    </row>
    <row r="1830" spans="1:5" x14ac:dyDescent="0.25">
      <c r="A1830" s="4" t="s">
        <v>7</v>
      </c>
      <c r="B1830" s="4" t="s">
        <v>4765</v>
      </c>
      <c r="C1830" s="1" t="s">
        <v>4766</v>
      </c>
      <c r="D1830" s="1" t="s">
        <v>4767</v>
      </c>
      <c r="E1830" s="6">
        <v>200</v>
      </c>
    </row>
    <row r="1831" spans="1:5" x14ac:dyDescent="0.25">
      <c r="A1831" s="4" t="s">
        <v>7</v>
      </c>
      <c r="B1831" s="4" t="s">
        <v>4768</v>
      </c>
      <c r="C1831" s="1" t="s">
        <v>4769</v>
      </c>
      <c r="D1831" s="1" t="s">
        <v>4770</v>
      </c>
      <c r="E1831" s="6">
        <v>1012</v>
      </c>
    </row>
    <row r="1832" spans="1:5" x14ac:dyDescent="0.25">
      <c r="A1832" s="4" t="s">
        <v>7</v>
      </c>
      <c r="B1832" s="4" t="s">
        <v>4771</v>
      </c>
      <c r="C1832" s="1" t="s">
        <v>4772</v>
      </c>
      <c r="D1832" s="1" t="s">
        <v>4773</v>
      </c>
      <c r="E1832" s="6">
        <v>4092</v>
      </c>
    </row>
    <row r="1833" spans="1:5" x14ac:dyDescent="0.25">
      <c r="A1833" s="4" t="s">
        <v>7</v>
      </c>
      <c r="B1833" s="4" t="s">
        <v>4774</v>
      </c>
      <c r="C1833" s="1" t="s">
        <v>4775</v>
      </c>
      <c r="D1833" s="1" t="s">
        <v>4776</v>
      </c>
      <c r="E1833" s="6">
        <v>5781</v>
      </c>
    </row>
    <row r="1834" spans="1:5" x14ac:dyDescent="0.25">
      <c r="A1834" s="4" t="s">
        <v>7</v>
      </c>
      <c r="B1834" s="4" t="s">
        <v>4777</v>
      </c>
      <c r="C1834" s="1" t="s">
        <v>4778</v>
      </c>
      <c r="D1834" s="1" t="s">
        <v>4779</v>
      </c>
      <c r="E1834" s="6">
        <v>5225</v>
      </c>
    </row>
    <row r="1835" spans="1:5" x14ac:dyDescent="0.25">
      <c r="A1835" s="4" t="s">
        <v>7</v>
      </c>
      <c r="B1835" s="4" t="s">
        <v>4780</v>
      </c>
      <c r="C1835" s="1" t="s">
        <v>4781</v>
      </c>
      <c r="D1835" s="1" t="s">
        <v>4782</v>
      </c>
      <c r="E1835" s="6">
        <v>5658</v>
      </c>
    </row>
    <row r="1836" spans="1:5" x14ac:dyDescent="0.25">
      <c r="A1836" s="4" t="s">
        <v>7</v>
      </c>
      <c r="B1836" s="4" t="s">
        <v>4783</v>
      </c>
      <c r="C1836" s="1" t="s">
        <v>4784</v>
      </c>
      <c r="D1836" s="1" t="s">
        <v>4785</v>
      </c>
      <c r="E1836" s="6">
        <v>3845</v>
      </c>
    </row>
    <row r="1837" spans="1:5" x14ac:dyDescent="0.25">
      <c r="A1837" s="4" t="s">
        <v>7</v>
      </c>
      <c r="B1837" s="4" t="s">
        <v>4786</v>
      </c>
      <c r="C1837" s="1" t="s">
        <v>4787</v>
      </c>
      <c r="D1837" s="1" t="s">
        <v>4788</v>
      </c>
      <c r="E1837" s="6">
        <v>4582</v>
      </c>
    </row>
    <row r="1838" spans="1:5" x14ac:dyDescent="0.25">
      <c r="A1838" s="4" t="s">
        <v>7</v>
      </c>
      <c r="B1838" s="4" t="s">
        <v>4789</v>
      </c>
      <c r="C1838" s="1" t="s">
        <v>4790</v>
      </c>
      <c r="D1838" s="1" t="s">
        <v>4791</v>
      </c>
      <c r="E1838" s="6">
        <v>1699</v>
      </c>
    </row>
    <row r="1839" spans="1:5" x14ac:dyDescent="0.25">
      <c r="A1839" s="4" t="s">
        <v>7</v>
      </c>
      <c r="B1839" s="4" t="s">
        <v>4792</v>
      </c>
      <c r="C1839" s="1" t="s">
        <v>4793</v>
      </c>
      <c r="D1839" s="1" t="s">
        <v>4794</v>
      </c>
      <c r="E1839" s="6">
        <v>7308</v>
      </c>
    </row>
    <row r="1840" spans="1:5" x14ac:dyDescent="0.25">
      <c r="A1840" s="4" t="s">
        <v>7</v>
      </c>
      <c r="B1840" s="4" t="s">
        <v>4795</v>
      </c>
      <c r="C1840" s="1" t="s">
        <v>4796</v>
      </c>
      <c r="D1840" s="1" t="s">
        <v>4797</v>
      </c>
      <c r="E1840" s="6">
        <v>2059</v>
      </c>
    </row>
    <row r="1841" spans="1:5" x14ac:dyDescent="0.25">
      <c r="A1841" s="4" t="s">
        <v>7</v>
      </c>
      <c r="B1841" s="4" t="s">
        <v>4798</v>
      </c>
      <c r="C1841" s="1" t="s">
        <v>4799</v>
      </c>
      <c r="D1841" s="1" t="s">
        <v>4800</v>
      </c>
      <c r="E1841" s="6">
        <v>679</v>
      </c>
    </row>
    <row r="1842" spans="1:5" x14ac:dyDescent="0.25">
      <c r="A1842" s="4" t="s">
        <v>7</v>
      </c>
      <c r="B1842" s="4" t="s">
        <v>4801</v>
      </c>
      <c r="C1842" s="1" t="s">
        <v>4802</v>
      </c>
      <c r="D1842" s="1" t="s">
        <v>4803</v>
      </c>
      <c r="E1842" s="6">
        <v>8770</v>
      </c>
    </row>
    <row r="1843" spans="1:5" x14ac:dyDescent="0.25">
      <c r="A1843" s="4" t="s">
        <v>7</v>
      </c>
      <c r="B1843" s="4" t="s">
        <v>4804</v>
      </c>
      <c r="C1843" s="1" t="s">
        <v>4805</v>
      </c>
      <c r="D1843" s="1" t="s">
        <v>4806</v>
      </c>
      <c r="E1843" s="6">
        <v>9643</v>
      </c>
    </row>
    <row r="1844" spans="1:5" x14ac:dyDescent="0.25">
      <c r="A1844" s="4" t="s">
        <v>7</v>
      </c>
      <c r="B1844" s="4" t="s">
        <v>4807</v>
      </c>
      <c r="C1844" s="1" t="s">
        <v>4808</v>
      </c>
      <c r="D1844" s="1" t="s">
        <v>4809</v>
      </c>
      <c r="E1844" s="6">
        <v>4029</v>
      </c>
    </row>
    <row r="1845" spans="1:5" x14ac:dyDescent="0.25">
      <c r="A1845" s="4" t="s">
        <v>7</v>
      </c>
      <c r="B1845" s="4" t="s">
        <v>4810</v>
      </c>
      <c r="C1845" s="1" t="s">
        <v>4811</v>
      </c>
      <c r="D1845" s="1" t="s">
        <v>4812</v>
      </c>
      <c r="E1845" s="6">
        <v>3319</v>
      </c>
    </row>
    <row r="1846" spans="1:5" x14ac:dyDescent="0.25">
      <c r="A1846" s="4" t="s">
        <v>7</v>
      </c>
      <c r="B1846" s="4" t="s">
        <v>4813</v>
      </c>
      <c r="C1846" s="1" t="s">
        <v>4814</v>
      </c>
      <c r="D1846" s="1" t="s">
        <v>4815</v>
      </c>
      <c r="E1846" s="6">
        <v>5875</v>
      </c>
    </row>
    <row r="1847" spans="1:5" x14ac:dyDescent="0.25">
      <c r="A1847" s="4" t="s">
        <v>7</v>
      </c>
      <c r="B1847" s="4" t="s">
        <v>4816</v>
      </c>
      <c r="C1847" s="1" t="s">
        <v>4817</v>
      </c>
      <c r="D1847" s="1" t="s">
        <v>4818</v>
      </c>
      <c r="E1847" s="6">
        <v>1399</v>
      </c>
    </row>
    <row r="1848" spans="1:5" x14ac:dyDescent="0.25">
      <c r="A1848" s="4" t="s">
        <v>7</v>
      </c>
      <c r="B1848" s="4" t="s">
        <v>4819</v>
      </c>
      <c r="C1848" s="1" t="s">
        <v>4820</v>
      </c>
      <c r="D1848" s="1" t="s">
        <v>4821</v>
      </c>
      <c r="E1848" s="6">
        <v>4743</v>
      </c>
    </row>
    <row r="1849" spans="1:5" x14ac:dyDescent="0.25">
      <c r="A1849" s="4" t="s">
        <v>7</v>
      </c>
      <c r="B1849" s="4" t="s">
        <v>4822</v>
      </c>
      <c r="C1849" s="1" t="s">
        <v>4823</v>
      </c>
      <c r="D1849" s="1" t="s">
        <v>4824</v>
      </c>
      <c r="E1849" s="6">
        <v>4018</v>
      </c>
    </row>
    <row r="1850" spans="1:5" x14ac:dyDescent="0.25">
      <c r="A1850" s="4" t="s">
        <v>7</v>
      </c>
      <c r="B1850" s="4" t="s">
        <v>4825</v>
      </c>
      <c r="C1850" s="1" t="s">
        <v>4826</v>
      </c>
      <c r="D1850" s="1" t="s">
        <v>4827</v>
      </c>
      <c r="E1850" s="6">
        <v>4091</v>
      </c>
    </row>
    <row r="1851" spans="1:5" x14ac:dyDescent="0.25">
      <c r="A1851" s="4" t="s">
        <v>7</v>
      </c>
      <c r="B1851" s="4" t="s">
        <v>4828</v>
      </c>
      <c r="C1851" s="1" t="s">
        <v>4829</v>
      </c>
      <c r="D1851" s="1" t="s">
        <v>4830</v>
      </c>
      <c r="E1851" s="6">
        <v>7452</v>
      </c>
    </row>
    <row r="1852" spans="1:5" x14ac:dyDescent="0.25">
      <c r="A1852" s="4" t="s">
        <v>7</v>
      </c>
      <c r="B1852" s="4" t="s">
        <v>4831</v>
      </c>
      <c r="C1852" s="1" t="s">
        <v>4832</v>
      </c>
      <c r="D1852" s="1" t="s">
        <v>4833</v>
      </c>
      <c r="E1852" s="6">
        <v>3256</v>
      </c>
    </row>
    <row r="1853" spans="1:5" x14ac:dyDescent="0.25">
      <c r="A1853" s="4" t="s">
        <v>7</v>
      </c>
      <c r="B1853" s="4" t="s">
        <v>4834</v>
      </c>
      <c r="C1853" s="1" t="s">
        <v>4835</v>
      </c>
      <c r="D1853" s="1" t="s">
        <v>4836</v>
      </c>
      <c r="E1853" s="6">
        <v>3874</v>
      </c>
    </row>
    <row r="1854" spans="1:5" x14ac:dyDescent="0.25">
      <c r="A1854" s="4" t="s">
        <v>7</v>
      </c>
      <c r="B1854" s="4" t="s">
        <v>4837</v>
      </c>
      <c r="C1854" s="1" t="s">
        <v>4838</v>
      </c>
      <c r="D1854" s="1" t="s">
        <v>4839</v>
      </c>
      <c r="E1854" s="6">
        <v>4384</v>
      </c>
    </row>
    <row r="1855" spans="1:5" x14ac:dyDescent="0.25">
      <c r="A1855" s="4" t="s">
        <v>7</v>
      </c>
      <c r="B1855" s="4" t="s">
        <v>4840</v>
      </c>
      <c r="C1855" s="1" t="s">
        <v>4841</v>
      </c>
      <c r="D1855" s="1" t="s">
        <v>4842</v>
      </c>
      <c r="E1855" s="6">
        <v>6166</v>
      </c>
    </row>
    <row r="1856" spans="1:5" x14ac:dyDescent="0.25">
      <c r="A1856" s="4" t="s">
        <v>7</v>
      </c>
      <c r="B1856" s="4" t="s">
        <v>4843</v>
      </c>
      <c r="C1856" s="1" t="s">
        <v>4844</v>
      </c>
      <c r="D1856" s="1" t="s">
        <v>4845</v>
      </c>
      <c r="E1856" s="6">
        <v>3563</v>
      </c>
    </row>
    <row r="1857" spans="1:5" x14ac:dyDescent="0.25">
      <c r="A1857" s="4" t="s">
        <v>7</v>
      </c>
      <c r="B1857" s="4" t="s">
        <v>4846</v>
      </c>
      <c r="C1857" s="1" t="s">
        <v>4847</v>
      </c>
      <c r="D1857" s="1" t="s">
        <v>4848</v>
      </c>
      <c r="E1857" s="6">
        <v>4277</v>
      </c>
    </row>
    <row r="1858" spans="1:5" x14ac:dyDescent="0.25">
      <c r="A1858" s="4" t="s">
        <v>7</v>
      </c>
      <c r="B1858" s="4" t="s">
        <v>4849</v>
      </c>
      <c r="C1858" s="1" t="s">
        <v>4850</v>
      </c>
      <c r="D1858" s="1" t="s">
        <v>4851</v>
      </c>
      <c r="E1858" s="6">
        <v>3218</v>
      </c>
    </row>
    <row r="1859" spans="1:5" x14ac:dyDescent="0.25">
      <c r="A1859" s="4" t="s">
        <v>7</v>
      </c>
      <c r="B1859" s="4" t="s">
        <v>4852</v>
      </c>
      <c r="C1859" s="1" t="s">
        <v>4853</v>
      </c>
      <c r="D1859" s="1" t="s">
        <v>4854</v>
      </c>
      <c r="E1859" s="6">
        <v>5222</v>
      </c>
    </row>
    <row r="1860" spans="1:5" x14ac:dyDescent="0.25">
      <c r="A1860" s="4" t="s">
        <v>7</v>
      </c>
      <c r="B1860" s="4" t="s">
        <v>4855</v>
      </c>
      <c r="C1860" s="1" t="s">
        <v>4856</v>
      </c>
      <c r="D1860" s="1" t="s">
        <v>4857</v>
      </c>
      <c r="E1860" s="6">
        <v>4953</v>
      </c>
    </row>
    <row r="1861" spans="1:5" x14ac:dyDescent="0.25">
      <c r="A1861" s="4" t="s">
        <v>7</v>
      </c>
      <c r="B1861" s="4" t="s">
        <v>4858</v>
      </c>
      <c r="C1861" s="1" t="s">
        <v>4859</v>
      </c>
      <c r="D1861" s="1" t="s">
        <v>4860</v>
      </c>
      <c r="E1861" s="6">
        <v>3982</v>
      </c>
    </row>
    <row r="1862" spans="1:5" x14ac:dyDescent="0.25">
      <c r="A1862" s="4" t="s">
        <v>7</v>
      </c>
      <c r="B1862" s="4" t="s">
        <v>4861</v>
      </c>
      <c r="C1862" s="1" t="s">
        <v>4862</v>
      </c>
      <c r="D1862" s="1" t="s">
        <v>4863</v>
      </c>
      <c r="E1862" s="6">
        <v>31.12</v>
      </c>
    </row>
    <row r="1863" spans="1:5" x14ac:dyDescent="0.25">
      <c r="A1863" s="4" t="s">
        <v>7</v>
      </c>
      <c r="B1863" s="4" t="s">
        <v>4864</v>
      </c>
      <c r="C1863" s="1" t="s">
        <v>4865</v>
      </c>
      <c r="D1863" s="1" t="s">
        <v>4866</v>
      </c>
      <c r="E1863" s="6">
        <v>31.12</v>
      </c>
    </row>
    <row r="1864" spans="1:5" x14ac:dyDescent="0.25">
      <c r="A1864" s="4" t="s">
        <v>7</v>
      </c>
      <c r="B1864" s="4" t="s">
        <v>4867</v>
      </c>
      <c r="C1864" s="1" t="s">
        <v>4868</v>
      </c>
      <c r="D1864" s="1" t="s">
        <v>4869</v>
      </c>
      <c r="E1864" s="6">
        <v>111.88</v>
      </c>
    </row>
    <row r="1865" spans="1:5" x14ac:dyDescent="0.25">
      <c r="A1865" s="4" t="s">
        <v>7</v>
      </c>
      <c r="B1865" s="4" t="s">
        <v>4870</v>
      </c>
      <c r="C1865" s="1" t="s">
        <v>4871</v>
      </c>
      <c r="D1865" s="1" t="s">
        <v>4872</v>
      </c>
      <c r="E1865" s="6">
        <v>307.13</v>
      </c>
    </row>
    <row r="1866" spans="1:5" x14ac:dyDescent="0.25">
      <c r="A1866" s="4" t="s">
        <v>7</v>
      </c>
      <c r="B1866" s="4" t="s">
        <v>4873</v>
      </c>
      <c r="C1866" s="1" t="s">
        <v>4874</v>
      </c>
      <c r="D1866" s="1" t="s">
        <v>4875</v>
      </c>
      <c r="E1866" s="6">
        <v>116.63</v>
      </c>
    </row>
    <row r="1867" spans="1:5" x14ac:dyDescent="0.25">
      <c r="A1867" s="4" t="s">
        <v>7</v>
      </c>
      <c r="B1867" s="4" t="s">
        <v>4876</v>
      </c>
      <c r="C1867" s="1" t="s">
        <v>4877</v>
      </c>
      <c r="D1867" s="1" t="s">
        <v>4875</v>
      </c>
      <c r="E1867" s="6">
        <v>75.47</v>
      </c>
    </row>
    <row r="1868" spans="1:5" x14ac:dyDescent="0.25">
      <c r="A1868" s="4" t="s">
        <v>7</v>
      </c>
      <c r="B1868" s="4" t="s">
        <v>4878</v>
      </c>
      <c r="C1868" s="1" t="s">
        <v>4879</v>
      </c>
      <c r="D1868" s="1" t="s">
        <v>4880</v>
      </c>
      <c r="E1868" s="6">
        <v>27</v>
      </c>
    </row>
    <row r="1869" spans="1:5" x14ac:dyDescent="0.25">
      <c r="A1869" s="4" t="s">
        <v>7</v>
      </c>
      <c r="B1869" s="4" t="s">
        <v>4881</v>
      </c>
      <c r="C1869" s="1" t="s">
        <v>4882</v>
      </c>
      <c r="D1869" s="1" t="s">
        <v>4883</v>
      </c>
      <c r="E1869" s="6">
        <v>117</v>
      </c>
    </row>
    <row r="1870" spans="1:5" x14ac:dyDescent="0.25">
      <c r="A1870" s="4" t="s">
        <v>7</v>
      </c>
      <c r="B1870" s="4" t="s">
        <v>4884</v>
      </c>
      <c r="C1870" s="1" t="s">
        <v>4885</v>
      </c>
      <c r="D1870" s="1" t="s">
        <v>4886</v>
      </c>
      <c r="E1870" s="6">
        <v>1</v>
      </c>
    </row>
    <row r="1871" spans="1:5" x14ac:dyDescent="0.25">
      <c r="A1871" s="4" t="s">
        <v>7</v>
      </c>
      <c r="B1871" s="4" t="s">
        <v>4887</v>
      </c>
      <c r="C1871" s="1" t="s">
        <v>4888</v>
      </c>
      <c r="D1871" s="1" t="s">
        <v>4889</v>
      </c>
      <c r="E1871" s="6">
        <v>1</v>
      </c>
    </row>
    <row r="1872" spans="1:5" x14ac:dyDescent="0.25">
      <c r="A1872" s="4" t="s">
        <v>7</v>
      </c>
      <c r="B1872" s="4" t="s">
        <v>4890</v>
      </c>
      <c r="C1872" s="1" t="s">
        <v>4891</v>
      </c>
      <c r="D1872" s="1" t="s">
        <v>4892</v>
      </c>
      <c r="E1872" s="6">
        <v>1</v>
      </c>
    </row>
    <row r="1873" spans="1:5" x14ac:dyDescent="0.25">
      <c r="A1873" s="4" t="s">
        <v>7</v>
      </c>
      <c r="B1873" s="4" t="s">
        <v>4893</v>
      </c>
      <c r="C1873" s="1" t="s">
        <v>4894</v>
      </c>
      <c r="D1873" s="1" t="s">
        <v>4895</v>
      </c>
      <c r="E1873" s="6">
        <v>3</v>
      </c>
    </row>
    <row r="1874" spans="1:5" x14ac:dyDescent="0.25">
      <c r="A1874" s="4" t="s">
        <v>7</v>
      </c>
      <c r="B1874" s="4" t="s">
        <v>4896</v>
      </c>
      <c r="C1874" s="1" t="s">
        <v>4897</v>
      </c>
      <c r="D1874" s="1" t="s">
        <v>4898</v>
      </c>
      <c r="E1874" s="6">
        <v>1</v>
      </c>
    </row>
    <row r="1875" spans="1:5" x14ac:dyDescent="0.25">
      <c r="A1875" s="4" t="s">
        <v>7</v>
      </c>
      <c r="B1875" s="4" t="s">
        <v>4899</v>
      </c>
      <c r="C1875" s="1" t="s">
        <v>4900</v>
      </c>
      <c r="D1875" s="1" t="s">
        <v>4901</v>
      </c>
      <c r="E1875" s="6">
        <v>6</v>
      </c>
    </row>
    <row r="1876" spans="1:5" x14ac:dyDescent="0.25">
      <c r="A1876" s="4" t="s">
        <v>7</v>
      </c>
      <c r="B1876" s="4" t="s">
        <v>4902</v>
      </c>
      <c r="C1876" s="1" t="s">
        <v>4903</v>
      </c>
      <c r="D1876" s="1" t="s">
        <v>4904</v>
      </c>
      <c r="E1876" s="6">
        <v>54</v>
      </c>
    </row>
    <row r="1877" spans="1:5" x14ac:dyDescent="0.25">
      <c r="A1877" s="4" t="s">
        <v>7</v>
      </c>
      <c r="B1877" s="4" t="s">
        <v>4905</v>
      </c>
      <c r="C1877" s="1" t="s">
        <v>4906</v>
      </c>
      <c r="D1877" s="1" t="s">
        <v>4907</v>
      </c>
      <c r="E1877" s="6">
        <v>6</v>
      </c>
    </row>
    <row r="1878" spans="1:5" x14ac:dyDescent="0.25">
      <c r="A1878" s="4" t="s">
        <v>7</v>
      </c>
      <c r="B1878" s="4" t="s">
        <v>4908</v>
      </c>
      <c r="C1878" s="1" t="s">
        <v>4909</v>
      </c>
      <c r="D1878" s="1" t="s">
        <v>4910</v>
      </c>
      <c r="E1878" s="6">
        <v>4</v>
      </c>
    </row>
    <row r="1879" spans="1:5" x14ac:dyDescent="0.25">
      <c r="A1879" s="4" t="s">
        <v>7</v>
      </c>
      <c r="B1879" s="4" t="s">
        <v>4911</v>
      </c>
      <c r="C1879" s="1" t="s">
        <v>4912</v>
      </c>
      <c r="D1879" s="1" t="s">
        <v>4913</v>
      </c>
      <c r="E1879" s="6">
        <v>1</v>
      </c>
    </row>
    <row r="1880" spans="1:5" x14ac:dyDescent="0.25">
      <c r="A1880" s="4" t="s">
        <v>7</v>
      </c>
      <c r="B1880" s="4" t="s">
        <v>4914</v>
      </c>
      <c r="C1880" s="1" t="s">
        <v>4915</v>
      </c>
      <c r="D1880" s="1" t="s">
        <v>4916</v>
      </c>
      <c r="E1880" s="6">
        <v>1</v>
      </c>
    </row>
    <row r="1881" spans="1:5" x14ac:dyDescent="0.25">
      <c r="A1881" s="4" t="s">
        <v>7</v>
      </c>
      <c r="B1881" s="4" t="s">
        <v>4917</v>
      </c>
      <c r="C1881" s="1" t="s">
        <v>4918</v>
      </c>
      <c r="D1881" s="1" t="s">
        <v>4919</v>
      </c>
      <c r="E1881" s="6">
        <v>1</v>
      </c>
    </row>
    <row r="1882" spans="1:5" x14ac:dyDescent="0.25">
      <c r="A1882" s="4" t="s">
        <v>7</v>
      </c>
      <c r="B1882" s="4" t="s">
        <v>4920</v>
      </c>
      <c r="C1882" s="1" t="s">
        <v>4921</v>
      </c>
      <c r="D1882" s="1" t="s">
        <v>4922</v>
      </c>
      <c r="E1882" s="6">
        <v>1</v>
      </c>
    </row>
    <row r="1883" spans="1:5" x14ac:dyDescent="0.25">
      <c r="A1883" s="4" t="s">
        <v>7</v>
      </c>
      <c r="B1883" s="4" t="s">
        <v>4923</v>
      </c>
      <c r="C1883" s="1" t="s">
        <v>4924</v>
      </c>
      <c r="D1883" s="1" t="s">
        <v>4925</v>
      </c>
      <c r="E1883" s="6">
        <v>1</v>
      </c>
    </row>
    <row r="1884" spans="1:5" x14ac:dyDescent="0.25">
      <c r="A1884" s="4" t="s">
        <v>7</v>
      </c>
      <c r="B1884" s="4" t="s">
        <v>4926</v>
      </c>
      <c r="C1884" s="1" t="s">
        <v>4927</v>
      </c>
      <c r="D1884" s="1" t="s">
        <v>4928</v>
      </c>
      <c r="E1884" s="6">
        <v>3</v>
      </c>
    </row>
    <row r="1885" spans="1:5" x14ac:dyDescent="0.25">
      <c r="A1885" s="4" t="s">
        <v>7</v>
      </c>
      <c r="B1885" s="4" t="s">
        <v>4929</v>
      </c>
      <c r="C1885" s="1" t="s">
        <v>4930</v>
      </c>
      <c r="D1885" s="1" t="s">
        <v>4931</v>
      </c>
      <c r="E1885" s="6">
        <v>23</v>
      </c>
    </row>
    <row r="1886" spans="1:5" x14ac:dyDescent="0.25">
      <c r="A1886" s="4" t="s">
        <v>7</v>
      </c>
      <c r="B1886" s="4" t="s">
        <v>4932</v>
      </c>
      <c r="C1886" s="1" t="s">
        <v>4933</v>
      </c>
      <c r="D1886" s="1" t="s">
        <v>4934</v>
      </c>
      <c r="E1886" s="6">
        <v>2</v>
      </c>
    </row>
    <row r="1887" spans="1:5" x14ac:dyDescent="0.25">
      <c r="A1887" s="4" t="s">
        <v>7</v>
      </c>
      <c r="B1887" s="4" t="s">
        <v>4935</v>
      </c>
      <c r="C1887" s="1" t="s">
        <v>4936</v>
      </c>
      <c r="D1887" s="1" t="s">
        <v>4937</v>
      </c>
      <c r="E1887" s="6">
        <v>1</v>
      </c>
    </row>
    <row r="1888" spans="1:5" x14ac:dyDescent="0.25">
      <c r="A1888" s="4" t="s">
        <v>7</v>
      </c>
      <c r="B1888" s="4" t="s">
        <v>4938</v>
      </c>
      <c r="C1888" s="1" t="s">
        <v>4939</v>
      </c>
      <c r="D1888" s="1" t="s">
        <v>4940</v>
      </c>
      <c r="E1888" s="6">
        <v>3</v>
      </c>
    </row>
    <row r="1889" spans="1:5" x14ac:dyDescent="0.25">
      <c r="A1889" s="4" t="s">
        <v>7</v>
      </c>
      <c r="B1889" s="4" t="s">
        <v>4941</v>
      </c>
      <c r="C1889" s="1" t="s">
        <v>4942</v>
      </c>
      <c r="D1889" s="1" t="s">
        <v>4943</v>
      </c>
      <c r="E1889" s="6">
        <v>4</v>
      </c>
    </row>
    <row r="1890" spans="1:5" x14ac:dyDescent="0.25">
      <c r="A1890" s="4" t="s">
        <v>7</v>
      </c>
      <c r="B1890" s="4" t="s">
        <v>4944</v>
      </c>
      <c r="C1890" s="1" t="s">
        <v>4945</v>
      </c>
      <c r="D1890" s="1" t="s">
        <v>4946</v>
      </c>
      <c r="E1890" s="6">
        <v>2</v>
      </c>
    </row>
    <row r="1891" spans="1:5" x14ac:dyDescent="0.25">
      <c r="A1891" s="4" t="s">
        <v>7</v>
      </c>
      <c r="B1891" s="4" t="s">
        <v>4947</v>
      </c>
      <c r="C1891" s="1" t="s">
        <v>4948</v>
      </c>
      <c r="D1891" s="1" t="s">
        <v>4949</v>
      </c>
      <c r="E1891" s="6">
        <v>2</v>
      </c>
    </row>
    <row r="1892" spans="1:5" x14ac:dyDescent="0.25">
      <c r="A1892" s="4" t="s">
        <v>7</v>
      </c>
      <c r="B1892" s="4" t="s">
        <v>4950</v>
      </c>
      <c r="C1892" s="1" t="s">
        <v>4951</v>
      </c>
      <c r="D1892" s="1" t="s">
        <v>4952</v>
      </c>
      <c r="E1892" s="6">
        <v>1</v>
      </c>
    </row>
    <row r="1893" spans="1:5" x14ac:dyDescent="0.25">
      <c r="A1893" s="4" t="s">
        <v>7</v>
      </c>
      <c r="B1893" s="4" t="s">
        <v>4953</v>
      </c>
      <c r="C1893" s="1" t="s">
        <v>4954</v>
      </c>
      <c r="D1893" s="1" t="s">
        <v>4955</v>
      </c>
      <c r="E1893" s="6">
        <v>1</v>
      </c>
    </row>
    <row r="1894" spans="1:5" x14ac:dyDescent="0.25">
      <c r="A1894" s="4" t="s">
        <v>7</v>
      </c>
      <c r="B1894" s="4" t="s">
        <v>4956</v>
      </c>
      <c r="C1894" s="1" t="s">
        <v>4957</v>
      </c>
      <c r="D1894" s="1" t="s">
        <v>4958</v>
      </c>
      <c r="E1894" s="6">
        <v>100</v>
      </c>
    </row>
    <row r="1895" spans="1:5" x14ac:dyDescent="0.25">
      <c r="A1895" s="4" t="s">
        <v>7</v>
      </c>
      <c r="B1895" s="4" t="s">
        <v>4959</v>
      </c>
      <c r="C1895" s="1" t="s">
        <v>4960</v>
      </c>
      <c r="D1895" s="1" t="s">
        <v>4961</v>
      </c>
      <c r="E1895" s="6">
        <v>4</v>
      </c>
    </row>
    <row r="1896" spans="1:5" x14ac:dyDescent="0.25">
      <c r="A1896" s="4" t="s">
        <v>7</v>
      </c>
      <c r="B1896" s="4" t="s">
        <v>4962</v>
      </c>
      <c r="C1896" s="1" t="s">
        <v>4963</v>
      </c>
      <c r="D1896" s="1" t="s">
        <v>4964</v>
      </c>
      <c r="E1896" s="6">
        <v>3</v>
      </c>
    </row>
    <row r="1897" spans="1:5" x14ac:dyDescent="0.25">
      <c r="A1897" s="4" t="s">
        <v>7</v>
      </c>
      <c r="B1897" s="4" t="s">
        <v>4965</v>
      </c>
      <c r="C1897" s="1" t="s">
        <v>4966</v>
      </c>
      <c r="D1897" s="1" t="s">
        <v>4967</v>
      </c>
      <c r="E1897" s="6">
        <v>1</v>
      </c>
    </row>
    <row r="1898" spans="1:5" x14ac:dyDescent="0.25">
      <c r="A1898" s="4" t="s">
        <v>7</v>
      </c>
      <c r="B1898" s="4" t="s">
        <v>4968</v>
      </c>
      <c r="C1898" s="1" t="s">
        <v>4969</v>
      </c>
      <c r="D1898" s="1" t="s">
        <v>4970</v>
      </c>
      <c r="E1898" s="6">
        <v>5</v>
      </c>
    </row>
    <row r="1899" spans="1:5" x14ac:dyDescent="0.25">
      <c r="A1899" s="4" t="s">
        <v>7</v>
      </c>
      <c r="B1899" s="4" t="s">
        <v>4971</v>
      </c>
      <c r="C1899" s="1" t="s">
        <v>4972</v>
      </c>
      <c r="D1899" s="1" t="s">
        <v>4973</v>
      </c>
      <c r="E1899" s="6">
        <v>2</v>
      </c>
    </row>
    <row r="1900" spans="1:5" x14ac:dyDescent="0.25">
      <c r="A1900" s="4" t="s">
        <v>7</v>
      </c>
      <c r="B1900" s="4" t="s">
        <v>4974</v>
      </c>
      <c r="C1900" s="1" t="s">
        <v>4975</v>
      </c>
      <c r="D1900" s="1" t="s">
        <v>4975</v>
      </c>
      <c r="E1900" s="6">
        <v>80</v>
      </c>
    </row>
    <row r="1901" spans="1:5" x14ac:dyDescent="0.25">
      <c r="A1901" s="4" t="s">
        <v>7</v>
      </c>
      <c r="B1901" s="4" t="s">
        <v>4976</v>
      </c>
      <c r="C1901" s="1" t="s">
        <v>4977</v>
      </c>
      <c r="D1901" s="1" t="s">
        <v>4978</v>
      </c>
      <c r="E1901" s="6">
        <v>81</v>
      </c>
    </row>
    <row r="1902" spans="1:5" x14ac:dyDescent="0.25">
      <c r="A1902" s="4" t="s">
        <v>7</v>
      </c>
      <c r="B1902" s="4" t="s">
        <v>4979</v>
      </c>
      <c r="C1902" s="1" t="s">
        <v>4980</v>
      </c>
      <c r="D1902" s="1" t="s">
        <v>4981</v>
      </c>
      <c r="E1902" s="6">
        <v>1</v>
      </c>
    </row>
    <row r="1903" spans="1:5" x14ac:dyDescent="0.25">
      <c r="A1903" s="4" t="s">
        <v>7</v>
      </c>
      <c r="B1903" s="4" t="s">
        <v>4982</v>
      </c>
      <c r="C1903" s="1" t="s">
        <v>4983</v>
      </c>
      <c r="D1903" s="1" t="s">
        <v>4984</v>
      </c>
      <c r="E1903" s="6">
        <v>2</v>
      </c>
    </row>
    <row r="1904" spans="1:5" x14ac:dyDescent="0.25">
      <c r="A1904" s="4" t="s">
        <v>7</v>
      </c>
      <c r="B1904" s="4" t="s">
        <v>4985</v>
      </c>
      <c r="C1904" s="1" t="s">
        <v>4986</v>
      </c>
      <c r="D1904" s="1" t="s">
        <v>4987</v>
      </c>
      <c r="E1904" s="6">
        <v>1</v>
      </c>
    </row>
    <row r="1905" spans="1:5" x14ac:dyDescent="0.25">
      <c r="A1905" s="4" t="s">
        <v>7</v>
      </c>
      <c r="B1905" s="4" t="s">
        <v>4988</v>
      </c>
      <c r="C1905" s="1" t="s">
        <v>4989</v>
      </c>
      <c r="D1905" s="1" t="s">
        <v>4990</v>
      </c>
      <c r="E1905" s="6">
        <v>1</v>
      </c>
    </row>
    <row r="1906" spans="1:5" x14ac:dyDescent="0.25">
      <c r="A1906" s="4" t="s">
        <v>7</v>
      </c>
      <c r="B1906" s="4" t="s">
        <v>4991</v>
      </c>
      <c r="C1906" s="1" t="s">
        <v>4992</v>
      </c>
      <c r="D1906" s="1" t="s">
        <v>4993</v>
      </c>
      <c r="E1906" s="6">
        <v>1</v>
      </c>
    </row>
    <row r="1907" spans="1:5" x14ac:dyDescent="0.25">
      <c r="A1907" s="4" t="s">
        <v>7</v>
      </c>
      <c r="B1907" s="4" t="s">
        <v>4994</v>
      </c>
      <c r="C1907" s="1" t="s">
        <v>4995</v>
      </c>
      <c r="D1907" s="1" t="s">
        <v>4995</v>
      </c>
      <c r="E1907" s="6">
        <v>1</v>
      </c>
    </row>
    <row r="1908" spans="1:5" x14ac:dyDescent="0.25">
      <c r="A1908" s="4" t="s">
        <v>7</v>
      </c>
      <c r="B1908" s="4" t="s">
        <v>4996</v>
      </c>
      <c r="C1908" s="1" t="s">
        <v>4997</v>
      </c>
      <c r="D1908" s="1" t="s">
        <v>4998</v>
      </c>
      <c r="E1908" s="6">
        <v>1</v>
      </c>
    </row>
    <row r="1909" spans="1:5" x14ac:dyDescent="0.25">
      <c r="A1909" s="4" t="s">
        <v>7</v>
      </c>
      <c r="B1909" s="4" t="s">
        <v>4999</v>
      </c>
      <c r="C1909" s="1" t="s">
        <v>5000</v>
      </c>
      <c r="D1909" s="1" t="s">
        <v>5001</v>
      </c>
      <c r="E1909" s="6">
        <v>1</v>
      </c>
    </row>
    <row r="1910" spans="1:5" x14ac:dyDescent="0.25">
      <c r="A1910" s="4" t="s">
        <v>7</v>
      </c>
      <c r="B1910" s="4" t="s">
        <v>5002</v>
      </c>
      <c r="C1910" s="1" t="s">
        <v>5003</v>
      </c>
      <c r="D1910" s="1" t="s">
        <v>5004</v>
      </c>
      <c r="E1910" s="6">
        <v>1</v>
      </c>
    </row>
    <row r="1911" spans="1:5" x14ac:dyDescent="0.25">
      <c r="A1911" s="4" t="s">
        <v>7</v>
      </c>
      <c r="B1911" s="4" t="s">
        <v>5005</v>
      </c>
      <c r="C1911" s="1" t="s">
        <v>5006</v>
      </c>
      <c r="D1911" s="1" t="s">
        <v>5007</v>
      </c>
      <c r="E1911" s="6">
        <v>60</v>
      </c>
    </row>
    <row r="1912" spans="1:5" x14ac:dyDescent="0.25">
      <c r="A1912" s="4" t="s">
        <v>7</v>
      </c>
      <c r="B1912" s="4" t="s">
        <v>5008</v>
      </c>
      <c r="C1912" s="1" t="s">
        <v>5009</v>
      </c>
      <c r="D1912" s="1" t="s">
        <v>5010</v>
      </c>
      <c r="E1912" s="6">
        <v>1</v>
      </c>
    </row>
    <row r="1913" spans="1:5" x14ac:dyDescent="0.25">
      <c r="A1913" s="4" t="s">
        <v>7</v>
      </c>
      <c r="B1913" s="4" t="s">
        <v>5011</v>
      </c>
      <c r="C1913" s="1" t="s">
        <v>5012</v>
      </c>
      <c r="D1913" s="1" t="s">
        <v>5013</v>
      </c>
      <c r="E1913" s="6">
        <v>1</v>
      </c>
    </row>
    <row r="1914" spans="1:5" x14ac:dyDescent="0.25">
      <c r="A1914" s="4" t="s">
        <v>7</v>
      </c>
      <c r="B1914" s="4" t="s">
        <v>5014</v>
      </c>
      <c r="C1914" s="1" t="s">
        <v>5015</v>
      </c>
      <c r="D1914" s="1" t="s">
        <v>5016</v>
      </c>
      <c r="E1914" s="6">
        <v>2</v>
      </c>
    </row>
    <row r="1915" spans="1:5" x14ac:dyDescent="0.25">
      <c r="A1915" s="4" t="s">
        <v>7</v>
      </c>
      <c r="B1915" s="4" t="s">
        <v>5017</v>
      </c>
      <c r="C1915" s="1" t="s">
        <v>5018</v>
      </c>
      <c r="D1915" s="1" t="s">
        <v>5019</v>
      </c>
      <c r="E1915" s="6">
        <v>2</v>
      </c>
    </row>
    <row r="1916" spans="1:5" x14ac:dyDescent="0.25">
      <c r="A1916" s="4" t="s">
        <v>7</v>
      </c>
      <c r="B1916" s="4" t="s">
        <v>5020</v>
      </c>
      <c r="C1916" s="1" t="s">
        <v>5021</v>
      </c>
      <c r="D1916" s="1" t="s">
        <v>5022</v>
      </c>
      <c r="E1916" s="6">
        <v>3</v>
      </c>
    </row>
    <row r="1917" spans="1:5" x14ac:dyDescent="0.25">
      <c r="A1917" s="4" t="s">
        <v>7</v>
      </c>
      <c r="B1917" s="4" t="s">
        <v>5023</v>
      </c>
      <c r="C1917" s="1" t="s">
        <v>5024</v>
      </c>
      <c r="D1917" s="1" t="s">
        <v>5025</v>
      </c>
      <c r="E1917" s="6">
        <v>5</v>
      </c>
    </row>
    <row r="1918" spans="1:5" x14ac:dyDescent="0.25">
      <c r="A1918" s="4" t="s">
        <v>7</v>
      </c>
      <c r="B1918" s="4" t="s">
        <v>5026</v>
      </c>
      <c r="C1918" s="1" t="s">
        <v>5027</v>
      </c>
      <c r="D1918" s="1" t="s">
        <v>5028</v>
      </c>
      <c r="E1918" s="6">
        <v>2</v>
      </c>
    </row>
    <row r="1919" spans="1:5" x14ac:dyDescent="0.25">
      <c r="A1919" s="4" t="s">
        <v>7</v>
      </c>
      <c r="B1919" s="4" t="s">
        <v>5029</v>
      </c>
      <c r="C1919" s="1" t="s">
        <v>5030</v>
      </c>
      <c r="D1919" s="1" t="s">
        <v>5031</v>
      </c>
      <c r="E1919" s="6">
        <v>4</v>
      </c>
    </row>
    <row r="1920" spans="1:5" x14ac:dyDescent="0.25">
      <c r="A1920" s="4" t="s">
        <v>7</v>
      </c>
      <c r="B1920" s="4" t="s">
        <v>5032</v>
      </c>
      <c r="C1920" s="1" t="s">
        <v>5033</v>
      </c>
      <c r="D1920" s="1" t="s">
        <v>5034</v>
      </c>
      <c r="E1920" s="6">
        <v>620</v>
      </c>
    </row>
    <row r="1921" spans="1:5" x14ac:dyDescent="0.25">
      <c r="A1921" s="4" t="s">
        <v>7</v>
      </c>
      <c r="B1921" s="4" t="s">
        <v>5035</v>
      </c>
      <c r="C1921" s="1" t="s">
        <v>5036</v>
      </c>
      <c r="D1921" s="1" t="s">
        <v>5037</v>
      </c>
      <c r="E1921" s="6">
        <v>340</v>
      </c>
    </row>
    <row r="1922" spans="1:5" x14ac:dyDescent="0.25">
      <c r="A1922" s="4" t="s">
        <v>7</v>
      </c>
      <c r="B1922" s="4" t="s">
        <v>5038</v>
      </c>
      <c r="C1922" s="1" t="s">
        <v>5039</v>
      </c>
      <c r="D1922" s="1" t="s">
        <v>5040</v>
      </c>
      <c r="E1922" s="6">
        <v>4</v>
      </c>
    </row>
    <row r="1923" spans="1:5" x14ac:dyDescent="0.25">
      <c r="A1923" s="4" t="s">
        <v>7</v>
      </c>
      <c r="B1923" s="4" t="s">
        <v>5041</v>
      </c>
      <c r="C1923" s="1" t="s">
        <v>5042</v>
      </c>
      <c r="D1923" s="1" t="s">
        <v>5043</v>
      </c>
      <c r="E1923" s="6">
        <v>33</v>
      </c>
    </row>
    <row r="1924" spans="1:5" x14ac:dyDescent="0.25">
      <c r="A1924" s="4" t="s">
        <v>7</v>
      </c>
      <c r="B1924" s="4" t="s">
        <v>5044</v>
      </c>
      <c r="C1924" s="1" t="s">
        <v>5045</v>
      </c>
      <c r="D1924" s="1" t="s">
        <v>5046</v>
      </c>
      <c r="E1924" s="6">
        <v>45</v>
      </c>
    </row>
    <row r="1925" spans="1:5" x14ac:dyDescent="0.25">
      <c r="A1925" s="4" t="s">
        <v>7</v>
      </c>
      <c r="B1925" s="4" t="s">
        <v>5047</v>
      </c>
      <c r="C1925" s="1" t="s">
        <v>5048</v>
      </c>
      <c r="D1925" s="1" t="s">
        <v>5049</v>
      </c>
      <c r="E1925" s="6">
        <v>33</v>
      </c>
    </row>
    <row r="1926" spans="1:5" x14ac:dyDescent="0.25">
      <c r="A1926" s="4" t="s">
        <v>7</v>
      </c>
      <c r="B1926" s="4" t="s">
        <v>5050</v>
      </c>
      <c r="C1926" s="1" t="s">
        <v>5051</v>
      </c>
      <c r="D1926" s="1" t="s">
        <v>5052</v>
      </c>
      <c r="E1926" s="6">
        <v>2</v>
      </c>
    </row>
    <row r="1927" spans="1:5" x14ac:dyDescent="0.25">
      <c r="A1927" s="4" t="s">
        <v>7</v>
      </c>
      <c r="B1927" s="4" t="s">
        <v>5053</v>
      </c>
      <c r="C1927" s="1" t="s">
        <v>5054</v>
      </c>
      <c r="D1927" s="1" t="s">
        <v>5055</v>
      </c>
      <c r="E1927" s="6">
        <v>0.63</v>
      </c>
    </row>
    <row r="1928" spans="1:5" x14ac:dyDescent="0.25">
      <c r="A1928" s="4" t="s">
        <v>7</v>
      </c>
      <c r="B1928" s="4" t="s">
        <v>5056</v>
      </c>
      <c r="C1928" s="1" t="s">
        <v>5057</v>
      </c>
      <c r="D1928" s="1" t="s">
        <v>5058</v>
      </c>
      <c r="E1928" s="6">
        <v>4</v>
      </c>
    </row>
    <row r="1929" spans="1:5" x14ac:dyDescent="0.25">
      <c r="A1929" s="4" t="s">
        <v>7</v>
      </c>
      <c r="B1929" s="4" t="s">
        <v>5059</v>
      </c>
      <c r="C1929" s="1" t="s">
        <v>5060</v>
      </c>
      <c r="D1929" s="1" t="s">
        <v>5061</v>
      </c>
      <c r="E1929" s="6">
        <v>1</v>
      </c>
    </row>
    <row r="1930" spans="1:5" x14ac:dyDescent="0.25">
      <c r="A1930" s="4" t="s">
        <v>7</v>
      </c>
      <c r="B1930" s="4" t="s">
        <v>5062</v>
      </c>
      <c r="C1930" s="1" t="s">
        <v>5063</v>
      </c>
      <c r="D1930" s="1" t="s">
        <v>5064</v>
      </c>
      <c r="E1930" s="6">
        <v>2</v>
      </c>
    </row>
    <row r="1931" spans="1:5" x14ac:dyDescent="0.25">
      <c r="A1931" s="4" t="s">
        <v>7</v>
      </c>
      <c r="B1931" s="4" t="s">
        <v>5065</v>
      </c>
      <c r="C1931" s="1" t="s">
        <v>5066</v>
      </c>
      <c r="D1931" s="1" t="s">
        <v>5067</v>
      </c>
      <c r="E1931" s="6">
        <v>8</v>
      </c>
    </row>
    <row r="1932" spans="1:5" x14ac:dyDescent="0.25">
      <c r="A1932" s="4" t="s">
        <v>7</v>
      </c>
      <c r="B1932" s="4" t="s">
        <v>5068</v>
      </c>
      <c r="C1932" s="1" t="s">
        <v>5069</v>
      </c>
      <c r="D1932" s="1" t="s">
        <v>5070</v>
      </c>
      <c r="E1932" s="6">
        <v>886</v>
      </c>
    </row>
    <row r="1933" spans="1:5" x14ac:dyDescent="0.25">
      <c r="A1933" s="4" t="s">
        <v>7</v>
      </c>
      <c r="B1933" s="4" t="s">
        <v>5071</v>
      </c>
      <c r="C1933" s="1" t="s">
        <v>5072</v>
      </c>
      <c r="D1933" s="1" t="s">
        <v>5073</v>
      </c>
      <c r="E1933" s="6">
        <v>4</v>
      </c>
    </row>
    <row r="1934" spans="1:5" x14ac:dyDescent="0.25">
      <c r="A1934" s="4" t="s">
        <v>7</v>
      </c>
      <c r="B1934" s="4" t="s">
        <v>5074</v>
      </c>
      <c r="C1934" s="1" t="s">
        <v>5075</v>
      </c>
      <c r="D1934" s="1" t="s">
        <v>5076</v>
      </c>
      <c r="E1934" s="6">
        <v>1</v>
      </c>
    </row>
    <row r="1935" spans="1:5" x14ac:dyDescent="0.25">
      <c r="A1935" s="4" t="s">
        <v>7</v>
      </c>
      <c r="B1935" s="4" t="s">
        <v>5077</v>
      </c>
      <c r="C1935" s="1" t="s">
        <v>5078</v>
      </c>
      <c r="D1935" s="1" t="s">
        <v>5079</v>
      </c>
      <c r="E1935" s="6">
        <v>4</v>
      </c>
    </row>
    <row r="1936" spans="1:5" x14ac:dyDescent="0.25">
      <c r="A1936" s="4" t="s">
        <v>7</v>
      </c>
      <c r="B1936" s="4" t="s">
        <v>5080</v>
      </c>
      <c r="C1936" s="1" t="s">
        <v>5081</v>
      </c>
      <c r="D1936" s="1" t="s">
        <v>5082</v>
      </c>
      <c r="E1936" s="6">
        <v>8</v>
      </c>
    </row>
    <row r="1937" spans="1:5" x14ac:dyDescent="0.25">
      <c r="A1937" s="4" t="s">
        <v>7</v>
      </c>
      <c r="B1937" s="4" t="s">
        <v>5083</v>
      </c>
      <c r="C1937" s="1" t="s">
        <v>5084</v>
      </c>
      <c r="D1937" s="1" t="s">
        <v>5085</v>
      </c>
      <c r="E1937" s="6">
        <v>51</v>
      </c>
    </row>
    <row r="1938" spans="1:5" x14ac:dyDescent="0.25">
      <c r="A1938" s="4" t="s">
        <v>7</v>
      </c>
      <c r="B1938" s="4" t="s">
        <v>5086</v>
      </c>
      <c r="C1938" s="1" t="s">
        <v>5087</v>
      </c>
      <c r="D1938" s="1" t="s">
        <v>5088</v>
      </c>
      <c r="E1938" s="6">
        <v>7</v>
      </c>
    </row>
    <row r="1939" spans="1:5" x14ac:dyDescent="0.25">
      <c r="A1939" s="4" t="s">
        <v>7</v>
      </c>
      <c r="B1939" s="4" t="s">
        <v>5089</v>
      </c>
      <c r="C1939" s="1" t="s">
        <v>5090</v>
      </c>
      <c r="D1939" s="1" t="s">
        <v>5091</v>
      </c>
      <c r="E1939" s="6">
        <v>16</v>
      </c>
    </row>
    <row r="1940" spans="1:5" x14ac:dyDescent="0.25">
      <c r="A1940" s="4" t="s">
        <v>7</v>
      </c>
      <c r="B1940" s="4" t="s">
        <v>5092</v>
      </c>
      <c r="C1940" s="1" t="s">
        <v>5093</v>
      </c>
      <c r="D1940" s="1" t="s">
        <v>5094</v>
      </c>
      <c r="E1940" s="6">
        <v>8</v>
      </c>
    </row>
    <row r="1941" spans="1:5" x14ac:dyDescent="0.25">
      <c r="A1941" s="4" t="s">
        <v>7</v>
      </c>
      <c r="B1941" s="4" t="s">
        <v>5095</v>
      </c>
      <c r="C1941" s="1" t="s">
        <v>5096</v>
      </c>
      <c r="D1941" s="1" t="s">
        <v>5097</v>
      </c>
      <c r="E1941" s="6">
        <v>11</v>
      </c>
    </row>
    <row r="1942" spans="1:5" x14ac:dyDescent="0.25">
      <c r="A1942" s="4" t="s">
        <v>7</v>
      </c>
      <c r="B1942" s="4" t="s">
        <v>5098</v>
      </c>
      <c r="C1942" s="1" t="s">
        <v>5099</v>
      </c>
      <c r="D1942" s="1" t="s">
        <v>5100</v>
      </c>
      <c r="E1942" s="6">
        <v>1</v>
      </c>
    </row>
    <row r="1943" spans="1:5" x14ac:dyDescent="0.25">
      <c r="A1943" s="4" t="s">
        <v>7</v>
      </c>
      <c r="B1943" s="4" t="s">
        <v>5101</v>
      </c>
      <c r="C1943" s="1" t="s">
        <v>5102</v>
      </c>
      <c r="D1943" s="1" t="s">
        <v>5103</v>
      </c>
      <c r="E1943" s="6">
        <v>1</v>
      </c>
    </row>
    <row r="1944" spans="1:5" x14ac:dyDescent="0.25">
      <c r="A1944" s="4" t="s">
        <v>7</v>
      </c>
      <c r="B1944" s="4" t="s">
        <v>5104</v>
      </c>
      <c r="C1944" s="1" t="s">
        <v>5105</v>
      </c>
      <c r="D1944" s="1" t="s">
        <v>5106</v>
      </c>
      <c r="E1944" s="6">
        <v>2</v>
      </c>
    </row>
    <row r="1945" spans="1:5" x14ac:dyDescent="0.25">
      <c r="A1945" s="4" t="s">
        <v>7</v>
      </c>
      <c r="B1945" s="4" t="s">
        <v>5107</v>
      </c>
      <c r="C1945" s="1" t="s">
        <v>5108</v>
      </c>
      <c r="D1945" s="1" t="s">
        <v>5109</v>
      </c>
      <c r="E1945" s="6">
        <v>1</v>
      </c>
    </row>
    <row r="1946" spans="1:5" x14ac:dyDescent="0.25">
      <c r="A1946" s="4" t="s">
        <v>7</v>
      </c>
      <c r="B1946" s="4" t="s">
        <v>5110</v>
      </c>
      <c r="C1946" s="1" t="s">
        <v>5111</v>
      </c>
      <c r="D1946" s="1" t="s">
        <v>5112</v>
      </c>
      <c r="E1946" s="6">
        <v>2</v>
      </c>
    </row>
    <row r="1947" spans="1:5" x14ac:dyDescent="0.25">
      <c r="A1947" s="4" t="s">
        <v>7</v>
      </c>
      <c r="B1947" s="4" t="s">
        <v>5113</v>
      </c>
      <c r="C1947" s="1" t="s">
        <v>5114</v>
      </c>
      <c r="D1947" s="1" t="s">
        <v>5115</v>
      </c>
      <c r="E1947" s="6">
        <v>2</v>
      </c>
    </row>
    <row r="1948" spans="1:5" x14ac:dyDescent="0.25">
      <c r="A1948" s="4" t="s">
        <v>7</v>
      </c>
      <c r="B1948" s="4" t="s">
        <v>5116</v>
      </c>
      <c r="C1948" s="1" t="s">
        <v>5117</v>
      </c>
      <c r="D1948" s="1" t="s">
        <v>5118</v>
      </c>
      <c r="E1948" s="6">
        <v>2</v>
      </c>
    </row>
    <row r="1949" spans="1:5" x14ac:dyDescent="0.25">
      <c r="A1949" s="4" t="s">
        <v>7</v>
      </c>
      <c r="B1949" s="4" t="s">
        <v>5119</v>
      </c>
      <c r="C1949" s="1" t="s">
        <v>5120</v>
      </c>
      <c r="D1949" s="1" t="s">
        <v>5121</v>
      </c>
      <c r="E1949" s="6">
        <v>1</v>
      </c>
    </row>
    <row r="1950" spans="1:5" x14ac:dyDescent="0.25">
      <c r="A1950" s="4" t="s">
        <v>7</v>
      </c>
      <c r="B1950" s="4" t="s">
        <v>5122</v>
      </c>
      <c r="C1950" s="1" t="s">
        <v>5123</v>
      </c>
      <c r="D1950" s="1" t="s">
        <v>5124</v>
      </c>
      <c r="E1950" s="6">
        <v>37</v>
      </c>
    </row>
    <row r="1951" spans="1:5" x14ac:dyDescent="0.25">
      <c r="A1951" s="4" t="s">
        <v>7</v>
      </c>
      <c r="B1951" s="4" t="s">
        <v>5125</v>
      </c>
      <c r="C1951" s="1" t="s">
        <v>5126</v>
      </c>
      <c r="D1951" s="1" t="s">
        <v>5127</v>
      </c>
      <c r="E1951" s="6">
        <v>1</v>
      </c>
    </row>
    <row r="1952" spans="1:5" x14ac:dyDescent="0.25">
      <c r="A1952" s="4" t="s">
        <v>7</v>
      </c>
      <c r="B1952" s="4" t="s">
        <v>5128</v>
      </c>
      <c r="C1952" s="1" t="s">
        <v>5129</v>
      </c>
      <c r="D1952" s="1" t="s">
        <v>5130</v>
      </c>
      <c r="E1952" s="6">
        <v>1</v>
      </c>
    </row>
    <row r="1953" spans="1:5" x14ac:dyDescent="0.25">
      <c r="A1953" s="4" t="s">
        <v>7</v>
      </c>
      <c r="B1953" s="4" t="s">
        <v>5131</v>
      </c>
      <c r="C1953" s="1" t="s">
        <v>5132</v>
      </c>
      <c r="D1953" s="1" t="s">
        <v>5133</v>
      </c>
      <c r="E1953" s="6">
        <v>1</v>
      </c>
    </row>
    <row r="1954" spans="1:5" x14ac:dyDescent="0.25">
      <c r="A1954" s="4" t="s">
        <v>7</v>
      </c>
      <c r="B1954" s="4" t="s">
        <v>5134</v>
      </c>
      <c r="C1954" s="1" t="s">
        <v>5135</v>
      </c>
      <c r="D1954" s="1" t="s">
        <v>5136</v>
      </c>
      <c r="E1954" s="6">
        <v>0.45</v>
      </c>
    </row>
    <row r="1955" spans="1:5" x14ac:dyDescent="0.25">
      <c r="A1955" s="4" t="s">
        <v>7</v>
      </c>
      <c r="B1955" s="4" t="s">
        <v>5137</v>
      </c>
      <c r="C1955" s="1" t="s">
        <v>5138</v>
      </c>
      <c r="D1955" s="1" t="s">
        <v>5139</v>
      </c>
      <c r="E1955" s="6">
        <v>1</v>
      </c>
    </row>
    <row r="1956" spans="1:5" x14ac:dyDescent="0.25">
      <c r="A1956" s="4" t="s">
        <v>7</v>
      </c>
      <c r="B1956" s="4" t="s">
        <v>5140</v>
      </c>
      <c r="C1956" s="1" t="s">
        <v>5141</v>
      </c>
      <c r="D1956" s="1" t="s">
        <v>5142</v>
      </c>
      <c r="E1956" s="6">
        <v>12</v>
      </c>
    </row>
    <row r="1957" spans="1:5" x14ac:dyDescent="0.25">
      <c r="A1957" s="4" t="s">
        <v>7</v>
      </c>
      <c r="B1957" s="4" t="s">
        <v>5143</v>
      </c>
      <c r="C1957" s="1" t="s">
        <v>5144</v>
      </c>
      <c r="D1957" s="1" t="s">
        <v>5145</v>
      </c>
      <c r="E1957" s="6">
        <v>3</v>
      </c>
    </row>
    <row r="1958" spans="1:5" x14ac:dyDescent="0.25">
      <c r="A1958" s="4" t="s">
        <v>7</v>
      </c>
      <c r="B1958" s="4" t="s">
        <v>5146</v>
      </c>
      <c r="C1958" s="1" t="s">
        <v>5147</v>
      </c>
      <c r="D1958" s="1" t="s">
        <v>5148</v>
      </c>
      <c r="E1958" s="6">
        <v>2</v>
      </c>
    </row>
    <row r="1959" spans="1:5" x14ac:dyDescent="0.25">
      <c r="A1959" s="4" t="s">
        <v>7</v>
      </c>
      <c r="B1959" s="4" t="s">
        <v>5149</v>
      </c>
      <c r="C1959" s="1" t="s">
        <v>5150</v>
      </c>
      <c r="D1959" s="1" t="s">
        <v>5151</v>
      </c>
      <c r="E1959" s="6">
        <v>1</v>
      </c>
    </row>
    <row r="1960" spans="1:5" x14ac:dyDescent="0.25">
      <c r="A1960" s="4" t="s">
        <v>7</v>
      </c>
      <c r="B1960" s="4" t="s">
        <v>5152</v>
      </c>
      <c r="C1960" s="1" t="s">
        <v>5153</v>
      </c>
      <c r="D1960" s="1" t="s">
        <v>5154</v>
      </c>
      <c r="E1960" s="6">
        <v>1</v>
      </c>
    </row>
    <row r="1961" spans="1:5" x14ac:dyDescent="0.25">
      <c r="A1961" s="4" t="s">
        <v>7</v>
      </c>
      <c r="B1961" s="4" t="s">
        <v>5155</v>
      </c>
      <c r="C1961" s="1" t="s">
        <v>5156</v>
      </c>
      <c r="D1961" s="1" t="s">
        <v>5157</v>
      </c>
      <c r="E1961" s="6">
        <v>2</v>
      </c>
    </row>
    <row r="1962" spans="1:5" x14ac:dyDescent="0.25">
      <c r="A1962" s="4" t="s">
        <v>7</v>
      </c>
      <c r="B1962" s="4" t="s">
        <v>5158</v>
      </c>
      <c r="C1962" s="1" t="s">
        <v>5159</v>
      </c>
      <c r="D1962" s="1" t="s">
        <v>5160</v>
      </c>
      <c r="E1962" s="6">
        <v>6</v>
      </c>
    </row>
    <row r="1963" spans="1:5" x14ac:dyDescent="0.25">
      <c r="A1963" s="4" t="s">
        <v>7</v>
      </c>
      <c r="B1963" s="4" t="s">
        <v>5161</v>
      </c>
      <c r="C1963" s="1" t="s">
        <v>5162</v>
      </c>
      <c r="D1963" s="1" t="s">
        <v>5163</v>
      </c>
      <c r="E1963" s="6">
        <v>1</v>
      </c>
    </row>
    <row r="1964" spans="1:5" x14ac:dyDescent="0.25">
      <c r="A1964" s="4" t="s">
        <v>7</v>
      </c>
      <c r="B1964" s="4" t="s">
        <v>5164</v>
      </c>
      <c r="C1964" s="1" t="s">
        <v>5165</v>
      </c>
      <c r="D1964" s="1" t="s">
        <v>5166</v>
      </c>
      <c r="E1964" s="6">
        <v>8</v>
      </c>
    </row>
    <row r="1965" spans="1:5" x14ac:dyDescent="0.25">
      <c r="A1965" s="4" t="s">
        <v>7</v>
      </c>
      <c r="B1965" s="4" t="s">
        <v>5167</v>
      </c>
      <c r="C1965" s="1" t="s">
        <v>5168</v>
      </c>
      <c r="D1965" s="1" t="s">
        <v>5169</v>
      </c>
      <c r="E1965" s="6">
        <v>1</v>
      </c>
    </row>
    <row r="1966" spans="1:5" x14ac:dyDescent="0.25">
      <c r="A1966" s="4" t="s">
        <v>7</v>
      </c>
      <c r="B1966" s="4" t="s">
        <v>5170</v>
      </c>
      <c r="C1966" s="1" t="s">
        <v>5171</v>
      </c>
      <c r="D1966" s="1" t="s">
        <v>5172</v>
      </c>
      <c r="E1966" s="6">
        <v>1</v>
      </c>
    </row>
    <row r="1967" spans="1:5" x14ac:dyDescent="0.25">
      <c r="A1967" s="4" t="s">
        <v>7</v>
      </c>
      <c r="B1967" s="4" t="s">
        <v>5173</v>
      </c>
      <c r="C1967" s="1" t="s">
        <v>5174</v>
      </c>
      <c r="D1967" s="1" t="s">
        <v>5175</v>
      </c>
      <c r="E1967" s="6">
        <v>1</v>
      </c>
    </row>
    <row r="1968" spans="1:5" x14ac:dyDescent="0.25">
      <c r="A1968" s="4" t="s">
        <v>7</v>
      </c>
      <c r="B1968" s="4" t="s">
        <v>5176</v>
      </c>
      <c r="C1968" s="1" t="s">
        <v>5177</v>
      </c>
      <c r="D1968" s="1" t="s">
        <v>5178</v>
      </c>
      <c r="E1968" s="6">
        <v>1</v>
      </c>
    </row>
    <row r="1969" spans="1:5" x14ac:dyDescent="0.25">
      <c r="A1969" s="4" t="s">
        <v>7</v>
      </c>
      <c r="B1969" s="4" t="s">
        <v>5179</v>
      </c>
      <c r="C1969" s="1" t="s">
        <v>5180</v>
      </c>
      <c r="D1969" s="1" t="s">
        <v>5181</v>
      </c>
      <c r="E1969" s="6">
        <v>30</v>
      </c>
    </row>
    <row r="1970" spans="1:5" x14ac:dyDescent="0.25">
      <c r="A1970" s="4" t="s">
        <v>7</v>
      </c>
      <c r="B1970" s="4" t="s">
        <v>5182</v>
      </c>
      <c r="C1970" s="1" t="s">
        <v>5183</v>
      </c>
      <c r="D1970" s="1" t="s">
        <v>5184</v>
      </c>
      <c r="E1970" s="6">
        <v>2</v>
      </c>
    </row>
    <row r="1971" spans="1:5" x14ac:dyDescent="0.25">
      <c r="A1971" s="4" t="s">
        <v>7</v>
      </c>
      <c r="B1971" s="4" t="s">
        <v>5185</v>
      </c>
      <c r="C1971" s="1" t="s">
        <v>5186</v>
      </c>
      <c r="D1971" s="1" t="s">
        <v>5187</v>
      </c>
      <c r="E1971" s="6">
        <v>152</v>
      </c>
    </row>
    <row r="1972" spans="1:5" x14ac:dyDescent="0.25">
      <c r="A1972" s="4" t="s">
        <v>7</v>
      </c>
      <c r="B1972" s="4" t="s">
        <v>5188</v>
      </c>
      <c r="C1972" s="1" t="s">
        <v>5189</v>
      </c>
      <c r="D1972" s="1" t="s">
        <v>5190</v>
      </c>
      <c r="E1972" s="6">
        <v>36</v>
      </c>
    </row>
    <row r="1973" spans="1:5" x14ac:dyDescent="0.25">
      <c r="A1973" s="4" t="s">
        <v>7</v>
      </c>
      <c r="B1973" s="4" t="s">
        <v>5191</v>
      </c>
      <c r="C1973" s="1" t="s">
        <v>5192</v>
      </c>
      <c r="D1973" s="1" t="s">
        <v>5193</v>
      </c>
      <c r="E1973" s="6">
        <v>7</v>
      </c>
    </row>
    <row r="1974" spans="1:5" x14ac:dyDescent="0.25">
      <c r="A1974" s="4" t="s">
        <v>7</v>
      </c>
      <c r="B1974" s="4" t="s">
        <v>5194</v>
      </c>
      <c r="C1974" s="1" t="s">
        <v>5195</v>
      </c>
      <c r="D1974" s="1" t="s">
        <v>5196</v>
      </c>
      <c r="E1974" s="6">
        <v>1</v>
      </c>
    </row>
    <row r="1975" spans="1:5" x14ac:dyDescent="0.25">
      <c r="A1975" s="4" t="s">
        <v>7</v>
      </c>
      <c r="B1975" s="4" t="s">
        <v>5197</v>
      </c>
      <c r="C1975" s="1" t="s">
        <v>5198</v>
      </c>
      <c r="D1975" s="1" t="s">
        <v>5199</v>
      </c>
      <c r="E1975" s="6">
        <v>3</v>
      </c>
    </row>
    <row r="1976" spans="1:5" x14ac:dyDescent="0.25">
      <c r="A1976" s="4" t="s">
        <v>7</v>
      </c>
      <c r="B1976" s="4" t="s">
        <v>5200</v>
      </c>
      <c r="C1976" s="1" t="s">
        <v>5201</v>
      </c>
      <c r="D1976" s="1" t="s">
        <v>5202</v>
      </c>
      <c r="E1976" s="6">
        <v>3</v>
      </c>
    </row>
    <row r="1977" spans="1:5" x14ac:dyDescent="0.25">
      <c r="A1977" s="4" t="s">
        <v>7</v>
      </c>
      <c r="B1977" s="4" t="s">
        <v>5203</v>
      </c>
      <c r="C1977" s="1" t="s">
        <v>5204</v>
      </c>
      <c r="D1977" s="1" t="s">
        <v>5205</v>
      </c>
      <c r="E1977" s="6">
        <v>1</v>
      </c>
    </row>
    <row r="1978" spans="1:5" x14ac:dyDescent="0.25">
      <c r="A1978" s="4" t="s">
        <v>7</v>
      </c>
      <c r="B1978" s="4" t="s">
        <v>5206</v>
      </c>
      <c r="C1978" s="1" t="s">
        <v>5207</v>
      </c>
      <c r="D1978" s="1" t="s">
        <v>5208</v>
      </c>
      <c r="E1978" s="6">
        <v>2</v>
      </c>
    </row>
    <row r="1979" spans="1:5" x14ac:dyDescent="0.25">
      <c r="A1979" s="4" t="s">
        <v>7</v>
      </c>
      <c r="B1979" s="4" t="s">
        <v>5209</v>
      </c>
      <c r="C1979" s="1" t="s">
        <v>5210</v>
      </c>
      <c r="D1979" s="1" t="s">
        <v>5211</v>
      </c>
      <c r="E1979" s="6">
        <v>2</v>
      </c>
    </row>
    <row r="1980" spans="1:5" x14ac:dyDescent="0.25">
      <c r="A1980" s="4" t="s">
        <v>7</v>
      </c>
      <c r="B1980" s="4" t="s">
        <v>5212</v>
      </c>
      <c r="C1980" s="1" t="s">
        <v>5213</v>
      </c>
      <c r="D1980" s="1" t="s">
        <v>5214</v>
      </c>
      <c r="E1980" s="6">
        <v>6</v>
      </c>
    </row>
    <row r="1981" spans="1:5" x14ac:dyDescent="0.25">
      <c r="A1981" s="4" t="s">
        <v>7</v>
      </c>
      <c r="B1981" s="4" t="s">
        <v>5215</v>
      </c>
      <c r="C1981" s="1" t="s">
        <v>5216</v>
      </c>
      <c r="D1981" s="1" t="s">
        <v>5217</v>
      </c>
      <c r="E1981" s="6">
        <v>1</v>
      </c>
    </row>
    <row r="1982" spans="1:5" x14ac:dyDescent="0.25">
      <c r="A1982" s="4" t="s">
        <v>7</v>
      </c>
      <c r="B1982" s="4" t="s">
        <v>5218</v>
      </c>
      <c r="C1982" s="1" t="s">
        <v>5219</v>
      </c>
      <c r="D1982" s="1" t="s">
        <v>5220</v>
      </c>
      <c r="E1982" s="6">
        <v>8</v>
      </c>
    </row>
    <row r="1983" spans="1:5" x14ac:dyDescent="0.25">
      <c r="A1983" s="4" t="s">
        <v>7</v>
      </c>
      <c r="B1983" s="4" t="s">
        <v>5221</v>
      </c>
      <c r="C1983" s="1" t="s">
        <v>5222</v>
      </c>
      <c r="D1983" s="1" t="s">
        <v>5223</v>
      </c>
      <c r="E1983" s="6">
        <v>9</v>
      </c>
    </row>
    <row r="1984" spans="1:5" x14ac:dyDescent="0.25">
      <c r="A1984" s="4" t="s">
        <v>7</v>
      </c>
      <c r="B1984" s="4" t="s">
        <v>5224</v>
      </c>
      <c r="C1984" s="1" t="s">
        <v>5225</v>
      </c>
      <c r="D1984" s="1" t="s">
        <v>5226</v>
      </c>
      <c r="E1984" s="6">
        <v>4</v>
      </c>
    </row>
    <row r="1985" spans="1:5" x14ac:dyDescent="0.25">
      <c r="A1985" s="4" t="s">
        <v>7</v>
      </c>
      <c r="B1985" s="4" t="s">
        <v>5227</v>
      </c>
      <c r="C1985" s="1" t="s">
        <v>5228</v>
      </c>
      <c r="D1985" s="1" t="s">
        <v>5229</v>
      </c>
      <c r="E1985" s="6">
        <v>1</v>
      </c>
    </row>
    <row r="1986" spans="1:5" x14ac:dyDescent="0.25">
      <c r="A1986" s="4" t="s">
        <v>7</v>
      </c>
      <c r="B1986" s="4" t="s">
        <v>5230</v>
      </c>
      <c r="C1986" s="1" t="s">
        <v>5231</v>
      </c>
      <c r="D1986" s="1" t="s">
        <v>5232</v>
      </c>
      <c r="E1986" s="6">
        <v>1</v>
      </c>
    </row>
    <row r="1987" spans="1:5" x14ac:dyDescent="0.25">
      <c r="A1987" s="4" t="s">
        <v>7</v>
      </c>
      <c r="B1987" s="4" t="s">
        <v>5233</v>
      </c>
      <c r="C1987" s="1" t="s">
        <v>5234</v>
      </c>
      <c r="D1987" s="1" t="s">
        <v>5235</v>
      </c>
      <c r="E1987" s="6">
        <v>1</v>
      </c>
    </row>
    <row r="1988" spans="1:5" x14ac:dyDescent="0.25">
      <c r="A1988" s="4" t="s">
        <v>7</v>
      </c>
      <c r="B1988" s="4" t="s">
        <v>5236</v>
      </c>
      <c r="C1988" s="1" t="s">
        <v>5237</v>
      </c>
      <c r="D1988" s="1" t="s">
        <v>5238</v>
      </c>
      <c r="E1988" s="6">
        <v>3</v>
      </c>
    </row>
    <row r="1989" spans="1:5" x14ac:dyDescent="0.25">
      <c r="A1989" s="4" t="s">
        <v>7</v>
      </c>
      <c r="B1989" s="4" t="s">
        <v>5239</v>
      </c>
      <c r="C1989" s="1" t="s">
        <v>5240</v>
      </c>
      <c r="D1989" s="1" t="s">
        <v>5241</v>
      </c>
      <c r="E1989" s="6">
        <v>2</v>
      </c>
    </row>
    <row r="1990" spans="1:5" x14ac:dyDescent="0.25">
      <c r="A1990" s="4" t="s">
        <v>7</v>
      </c>
      <c r="B1990" s="4" t="s">
        <v>5242</v>
      </c>
      <c r="C1990" s="1" t="s">
        <v>5243</v>
      </c>
      <c r="D1990" s="1" t="s">
        <v>5244</v>
      </c>
      <c r="E1990" s="6">
        <v>3</v>
      </c>
    </row>
    <row r="1991" spans="1:5" x14ac:dyDescent="0.25">
      <c r="A1991" s="4" t="s">
        <v>7</v>
      </c>
      <c r="B1991" s="4" t="s">
        <v>5245</v>
      </c>
      <c r="C1991" s="1" t="s">
        <v>5246</v>
      </c>
      <c r="D1991" s="1" t="s">
        <v>5247</v>
      </c>
      <c r="E1991" s="6">
        <v>1</v>
      </c>
    </row>
    <row r="1992" spans="1:5" x14ac:dyDescent="0.25">
      <c r="A1992" s="4" t="s">
        <v>7</v>
      </c>
      <c r="B1992" s="4" t="s">
        <v>5248</v>
      </c>
      <c r="C1992" s="1" t="s">
        <v>5249</v>
      </c>
      <c r="D1992" s="1" t="s">
        <v>5250</v>
      </c>
      <c r="E1992" s="6">
        <v>1</v>
      </c>
    </row>
    <row r="1993" spans="1:5" x14ac:dyDescent="0.25">
      <c r="A1993" s="4" t="s">
        <v>7</v>
      </c>
      <c r="B1993" s="4" t="s">
        <v>5251</v>
      </c>
      <c r="C1993" s="1" t="s">
        <v>5252</v>
      </c>
      <c r="D1993" s="1" t="s">
        <v>5253</v>
      </c>
      <c r="E1993" s="6">
        <v>1</v>
      </c>
    </row>
    <row r="1994" spans="1:5" x14ac:dyDescent="0.25">
      <c r="A1994" s="4" t="s">
        <v>7</v>
      </c>
      <c r="B1994" s="4" t="s">
        <v>5254</v>
      </c>
      <c r="C1994" s="1" t="s">
        <v>5255</v>
      </c>
      <c r="D1994" s="1" t="s">
        <v>5256</v>
      </c>
      <c r="E1994" s="6">
        <v>3</v>
      </c>
    </row>
    <row r="1995" spans="1:5" x14ac:dyDescent="0.25">
      <c r="A1995" s="4" t="s">
        <v>7</v>
      </c>
      <c r="B1995" s="4" t="s">
        <v>5257</v>
      </c>
      <c r="C1995" s="1" t="s">
        <v>5258</v>
      </c>
      <c r="D1995" s="1" t="s">
        <v>5259</v>
      </c>
      <c r="E1995" s="6">
        <v>66</v>
      </c>
    </row>
    <row r="1996" spans="1:5" x14ac:dyDescent="0.25">
      <c r="A1996" s="4" t="s">
        <v>7</v>
      </c>
      <c r="B1996" s="4" t="s">
        <v>5260</v>
      </c>
      <c r="C1996" s="1" t="s">
        <v>5261</v>
      </c>
      <c r="D1996" s="1" t="s">
        <v>5262</v>
      </c>
      <c r="E1996" s="6">
        <v>2</v>
      </c>
    </row>
    <row r="1997" spans="1:5" x14ac:dyDescent="0.25">
      <c r="A1997" s="4" t="s">
        <v>7</v>
      </c>
      <c r="B1997" s="4" t="s">
        <v>5263</v>
      </c>
      <c r="C1997" s="1" t="s">
        <v>5264</v>
      </c>
      <c r="D1997" s="1" t="s">
        <v>5265</v>
      </c>
      <c r="E1997" s="6">
        <v>2</v>
      </c>
    </row>
    <row r="1998" spans="1:5" x14ac:dyDescent="0.25">
      <c r="A1998" s="4" t="s">
        <v>7</v>
      </c>
      <c r="B1998" s="4" t="s">
        <v>5266</v>
      </c>
      <c r="C1998" s="1" t="s">
        <v>5267</v>
      </c>
      <c r="D1998" s="1" t="s">
        <v>5268</v>
      </c>
      <c r="E1998" s="6">
        <v>1</v>
      </c>
    </row>
    <row r="1999" spans="1:5" x14ac:dyDescent="0.25">
      <c r="A1999" s="4" t="s">
        <v>7</v>
      </c>
      <c r="B1999" s="4" t="s">
        <v>5269</v>
      </c>
      <c r="C1999" s="1" t="s">
        <v>5270</v>
      </c>
      <c r="D1999" s="1" t="s">
        <v>5271</v>
      </c>
      <c r="E1999" s="6">
        <v>1</v>
      </c>
    </row>
    <row r="2000" spans="1:5" x14ac:dyDescent="0.25">
      <c r="A2000" s="4" t="s">
        <v>7</v>
      </c>
      <c r="B2000" s="4" t="s">
        <v>5272</v>
      </c>
      <c r="C2000" s="1" t="s">
        <v>5273</v>
      </c>
      <c r="D2000" s="1" t="s">
        <v>5274</v>
      </c>
      <c r="E2000" s="6">
        <v>12</v>
      </c>
    </row>
    <row r="2001" spans="1:5" x14ac:dyDescent="0.25">
      <c r="A2001" s="4" t="s">
        <v>7</v>
      </c>
      <c r="B2001" s="4" t="s">
        <v>5275</v>
      </c>
      <c r="C2001" s="1" t="s">
        <v>5276</v>
      </c>
      <c r="D2001" s="1" t="s">
        <v>5277</v>
      </c>
      <c r="E2001" s="6">
        <v>12.5</v>
      </c>
    </row>
    <row r="2002" spans="1:5" x14ac:dyDescent="0.25">
      <c r="A2002" s="4" t="s">
        <v>7</v>
      </c>
      <c r="B2002" s="4" t="s">
        <v>5278</v>
      </c>
      <c r="C2002" s="1" t="s">
        <v>5279</v>
      </c>
      <c r="D2002" s="1" t="s">
        <v>5280</v>
      </c>
      <c r="E2002" s="6">
        <v>4</v>
      </c>
    </row>
    <row r="2003" spans="1:5" x14ac:dyDescent="0.25">
      <c r="A2003" s="4" t="s">
        <v>7</v>
      </c>
      <c r="B2003" s="4" t="s">
        <v>5281</v>
      </c>
      <c r="C2003" s="1" t="s">
        <v>5282</v>
      </c>
      <c r="D2003" s="1" t="s">
        <v>5283</v>
      </c>
      <c r="E2003" s="6">
        <v>20</v>
      </c>
    </row>
    <row r="2004" spans="1:5" x14ac:dyDescent="0.25">
      <c r="A2004" s="4" t="s">
        <v>7</v>
      </c>
      <c r="B2004" s="4" t="s">
        <v>5284</v>
      </c>
      <c r="C2004" s="1" t="s">
        <v>5285</v>
      </c>
      <c r="D2004" s="1" t="s">
        <v>5286</v>
      </c>
      <c r="E2004" s="6">
        <v>20</v>
      </c>
    </row>
    <row r="2005" spans="1:5" x14ac:dyDescent="0.25">
      <c r="A2005" s="4" t="s">
        <v>7</v>
      </c>
      <c r="B2005" s="4" t="s">
        <v>5287</v>
      </c>
      <c r="C2005" s="1" t="s">
        <v>5288</v>
      </c>
      <c r="D2005" s="1" t="s">
        <v>5289</v>
      </c>
      <c r="E2005" s="6">
        <v>14</v>
      </c>
    </row>
    <row r="2006" spans="1:5" x14ac:dyDescent="0.25">
      <c r="A2006" s="4" t="s">
        <v>7</v>
      </c>
      <c r="B2006" s="4" t="s">
        <v>5290</v>
      </c>
      <c r="C2006" s="1" t="s">
        <v>5291</v>
      </c>
      <c r="D2006" s="1" t="s">
        <v>5292</v>
      </c>
      <c r="E2006" s="6">
        <v>100</v>
      </c>
    </row>
    <row r="2007" spans="1:5" x14ac:dyDescent="0.25">
      <c r="A2007" s="4" t="s">
        <v>7</v>
      </c>
      <c r="B2007" s="4" t="s">
        <v>5293</v>
      </c>
      <c r="C2007" s="1" t="s">
        <v>5294</v>
      </c>
      <c r="D2007" s="1" t="s">
        <v>5295</v>
      </c>
      <c r="E2007" s="6">
        <v>2</v>
      </c>
    </row>
    <row r="2008" spans="1:5" x14ac:dyDescent="0.25">
      <c r="A2008" s="4" t="s">
        <v>7</v>
      </c>
      <c r="B2008" s="4" t="s">
        <v>5296</v>
      </c>
      <c r="C2008" s="1" t="s">
        <v>5297</v>
      </c>
      <c r="D2008" s="1" t="s">
        <v>5298</v>
      </c>
      <c r="E2008" s="6">
        <v>8</v>
      </c>
    </row>
    <row r="2009" spans="1:5" x14ac:dyDescent="0.25">
      <c r="A2009" s="4" t="s">
        <v>7</v>
      </c>
      <c r="B2009" s="4" t="s">
        <v>5299</v>
      </c>
      <c r="C2009" s="1" t="s">
        <v>5300</v>
      </c>
      <c r="D2009" s="1" t="s">
        <v>5301</v>
      </c>
      <c r="E2009" s="6">
        <v>3</v>
      </c>
    </row>
    <row r="2010" spans="1:5" x14ac:dyDescent="0.25">
      <c r="A2010" s="4" t="s">
        <v>7</v>
      </c>
      <c r="B2010" s="4" t="s">
        <v>5302</v>
      </c>
      <c r="C2010" s="1" t="s">
        <v>5303</v>
      </c>
      <c r="D2010" s="1" t="s">
        <v>5304</v>
      </c>
      <c r="E2010" s="6">
        <v>1</v>
      </c>
    </row>
    <row r="2011" spans="1:5" x14ac:dyDescent="0.25">
      <c r="A2011" s="4" t="s">
        <v>7</v>
      </c>
      <c r="B2011" s="4" t="s">
        <v>5305</v>
      </c>
      <c r="C2011" s="1" t="s">
        <v>5306</v>
      </c>
      <c r="D2011" s="1" t="s">
        <v>5307</v>
      </c>
      <c r="E2011" s="6">
        <v>1</v>
      </c>
    </row>
    <row r="2012" spans="1:5" x14ac:dyDescent="0.25">
      <c r="A2012" s="4" t="s">
        <v>7</v>
      </c>
      <c r="B2012" s="4" t="s">
        <v>5308</v>
      </c>
      <c r="C2012" s="1" t="s">
        <v>5309</v>
      </c>
      <c r="D2012" s="1" t="s">
        <v>5310</v>
      </c>
      <c r="E2012" s="6">
        <v>46</v>
      </c>
    </row>
    <row r="2013" spans="1:5" x14ac:dyDescent="0.25">
      <c r="A2013" s="4" t="s">
        <v>7</v>
      </c>
      <c r="B2013" s="4" t="s">
        <v>5311</v>
      </c>
      <c r="C2013" s="1" t="s">
        <v>5312</v>
      </c>
      <c r="D2013" s="1" t="s">
        <v>5313</v>
      </c>
      <c r="E2013" s="6">
        <v>11</v>
      </c>
    </row>
    <row r="2014" spans="1:5" x14ac:dyDescent="0.25">
      <c r="A2014" s="4" t="s">
        <v>7</v>
      </c>
      <c r="B2014" s="4" t="s">
        <v>5314</v>
      </c>
      <c r="C2014" s="1" t="s">
        <v>5315</v>
      </c>
      <c r="D2014" s="1" t="s">
        <v>5316</v>
      </c>
      <c r="E2014" s="6">
        <v>4</v>
      </c>
    </row>
    <row r="2015" spans="1:5" x14ac:dyDescent="0.25">
      <c r="A2015" s="4" t="s">
        <v>7</v>
      </c>
      <c r="B2015" s="4" t="s">
        <v>5317</v>
      </c>
      <c r="C2015" s="1" t="s">
        <v>5318</v>
      </c>
      <c r="D2015" s="1" t="s">
        <v>5319</v>
      </c>
      <c r="E2015" s="6">
        <v>4</v>
      </c>
    </row>
    <row r="2016" spans="1:5" x14ac:dyDescent="0.25">
      <c r="A2016" s="4" t="s">
        <v>7</v>
      </c>
      <c r="B2016" s="4" t="s">
        <v>5320</v>
      </c>
      <c r="C2016" s="1" t="s">
        <v>5321</v>
      </c>
      <c r="D2016" s="1" t="s">
        <v>5322</v>
      </c>
      <c r="E2016" s="6">
        <v>4</v>
      </c>
    </row>
    <row r="2017" spans="1:5" x14ac:dyDescent="0.25">
      <c r="A2017" s="4" t="s">
        <v>7</v>
      </c>
      <c r="B2017" s="4" t="s">
        <v>5323</v>
      </c>
      <c r="C2017" s="1" t="s">
        <v>5324</v>
      </c>
      <c r="D2017" s="1" t="s">
        <v>5325</v>
      </c>
      <c r="E2017" s="6">
        <v>11</v>
      </c>
    </row>
    <row r="2018" spans="1:5" x14ac:dyDescent="0.25">
      <c r="A2018" s="4" t="s">
        <v>7</v>
      </c>
      <c r="B2018" s="4" t="s">
        <v>5326</v>
      </c>
      <c r="C2018" s="1" t="s">
        <v>5327</v>
      </c>
      <c r="D2018" s="1" t="s">
        <v>5328</v>
      </c>
      <c r="E2018" s="6">
        <v>4</v>
      </c>
    </row>
    <row r="2019" spans="1:5" x14ac:dyDescent="0.25">
      <c r="A2019" s="4" t="s">
        <v>7</v>
      </c>
      <c r="B2019" s="4" t="s">
        <v>5329</v>
      </c>
      <c r="C2019" s="1" t="s">
        <v>5330</v>
      </c>
      <c r="D2019" s="1" t="s">
        <v>5331</v>
      </c>
      <c r="E2019" s="6">
        <v>1</v>
      </c>
    </row>
    <row r="2020" spans="1:5" x14ac:dyDescent="0.25">
      <c r="A2020" s="4" t="s">
        <v>7</v>
      </c>
      <c r="B2020" s="4" t="s">
        <v>5332</v>
      </c>
      <c r="C2020" s="1" t="s">
        <v>5333</v>
      </c>
      <c r="D2020" s="1" t="s">
        <v>5334</v>
      </c>
      <c r="E2020" s="6">
        <v>70</v>
      </c>
    </row>
    <row r="2021" spans="1:5" x14ac:dyDescent="0.25">
      <c r="A2021" s="4" t="s">
        <v>7</v>
      </c>
      <c r="B2021" s="4" t="s">
        <v>5335</v>
      </c>
      <c r="C2021" s="1" t="s">
        <v>5336</v>
      </c>
      <c r="D2021" s="1" t="s">
        <v>5337</v>
      </c>
      <c r="E2021" s="6">
        <v>51</v>
      </c>
    </row>
    <row r="2022" spans="1:5" x14ac:dyDescent="0.25">
      <c r="A2022" s="4" t="s">
        <v>7</v>
      </c>
      <c r="B2022" s="4" t="s">
        <v>5338</v>
      </c>
      <c r="C2022" s="1" t="s">
        <v>5339</v>
      </c>
      <c r="D2022" s="1" t="s">
        <v>5340</v>
      </c>
      <c r="E2022" s="6">
        <v>22</v>
      </c>
    </row>
    <row r="2023" spans="1:5" x14ac:dyDescent="0.25">
      <c r="A2023" s="4" t="s">
        <v>7</v>
      </c>
      <c r="B2023" s="4" t="s">
        <v>5341</v>
      </c>
      <c r="C2023" s="1" t="s">
        <v>5342</v>
      </c>
      <c r="D2023" s="1" t="s">
        <v>5343</v>
      </c>
      <c r="E2023" s="6">
        <v>2</v>
      </c>
    </row>
    <row r="2024" spans="1:5" x14ac:dyDescent="0.25">
      <c r="A2024" s="4" t="s">
        <v>7</v>
      </c>
      <c r="B2024" s="4" t="s">
        <v>5344</v>
      </c>
      <c r="C2024" s="1" t="s">
        <v>5345</v>
      </c>
      <c r="D2024" s="1" t="s">
        <v>5346</v>
      </c>
      <c r="E2024" s="6">
        <v>3</v>
      </c>
    </row>
    <row r="2025" spans="1:5" x14ac:dyDescent="0.25">
      <c r="A2025" s="4" t="s">
        <v>7</v>
      </c>
      <c r="B2025" s="4" t="s">
        <v>5347</v>
      </c>
      <c r="C2025" s="1" t="s">
        <v>5348</v>
      </c>
      <c r="D2025" s="1" t="s">
        <v>5349</v>
      </c>
      <c r="E2025" s="6">
        <v>4</v>
      </c>
    </row>
    <row r="2026" spans="1:5" x14ac:dyDescent="0.25">
      <c r="A2026" s="4" t="s">
        <v>7</v>
      </c>
      <c r="B2026" s="4" t="s">
        <v>5350</v>
      </c>
      <c r="C2026" s="1" t="s">
        <v>5351</v>
      </c>
      <c r="D2026" s="1" t="s">
        <v>5352</v>
      </c>
      <c r="E2026" s="6">
        <v>4</v>
      </c>
    </row>
    <row r="2027" spans="1:5" x14ac:dyDescent="0.25">
      <c r="A2027" s="4" t="s">
        <v>7</v>
      </c>
      <c r="B2027" s="4" t="s">
        <v>5353</v>
      </c>
      <c r="C2027" s="1" t="s">
        <v>5354</v>
      </c>
      <c r="D2027" s="1" t="s">
        <v>5355</v>
      </c>
      <c r="E2027" s="6">
        <v>1</v>
      </c>
    </row>
    <row r="2028" spans="1:5" x14ac:dyDescent="0.25">
      <c r="A2028" s="4" t="s">
        <v>7</v>
      </c>
      <c r="B2028" s="4" t="s">
        <v>5356</v>
      </c>
      <c r="C2028" s="1" t="s">
        <v>5357</v>
      </c>
      <c r="D2028" s="1" t="s">
        <v>5358</v>
      </c>
      <c r="E2028" s="6">
        <v>1</v>
      </c>
    </row>
    <row r="2029" spans="1:5" x14ac:dyDescent="0.25">
      <c r="A2029" s="4" t="s">
        <v>7</v>
      </c>
      <c r="B2029" s="4" t="s">
        <v>5359</v>
      </c>
      <c r="C2029" s="1" t="s">
        <v>5360</v>
      </c>
      <c r="D2029" s="1" t="s">
        <v>5361</v>
      </c>
      <c r="E2029" s="6">
        <v>3</v>
      </c>
    </row>
    <row r="2030" spans="1:5" x14ac:dyDescent="0.25">
      <c r="A2030" s="4" t="s">
        <v>7</v>
      </c>
      <c r="B2030" s="4" t="s">
        <v>5362</v>
      </c>
      <c r="C2030" s="1" t="s">
        <v>5363</v>
      </c>
      <c r="D2030" s="1" t="s">
        <v>5364</v>
      </c>
      <c r="E2030" s="6">
        <v>39</v>
      </c>
    </row>
    <row r="2031" spans="1:5" x14ac:dyDescent="0.25">
      <c r="A2031" s="4" t="s">
        <v>7</v>
      </c>
      <c r="B2031" s="4" t="s">
        <v>5365</v>
      </c>
      <c r="C2031" s="1" t="s">
        <v>5366</v>
      </c>
      <c r="D2031" s="1" t="s">
        <v>5367</v>
      </c>
      <c r="E2031" s="6">
        <v>1</v>
      </c>
    </row>
    <row r="2032" spans="1:5" x14ac:dyDescent="0.25">
      <c r="A2032" s="4" t="s">
        <v>7</v>
      </c>
      <c r="B2032" s="4" t="s">
        <v>5368</v>
      </c>
      <c r="C2032" s="1" t="s">
        <v>5369</v>
      </c>
      <c r="D2032" s="1" t="s">
        <v>5370</v>
      </c>
      <c r="E2032" s="6">
        <v>1</v>
      </c>
    </row>
    <row r="2033" spans="1:5" x14ac:dyDescent="0.25">
      <c r="A2033" s="4" t="s">
        <v>7</v>
      </c>
      <c r="B2033" s="4" t="s">
        <v>5371</v>
      </c>
      <c r="C2033" s="1" t="s">
        <v>5372</v>
      </c>
      <c r="D2033" s="1" t="s">
        <v>5373</v>
      </c>
      <c r="E2033" s="6">
        <v>2</v>
      </c>
    </row>
    <row r="2034" spans="1:5" x14ac:dyDescent="0.25">
      <c r="A2034" s="4" t="s">
        <v>7</v>
      </c>
      <c r="B2034" s="4" t="s">
        <v>5374</v>
      </c>
      <c r="C2034" s="1" t="s">
        <v>5375</v>
      </c>
      <c r="D2034" s="1" t="s">
        <v>5376</v>
      </c>
      <c r="E2034" s="6">
        <v>4</v>
      </c>
    </row>
    <row r="2035" spans="1:5" x14ac:dyDescent="0.25">
      <c r="A2035" s="4" t="s">
        <v>7</v>
      </c>
      <c r="B2035" s="4" t="s">
        <v>5377</v>
      </c>
      <c r="C2035" s="1" t="s">
        <v>5378</v>
      </c>
      <c r="D2035" s="1" t="s">
        <v>5379</v>
      </c>
      <c r="E2035" s="6">
        <v>3</v>
      </c>
    </row>
    <row r="2036" spans="1:5" x14ac:dyDescent="0.25">
      <c r="A2036" s="4" t="s">
        <v>7</v>
      </c>
      <c r="B2036" s="4" t="s">
        <v>5380</v>
      </c>
      <c r="C2036" s="1" t="s">
        <v>5381</v>
      </c>
      <c r="D2036" s="1" t="s">
        <v>5382</v>
      </c>
      <c r="E2036" s="6">
        <v>1</v>
      </c>
    </row>
    <row r="2037" spans="1:5" x14ac:dyDescent="0.25">
      <c r="A2037" s="4" t="s">
        <v>7</v>
      </c>
      <c r="B2037" s="4" t="s">
        <v>5383</v>
      </c>
      <c r="C2037" s="1" t="s">
        <v>5384</v>
      </c>
      <c r="D2037" s="1" t="s">
        <v>5385</v>
      </c>
      <c r="E2037" s="6">
        <v>1</v>
      </c>
    </row>
    <row r="2038" spans="1:5" x14ac:dyDescent="0.25">
      <c r="A2038" s="4" t="s">
        <v>7</v>
      </c>
      <c r="B2038" s="4" t="s">
        <v>5386</v>
      </c>
      <c r="C2038" s="1" t="s">
        <v>5387</v>
      </c>
      <c r="D2038" s="1" t="s">
        <v>5388</v>
      </c>
      <c r="E2038" s="6">
        <v>1</v>
      </c>
    </row>
    <row r="2039" spans="1:5" x14ac:dyDescent="0.25">
      <c r="A2039" s="4" t="s">
        <v>7</v>
      </c>
      <c r="B2039" s="4" t="s">
        <v>5389</v>
      </c>
      <c r="C2039" s="1" t="s">
        <v>5390</v>
      </c>
      <c r="D2039" s="1" t="s">
        <v>5391</v>
      </c>
      <c r="E2039" s="6">
        <v>181</v>
      </c>
    </row>
    <row r="2040" spans="1:5" x14ac:dyDescent="0.25">
      <c r="A2040" s="4" t="s">
        <v>7</v>
      </c>
      <c r="B2040" s="4" t="s">
        <v>5392</v>
      </c>
      <c r="C2040" s="1" t="s">
        <v>5393</v>
      </c>
      <c r="D2040" s="1" t="s">
        <v>5394</v>
      </c>
      <c r="E2040" s="6">
        <v>5</v>
      </c>
    </row>
    <row r="2041" spans="1:5" x14ac:dyDescent="0.25">
      <c r="A2041" s="4" t="s">
        <v>7</v>
      </c>
      <c r="B2041" s="4" t="s">
        <v>5395</v>
      </c>
      <c r="C2041" s="1" t="s">
        <v>5396</v>
      </c>
      <c r="D2041" s="1" t="s">
        <v>5397</v>
      </c>
      <c r="E2041" s="6">
        <v>1</v>
      </c>
    </row>
    <row r="2042" spans="1:5" x14ac:dyDescent="0.25">
      <c r="A2042" s="4" t="s">
        <v>7</v>
      </c>
      <c r="B2042" s="4" t="s">
        <v>5398</v>
      </c>
      <c r="C2042" s="1" t="s">
        <v>5399</v>
      </c>
      <c r="D2042" s="1" t="s">
        <v>5399</v>
      </c>
      <c r="E2042" s="6">
        <v>6</v>
      </c>
    </row>
    <row r="2043" spans="1:5" x14ac:dyDescent="0.25">
      <c r="A2043" s="4" t="s">
        <v>7</v>
      </c>
      <c r="B2043" s="4" t="s">
        <v>5400</v>
      </c>
      <c r="C2043" s="1" t="s">
        <v>5401</v>
      </c>
      <c r="D2043" s="1" t="s">
        <v>5401</v>
      </c>
      <c r="E2043" s="6">
        <v>1</v>
      </c>
    </row>
    <row r="2044" spans="1:5" x14ac:dyDescent="0.25">
      <c r="A2044" s="4" t="s">
        <v>7</v>
      </c>
      <c r="B2044" s="4" t="s">
        <v>5402</v>
      </c>
      <c r="C2044" s="1" t="s">
        <v>5403</v>
      </c>
      <c r="D2044" s="1" t="s">
        <v>5403</v>
      </c>
      <c r="E2044" s="6">
        <v>59</v>
      </c>
    </row>
    <row r="2045" spans="1:5" x14ac:dyDescent="0.25">
      <c r="A2045" s="4" t="s">
        <v>7</v>
      </c>
      <c r="B2045" s="4" t="s">
        <v>5404</v>
      </c>
      <c r="C2045" s="1" t="s">
        <v>5405</v>
      </c>
      <c r="D2045" s="1" t="s">
        <v>5406</v>
      </c>
      <c r="E2045" s="6">
        <v>2</v>
      </c>
    </row>
    <row r="2046" spans="1:5" x14ac:dyDescent="0.25">
      <c r="A2046" s="4" t="s">
        <v>7</v>
      </c>
      <c r="B2046" s="4" t="s">
        <v>5407</v>
      </c>
      <c r="C2046" s="1" t="s">
        <v>5408</v>
      </c>
      <c r="D2046" s="1" t="s">
        <v>5409</v>
      </c>
      <c r="E2046" s="6">
        <v>2</v>
      </c>
    </row>
    <row r="2047" spans="1:5" x14ac:dyDescent="0.25">
      <c r="A2047" s="4" t="s">
        <v>7</v>
      </c>
      <c r="B2047" s="4" t="s">
        <v>5410</v>
      </c>
      <c r="C2047" s="1" t="s">
        <v>5411</v>
      </c>
      <c r="D2047" s="1" t="s">
        <v>5412</v>
      </c>
      <c r="E2047" s="6">
        <v>140</v>
      </c>
    </row>
    <row r="2048" spans="1:5" x14ac:dyDescent="0.25">
      <c r="A2048" s="4" t="s">
        <v>7</v>
      </c>
      <c r="B2048" s="4" t="s">
        <v>5413</v>
      </c>
      <c r="C2048" s="1" t="s">
        <v>5414</v>
      </c>
      <c r="D2048" s="1" t="s">
        <v>5415</v>
      </c>
      <c r="E2048" s="6">
        <v>8</v>
      </c>
    </row>
    <row r="2049" spans="1:5" x14ac:dyDescent="0.25">
      <c r="A2049" s="4" t="s">
        <v>7</v>
      </c>
      <c r="B2049" s="4" t="s">
        <v>5416</v>
      </c>
      <c r="C2049" s="1" t="s">
        <v>5417</v>
      </c>
      <c r="D2049" s="1" t="s">
        <v>5418</v>
      </c>
      <c r="E2049" s="6">
        <v>4</v>
      </c>
    </row>
    <row r="2050" spans="1:5" x14ac:dyDescent="0.25">
      <c r="A2050" s="4" t="s">
        <v>7</v>
      </c>
      <c r="B2050" s="4" t="s">
        <v>5419</v>
      </c>
      <c r="C2050" s="1" t="s">
        <v>5420</v>
      </c>
      <c r="D2050" s="1" t="s">
        <v>5421</v>
      </c>
      <c r="E2050" s="6">
        <v>3</v>
      </c>
    </row>
    <row r="2051" spans="1:5" x14ac:dyDescent="0.25">
      <c r="A2051" s="4" t="s">
        <v>7</v>
      </c>
      <c r="B2051" s="4" t="s">
        <v>5422</v>
      </c>
      <c r="C2051" s="1" t="s">
        <v>5423</v>
      </c>
      <c r="D2051" s="1" t="s">
        <v>5424</v>
      </c>
      <c r="E2051" s="6">
        <v>1</v>
      </c>
    </row>
    <row r="2052" spans="1:5" x14ac:dyDescent="0.25">
      <c r="A2052" s="4" t="s">
        <v>7</v>
      </c>
      <c r="B2052" s="4" t="s">
        <v>5425</v>
      </c>
      <c r="C2052" s="1" t="s">
        <v>5426</v>
      </c>
      <c r="D2052" s="1" t="s">
        <v>5427</v>
      </c>
      <c r="E2052" s="6">
        <v>2</v>
      </c>
    </row>
    <row r="2053" spans="1:5" x14ac:dyDescent="0.25">
      <c r="A2053" s="4" t="s">
        <v>7</v>
      </c>
      <c r="B2053" s="4" t="s">
        <v>5428</v>
      </c>
      <c r="C2053" s="1" t="s">
        <v>5429</v>
      </c>
      <c r="D2053" s="1" t="s">
        <v>5430</v>
      </c>
      <c r="E2053" s="6">
        <v>1</v>
      </c>
    </row>
    <row r="2054" spans="1:5" x14ac:dyDescent="0.25">
      <c r="A2054" s="4" t="s">
        <v>7</v>
      </c>
      <c r="B2054" s="4" t="s">
        <v>5431</v>
      </c>
      <c r="C2054" s="1" t="s">
        <v>5432</v>
      </c>
      <c r="D2054" s="1" t="s">
        <v>5433</v>
      </c>
      <c r="E2054" s="6">
        <v>27</v>
      </c>
    </row>
    <row r="2055" spans="1:5" x14ac:dyDescent="0.25">
      <c r="A2055" s="4" t="s">
        <v>7</v>
      </c>
      <c r="B2055" s="4" t="s">
        <v>5434</v>
      </c>
      <c r="C2055" s="1" t="s">
        <v>5435</v>
      </c>
      <c r="D2055" s="1" t="s">
        <v>5436</v>
      </c>
      <c r="E2055" s="6">
        <v>8</v>
      </c>
    </row>
    <row r="2056" spans="1:5" x14ac:dyDescent="0.25">
      <c r="A2056" s="4" t="s">
        <v>7</v>
      </c>
      <c r="B2056" s="4" t="s">
        <v>5437</v>
      </c>
      <c r="C2056" s="1" t="s">
        <v>5438</v>
      </c>
      <c r="D2056" s="1" t="s">
        <v>5439</v>
      </c>
      <c r="E2056" s="6">
        <v>129</v>
      </c>
    </row>
    <row r="2057" spans="1:5" x14ac:dyDescent="0.25">
      <c r="A2057" s="4" t="s">
        <v>7</v>
      </c>
      <c r="B2057" s="4" t="s">
        <v>5440</v>
      </c>
      <c r="C2057" s="1" t="s">
        <v>5441</v>
      </c>
      <c r="D2057" s="1" t="s">
        <v>5442</v>
      </c>
      <c r="E2057" s="6">
        <v>6</v>
      </c>
    </row>
    <row r="2058" spans="1:5" x14ac:dyDescent="0.25">
      <c r="A2058" s="4" t="s">
        <v>7</v>
      </c>
      <c r="B2058" s="4" t="s">
        <v>5443</v>
      </c>
      <c r="C2058" s="1" t="s">
        <v>5444</v>
      </c>
      <c r="D2058" s="1" t="s">
        <v>5445</v>
      </c>
      <c r="E2058" s="6">
        <v>2</v>
      </c>
    </row>
    <row r="2059" spans="1:5" x14ac:dyDescent="0.25">
      <c r="A2059" s="4" t="s">
        <v>7</v>
      </c>
      <c r="B2059" s="4" t="s">
        <v>5446</v>
      </c>
      <c r="C2059" s="1" t="s">
        <v>5447</v>
      </c>
      <c r="D2059" s="1" t="s">
        <v>5448</v>
      </c>
      <c r="E2059" s="6">
        <v>177</v>
      </c>
    </row>
    <row r="2060" spans="1:5" x14ac:dyDescent="0.25">
      <c r="A2060" s="4" t="s">
        <v>7</v>
      </c>
      <c r="B2060" s="4" t="s">
        <v>5449</v>
      </c>
      <c r="C2060" s="1" t="s">
        <v>5450</v>
      </c>
      <c r="D2060" s="1" t="s">
        <v>5451</v>
      </c>
      <c r="E2060" s="6">
        <v>174</v>
      </c>
    </row>
    <row r="2061" spans="1:5" x14ac:dyDescent="0.25">
      <c r="A2061" s="4" t="s">
        <v>7</v>
      </c>
      <c r="B2061" s="4" t="s">
        <v>5452</v>
      </c>
      <c r="C2061" s="1" t="s">
        <v>5453</v>
      </c>
      <c r="D2061" s="1" t="s">
        <v>5454</v>
      </c>
      <c r="E2061" s="6">
        <v>38</v>
      </c>
    </row>
    <row r="2062" spans="1:5" x14ac:dyDescent="0.25">
      <c r="A2062" s="4" t="s">
        <v>7</v>
      </c>
      <c r="B2062" s="4" t="s">
        <v>5455</v>
      </c>
      <c r="C2062" s="1" t="s">
        <v>5456</v>
      </c>
      <c r="D2062" s="1" t="s">
        <v>5457</v>
      </c>
      <c r="E2062" s="6">
        <v>13</v>
      </c>
    </row>
    <row r="2063" spans="1:5" x14ac:dyDescent="0.25">
      <c r="A2063" s="4" t="s">
        <v>7</v>
      </c>
      <c r="B2063" s="4" t="s">
        <v>5458</v>
      </c>
      <c r="C2063" s="1" t="s">
        <v>5459</v>
      </c>
      <c r="D2063" s="1" t="s">
        <v>5460</v>
      </c>
      <c r="E2063" s="6">
        <v>2</v>
      </c>
    </row>
    <row r="2064" spans="1:5" x14ac:dyDescent="0.25">
      <c r="A2064" s="4" t="s">
        <v>7</v>
      </c>
      <c r="B2064" s="4" t="s">
        <v>5461</v>
      </c>
      <c r="C2064" s="1" t="s">
        <v>5462</v>
      </c>
      <c r="D2064" s="1" t="s">
        <v>5463</v>
      </c>
      <c r="E2064" s="6">
        <v>3</v>
      </c>
    </row>
    <row r="2065" spans="1:5" x14ac:dyDescent="0.25">
      <c r="A2065" s="4" t="s">
        <v>7</v>
      </c>
      <c r="B2065" s="4" t="s">
        <v>5464</v>
      </c>
      <c r="C2065" s="1" t="s">
        <v>5465</v>
      </c>
      <c r="D2065" s="1" t="s">
        <v>5466</v>
      </c>
      <c r="E2065" s="6">
        <v>3</v>
      </c>
    </row>
    <row r="2066" spans="1:5" x14ac:dyDescent="0.25">
      <c r="A2066" s="4" t="s">
        <v>7</v>
      </c>
      <c r="B2066" s="4" t="s">
        <v>5467</v>
      </c>
      <c r="C2066" s="1" t="s">
        <v>5468</v>
      </c>
      <c r="D2066" s="1" t="s">
        <v>5469</v>
      </c>
      <c r="E2066" s="6">
        <v>1</v>
      </c>
    </row>
    <row r="2067" spans="1:5" x14ac:dyDescent="0.25">
      <c r="A2067" s="4" t="s">
        <v>7</v>
      </c>
      <c r="B2067" s="4" t="s">
        <v>5470</v>
      </c>
      <c r="C2067" s="1" t="s">
        <v>5471</v>
      </c>
      <c r="D2067" s="1" t="s">
        <v>5472</v>
      </c>
      <c r="E2067" s="6">
        <v>7</v>
      </c>
    </row>
    <row r="2068" spans="1:5" x14ac:dyDescent="0.25">
      <c r="A2068" s="4" t="s">
        <v>7</v>
      </c>
      <c r="B2068" s="4" t="s">
        <v>5473</v>
      </c>
      <c r="C2068" s="1" t="s">
        <v>5474</v>
      </c>
      <c r="D2068" s="1" t="s">
        <v>5475</v>
      </c>
      <c r="E2068" s="6">
        <v>1</v>
      </c>
    </row>
    <row r="2069" spans="1:5" x14ac:dyDescent="0.25">
      <c r="A2069" s="4" t="s">
        <v>7</v>
      </c>
      <c r="B2069" s="4" t="s">
        <v>5476</v>
      </c>
      <c r="C2069" s="1" t="s">
        <v>5477</v>
      </c>
      <c r="D2069" s="1" t="s">
        <v>5478</v>
      </c>
      <c r="E2069" s="6">
        <v>1</v>
      </c>
    </row>
    <row r="2070" spans="1:5" x14ac:dyDescent="0.25">
      <c r="A2070" s="4" t="s">
        <v>7</v>
      </c>
      <c r="B2070" s="4" t="s">
        <v>5479</v>
      </c>
      <c r="C2070" s="1" t="s">
        <v>5480</v>
      </c>
      <c r="D2070" s="1" t="s">
        <v>5481</v>
      </c>
      <c r="E2070" s="6">
        <v>3</v>
      </c>
    </row>
    <row r="2071" spans="1:5" x14ac:dyDescent="0.25">
      <c r="A2071" s="4" t="s">
        <v>7</v>
      </c>
      <c r="B2071" s="4" t="s">
        <v>5482</v>
      </c>
      <c r="C2071" s="1" t="s">
        <v>5483</v>
      </c>
      <c r="D2071" s="1" t="s">
        <v>5484</v>
      </c>
      <c r="E2071" s="6">
        <v>2</v>
      </c>
    </row>
    <row r="2072" spans="1:5" x14ac:dyDescent="0.25">
      <c r="A2072" s="4" t="s">
        <v>7</v>
      </c>
      <c r="B2072" s="4" t="s">
        <v>5485</v>
      </c>
      <c r="C2072" s="1" t="s">
        <v>5486</v>
      </c>
      <c r="D2072" s="1" t="s">
        <v>5487</v>
      </c>
      <c r="E2072" s="6">
        <v>7</v>
      </c>
    </row>
    <row r="2073" spans="1:5" x14ac:dyDescent="0.25">
      <c r="A2073" s="4" t="s">
        <v>7</v>
      </c>
      <c r="B2073" s="4" t="s">
        <v>5488</v>
      </c>
      <c r="C2073" s="1" t="s">
        <v>5489</v>
      </c>
      <c r="D2073" s="1" t="s">
        <v>5490</v>
      </c>
      <c r="E2073" s="6">
        <v>2</v>
      </c>
    </row>
    <row r="2074" spans="1:5" x14ac:dyDescent="0.25">
      <c r="A2074" s="4" t="s">
        <v>7</v>
      </c>
      <c r="B2074" s="4" t="s">
        <v>5491</v>
      </c>
      <c r="C2074" s="1" t="s">
        <v>5492</v>
      </c>
      <c r="D2074" s="1" t="s">
        <v>5493</v>
      </c>
      <c r="E2074" s="6">
        <v>12</v>
      </c>
    </row>
    <row r="2075" spans="1:5" x14ac:dyDescent="0.25">
      <c r="A2075" s="4" t="s">
        <v>7</v>
      </c>
      <c r="B2075" s="4" t="s">
        <v>5494</v>
      </c>
      <c r="C2075" s="1" t="s">
        <v>5495</v>
      </c>
      <c r="D2075" s="1" t="s">
        <v>5496</v>
      </c>
      <c r="E2075" s="6">
        <v>1</v>
      </c>
    </row>
    <row r="2076" spans="1:5" x14ac:dyDescent="0.25">
      <c r="A2076" s="4" t="s">
        <v>7</v>
      </c>
      <c r="B2076" s="4" t="s">
        <v>5497</v>
      </c>
      <c r="C2076" s="1" t="s">
        <v>5498</v>
      </c>
      <c r="D2076" s="1" t="s">
        <v>5499</v>
      </c>
      <c r="E2076" s="6">
        <v>39</v>
      </c>
    </row>
    <row r="2077" spans="1:5" x14ac:dyDescent="0.25">
      <c r="A2077" s="4" t="s">
        <v>7</v>
      </c>
      <c r="B2077" s="4" t="s">
        <v>5500</v>
      </c>
      <c r="C2077" s="1" t="s">
        <v>5501</v>
      </c>
      <c r="D2077" s="1" t="s">
        <v>5502</v>
      </c>
      <c r="E2077" s="6">
        <v>5</v>
      </c>
    </row>
    <row r="2078" spans="1:5" x14ac:dyDescent="0.25">
      <c r="A2078" s="4" t="s">
        <v>7</v>
      </c>
      <c r="B2078" s="4" t="s">
        <v>5503</v>
      </c>
      <c r="C2078" s="1" t="s">
        <v>5504</v>
      </c>
      <c r="D2078" s="1" t="s">
        <v>5505</v>
      </c>
      <c r="E2078" s="6">
        <v>1</v>
      </c>
    </row>
    <row r="2079" spans="1:5" x14ac:dyDescent="0.25">
      <c r="A2079" s="4" t="s">
        <v>7</v>
      </c>
      <c r="B2079" s="4" t="s">
        <v>5506</v>
      </c>
      <c r="C2079" s="1" t="s">
        <v>5507</v>
      </c>
      <c r="D2079" s="1" t="s">
        <v>5508</v>
      </c>
      <c r="E2079" s="6">
        <v>33</v>
      </c>
    </row>
    <row r="2080" spans="1:5" x14ac:dyDescent="0.25">
      <c r="A2080" s="4" t="s">
        <v>7</v>
      </c>
      <c r="B2080" s="4" t="s">
        <v>5509</v>
      </c>
      <c r="C2080" s="1" t="s">
        <v>5510</v>
      </c>
      <c r="D2080" s="1" t="s">
        <v>5511</v>
      </c>
      <c r="E2080" s="6">
        <v>22</v>
      </c>
    </row>
    <row r="2081" spans="1:5" x14ac:dyDescent="0.25">
      <c r="A2081" s="4" t="s">
        <v>7</v>
      </c>
      <c r="B2081" s="4" t="s">
        <v>5512</v>
      </c>
      <c r="C2081" s="1" t="s">
        <v>5513</v>
      </c>
      <c r="D2081" s="1" t="s">
        <v>5514</v>
      </c>
      <c r="E2081" s="6">
        <v>1</v>
      </c>
    </row>
    <row r="2082" spans="1:5" x14ac:dyDescent="0.25">
      <c r="A2082" s="4" t="s">
        <v>7</v>
      </c>
      <c r="B2082" s="4" t="s">
        <v>5515</v>
      </c>
      <c r="C2082" s="1" t="s">
        <v>5516</v>
      </c>
      <c r="D2082" s="1" t="s">
        <v>5517</v>
      </c>
      <c r="E2082" s="6">
        <v>731</v>
      </c>
    </row>
    <row r="2083" spans="1:5" x14ac:dyDescent="0.25">
      <c r="A2083" s="4" t="s">
        <v>7</v>
      </c>
      <c r="B2083" s="4" t="s">
        <v>5518</v>
      </c>
      <c r="C2083" s="1" t="s">
        <v>5519</v>
      </c>
      <c r="D2083" s="1" t="s">
        <v>5520</v>
      </c>
      <c r="E2083" s="6">
        <v>1</v>
      </c>
    </row>
    <row r="2084" spans="1:5" x14ac:dyDescent="0.25">
      <c r="A2084" s="4" t="s">
        <v>7</v>
      </c>
      <c r="B2084" s="4" t="s">
        <v>5521</v>
      </c>
      <c r="C2084" s="1" t="s">
        <v>5522</v>
      </c>
      <c r="D2084" s="1" t="s">
        <v>5523</v>
      </c>
      <c r="E2084" s="6">
        <v>53</v>
      </c>
    </row>
    <row r="2085" spans="1:5" x14ac:dyDescent="0.25">
      <c r="A2085" s="4" t="s">
        <v>7</v>
      </c>
      <c r="B2085" s="4" t="s">
        <v>5524</v>
      </c>
      <c r="C2085" s="1" t="s">
        <v>5525</v>
      </c>
      <c r="D2085" s="1" t="s">
        <v>5526</v>
      </c>
      <c r="E2085" s="6">
        <v>12</v>
      </c>
    </row>
    <row r="2086" spans="1:5" x14ac:dyDescent="0.25">
      <c r="A2086" s="4" t="s">
        <v>7</v>
      </c>
      <c r="B2086" s="4" t="s">
        <v>5527</v>
      </c>
      <c r="C2086" s="1" t="s">
        <v>5528</v>
      </c>
      <c r="D2086" s="1" t="s">
        <v>5529</v>
      </c>
      <c r="E2086" s="6">
        <v>4</v>
      </c>
    </row>
    <row r="2087" spans="1:5" x14ac:dyDescent="0.25">
      <c r="A2087" s="4" t="s">
        <v>7</v>
      </c>
      <c r="B2087" s="4" t="s">
        <v>5530</v>
      </c>
      <c r="C2087" s="1" t="s">
        <v>5531</v>
      </c>
      <c r="D2087" s="1" t="s">
        <v>5532</v>
      </c>
      <c r="E2087" s="6">
        <v>1</v>
      </c>
    </row>
    <row r="2088" spans="1:5" x14ac:dyDescent="0.25">
      <c r="A2088" s="4" t="s">
        <v>7</v>
      </c>
      <c r="B2088" s="4" t="s">
        <v>5533</v>
      </c>
      <c r="C2088" s="1" t="s">
        <v>5534</v>
      </c>
      <c r="D2088" s="1" t="s">
        <v>5535</v>
      </c>
      <c r="E2088" s="6">
        <v>1</v>
      </c>
    </row>
    <row r="2089" spans="1:5" x14ac:dyDescent="0.25">
      <c r="A2089" s="4" t="s">
        <v>7</v>
      </c>
      <c r="B2089" s="4" t="s">
        <v>5536</v>
      </c>
      <c r="C2089" s="1" t="s">
        <v>5537</v>
      </c>
      <c r="D2089" s="1" t="s">
        <v>5538</v>
      </c>
      <c r="E2089" s="6">
        <v>1</v>
      </c>
    </row>
    <row r="2090" spans="1:5" x14ac:dyDescent="0.25">
      <c r="A2090" s="4" t="s">
        <v>7</v>
      </c>
      <c r="B2090" s="4" t="s">
        <v>5539</v>
      </c>
      <c r="C2090" s="1" t="s">
        <v>5540</v>
      </c>
      <c r="D2090" s="1" t="s">
        <v>5541</v>
      </c>
      <c r="E2090" s="6">
        <v>642</v>
      </c>
    </row>
    <row r="2091" spans="1:5" x14ac:dyDescent="0.25">
      <c r="A2091" s="4" t="s">
        <v>7</v>
      </c>
      <c r="B2091" s="4" t="s">
        <v>5542</v>
      </c>
      <c r="C2091" s="1" t="s">
        <v>5543</v>
      </c>
      <c r="D2091" s="1" t="s">
        <v>5544</v>
      </c>
      <c r="E2091" s="6">
        <v>27</v>
      </c>
    </row>
    <row r="2092" spans="1:5" x14ac:dyDescent="0.25">
      <c r="A2092" s="4" t="s">
        <v>7</v>
      </c>
      <c r="B2092" s="4" t="s">
        <v>5545</v>
      </c>
      <c r="C2092" s="1" t="s">
        <v>5546</v>
      </c>
      <c r="D2092" s="1" t="s">
        <v>5547</v>
      </c>
      <c r="E2092" s="6">
        <v>1</v>
      </c>
    </row>
    <row r="2093" spans="1:5" x14ac:dyDescent="0.25">
      <c r="A2093" s="4" t="s">
        <v>7</v>
      </c>
      <c r="B2093" s="4" t="s">
        <v>5548</v>
      </c>
      <c r="C2093" s="1" t="s">
        <v>5549</v>
      </c>
      <c r="D2093" s="1" t="s">
        <v>5550</v>
      </c>
      <c r="E2093" s="6">
        <v>1</v>
      </c>
    </row>
    <row r="2094" spans="1:5" x14ac:dyDescent="0.25">
      <c r="A2094" s="4" t="s">
        <v>7</v>
      </c>
      <c r="B2094" s="4" t="s">
        <v>5551</v>
      </c>
      <c r="C2094" s="1" t="s">
        <v>5552</v>
      </c>
      <c r="D2094" s="1" t="s">
        <v>5553</v>
      </c>
      <c r="E2094" s="6">
        <v>1</v>
      </c>
    </row>
    <row r="2095" spans="1:5" x14ac:dyDescent="0.25">
      <c r="A2095" s="4" t="s">
        <v>7</v>
      </c>
      <c r="B2095" s="4" t="s">
        <v>5554</v>
      </c>
      <c r="C2095" s="1" t="s">
        <v>5555</v>
      </c>
      <c r="D2095" s="1" t="s">
        <v>5556</v>
      </c>
      <c r="E2095" s="6">
        <v>1</v>
      </c>
    </row>
    <row r="2096" spans="1:5" x14ac:dyDescent="0.25">
      <c r="A2096" s="4" t="s">
        <v>7</v>
      </c>
      <c r="B2096" s="4" t="s">
        <v>5557</v>
      </c>
      <c r="C2096" s="1" t="s">
        <v>5558</v>
      </c>
      <c r="D2096" s="1" t="s">
        <v>5559</v>
      </c>
      <c r="E2096" s="6">
        <v>1</v>
      </c>
    </row>
    <row r="2097" spans="1:5" x14ac:dyDescent="0.25">
      <c r="A2097" s="4" t="s">
        <v>7</v>
      </c>
      <c r="B2097" s="4" t="s">
        <v>5560</v>
      </c>
      <c r="C2097" s="1" t="s">
        <v>5561</v>
      </c>
      <c r="D2097" s="1" t="s">
        <v>5562</v>
      </c>
      <c r="E2097" s="6">
        <v>4</v>
      </c>
    </row>
    <row r="2098" spans="1:5" x14ac:dyDescent="0.25">
      <c r="A2098" s="4" t="s">
        <v>7</v>
      </c>
      <c r="B2098" s="4" t="s">
        <v>5563</v>
      </c>
      <c r="C2098" s="1" t="s">
        <v>5564</v>
      </c>
      <c r="D2098" s="1" t="s">
        <v>5565</v>
      </c>
      <c r="E2098" s="6">
        <v>3</v>
      </c>
    </row>
    <row r="2099" spans="1:5" x14ac:dyDescent="0.25">
      <c r="A2099" s="4" t="s">
        <v>7</v>
      </c>
      <c r="B2099" s="4" t="s">
        <v>5566</v>
      </c>
      <c r="C2099" s="1" t="s">
        <v>5567</v>
      </c>
      <c r="D2099" s="1" t="s">
        <v>5568</v>
      </c>
      <c r="E2099" s="6">
        <v>5</v>
      </c>
    </row>
    <row r="2100" spans="1:5" x14ac:dyDescent="0.25">
      <c r="A2100" s="4" t="s">
        <v>7</v>
      </c>
      <c r="B2100" s="4" t="s">
        <v>5569</v>
      </c>
      <c r="C2100" s="1" t="s">
        <v>5570</v>
      </c>
      <c r="D2100" s="1" t="s">
        <v>5571</v>
      </c>
      <c r="E2100" s="6">
        <v>19</v>
      </c>
    </row>
    <row r="2101" spans="1:5" x14ac:dyDescent="0.25">
      <c r="A2101" s="4" t="s">
        <v>7</v>
      </c>
      <c r="B2101" s="4" t="s">
        <v>5572</v>
      </c>
      <c r="C2101" s="1" t="s">
        <v>5573</v>
      </c>
      <c r="D2101" s="1" t="s">
        <v>5574</v>
      </c>
      <c r="E2101" s="6">
        <v>5</v>
      </c>
    </row>
    <row r="2102" spans="1:5" x14ac:dyDescent="0.25">
      <c r="A2102" s="4" t="s">
        <v>7</v>
      </c>
      <c r="B2102" s="4" t="s">
        <v>5575</v>
      </c>
      <c r="C2102" s="1" t="s">
        <v>5576</v>
      </c>
      <c r="D2102" s="1" t="s">
        <v>5577</v>
      </c>
      <c r="E2102" s="6">
        <v>2</v>
      </c>
    </row>
    <row r="2103" spans="1:5" x14ac:dyDescent="0.25">
      <c r="A2103" s="4" t="s">
        <v>7</v>
      </c>
      <c r="B2103" s="4" t="s">
        <v>5578</v>
      </c>
      <c r="C2103" s="1" t="s">
        <v>5579</v>
      </c>
      <c r="D2103" s="1" t="s">
        <v>5580</v>
      </c>
      <c r="E2103" s="6">
        <v>3</v>
      </c>
    </row>
    <row r="2104" spans="1:5" x14ac:dyDescent="0.25">
      <c r="A2104" s="4" t="s">
        <v>7</v>
      </c>
      <c r="B2104" s="4" t="s">
        <v>5581</v>
      </c>
      <c r="C2104" s="1" t="s">
        <v>5579</v>
      </c>
      <c r="D2104" s="1" t="s">
        <v>5582</v>
      </c>
      <c r="E2104" s="6">
        <v>6</v>
      </c>
    </row>
    <row r="2105" spans="1:5" x14ac:dyDescent="0.25">
      <c r="A2105" s="4" t="s">
        <v>7</v>
      </c>
      <c r="B2105" s="4" t="s">
        <v>5583</v>
      </c>
      <c r="C2105" s="1" t="s">
        <v>5584</v>
      </c>
      <c r="D2105" s="1" t="s">
        <v>5585</v>
      </c>
      <c r="E2105" s="6">
        <v>15</v>
      </c>
    </row>
    <row r="2106" spans="1:5" x14ac:dyDescent="0.25">
      <c r="A2106" s="4" t="s">
        <v>7</v>
      </c>
      <c r="B2106" s="4" t="s">
        <v>5586</v>
      </c>
      <c r="C2106" s="1" t="s">
        <v>5587</v>
      </c>
      <c r="D2106" s="1" t="s">
        <v>5588</v>
      </c>
      <c r="E2106" s="6">
        <v>43</v>
      </c>
    </row>
    <row r="2107" spans="1:5" x14ac:dyDescent="0.25">
      <c r="A2107" s="4" t="s">
        <v>7</v>
      </c>
      <c r="B2107" s="4" t="s">
        <v>5589</v>
      </c>
      <c r="C2107" s="1" t="s">
        <v>5590</v>
      </c>
      <c r="D2107" s="1" t="s">
        <v>5591</v>
      </c>
      <c r="E2107" s="6">
        <v>38</v>
      </c>
    </row>
    <row r="2108" spans="1:5" x14ac:dyDescent="0.25">
      <c r="A2108" s="4" t="s">
        <v>7</v>
      </c>
      <c r="B2108" s="4" t="s">
        <v>5592</v>
      </c>
      <c r="C2108" s="1" t="s">
        <v>5593</v>
      </c>
      <c r="D2108" s="1" t="s">
        <v>5594</v>
      </c>
      <c r="E2108" s="6">
        <v>2</v>
      </c>
    </row>
    <row r="2109" spans="1:5" x14ac:dyDescent="0.25">
      <c r="A2109" s="4" t="s">
        <v>7</v>
      </c>
      <c r="B2109" s="4" t="s">
        <v>5595</v>
      </c>
      <c r="C2109" s="1" t="s">
        <v>5596</v>
      </c>
      <c r="D2109" s="1" t="s">
        <v>5597</v>
      </c>
      <c r="E2109" s="6">
        <v>7</v>
      </c>
    </row>
    <row r="2110" spans="1:5" x14ac:dyDescent="0.25">
      <c r="A2110" s="4" t="s">
        <v>7</v>
      </c>
      <c r="B2110" s="4" t="s">
        <v>5598</v>
      </c>
      <c r="C2110" s="1" t="s">
        <v>5599</v>
      </c>
      <c r="D2110" s="1" t="s">
        <v>5600</v>
      </c>
      <c r="E2110" s="6">
        <v>51</v>
      </c>
    </row>
    <row r="2111" spans="1:5" x14ac:dyDescent="0.25">
      <c r="A2111" s="4" t="s">
        <v>7</v>
      </c>
      <c r="B2111" s="4" t="s">
        <v>5601</v>
      </c>
      <c r="C2111" s="1" t="s">
        <v>5602</v>
      </c>
      <c r="D2111" s="1" t="s">
        <v>5603</v>
      </c>
      <c r="E2111" s="6">
        <v>3</v>
      </c>
    </row>
    <row r="2112" spans="1:5" x14ac:dyDescent="0.25">
      <c r="A2112" s="4" t="s">
        <v>7</v>
      </c>
      <c r="B2112" s="4" t="s">
        <v>5604</v>
      </c>
      <c r="C2112" s="1" t="s">
        <v>5605</v>
      </c>
      <c r="D2112" s="1" t="s">
        <v>5606</v>
      </c>
      <c r="E2112" s="6">
        <v>5</v>
      </c>
    </row>
    <row r="2113" spans="1:5" x14ac:dyDescent="0.25">
      <c r="A2113" s="4" t="s">
        <v>7</v>
      </c>
      <c r="B2113" s="4" t="s">
        <v>5607</v>
      </c>
      <c r="C2113" s="1" t="s">
        <v>5608</v>
      </c>
      <c r="D2113" s="1" t="s">
        <v>5609</v>
      </c>
      <c r="E2113" s="6">
        <v>1</v>
      </c>
    </row>
    <row r="2114" spans="1:5" x14ac:dyDescent="0.25">
      <c r="A2114" s="4" t="s">
        <v>7</v>
      </c>
      <c r="B2114" s="4" t="s">
        <v>5610</v>
      </c>
      <c r="C2114" s="1" t="s">
        <v>5611</v>
      </c>
      <c r="D2114" s="1" t="s">
        <v>5612</v>
      </c>
      <c r="E2114" s="6">
        <v>1</v>
      </c>
    </row>
    <row r="2115" spans="1:5" x14ac:dyDescent="0.25">
      <c r="A2115" s="4" t="s">
        <v>7</v>
      </c>
      <c r="B2115" s="4" t="s">
        <v>5613</v>
      </c>
      <c r="C2115" s="1" t="s">
        <v>5614</v>
      </c>
      <c r="D2115" s="1" t="s">
        <v>5615</v>
      </c>
      <c r="E2115" s="6">
        <v>1</v>
      </c>
    </row>
    <row r="2116" spans="1:5" x14ac:dyDescent="0.25">
      <c r="A2116" s="4" t="s">
        <v>7</v>
      </c>
      <c r="B2116" s="4" t="s">
        <v>5616</v>
      </c>
      <c r="C2116" s="1" t="s">
        <v>5617</v>
      </c>
      <c r="D2116" s="1" t="s">
        <v>5618</v>
      </c>
      <c r="E2116" s="6">
        <v>1</v>
      </c>
    </row>
    <row r="2117" spans="1:5" x14ac:dyDescent="0.25">
      <c r="A2117" s="4" t="s">
        <v>7</v>
      </c>
      <c r="B2117" s="4" t="s">
        <v>5619</v>
      </c>
      <c r="C2117" s="1" t="s">
        <v>5620</v>
      </c>
      <c r="D2117" s="1" t="s">
        <v>5621</v>
      </c>
      <c r="E2117" s="6">
        <v>2</v>
      </c>
    </row>
    <row r="2118" spans="1:5" x14ac:dyDescent="0.25">
      <c r="A2118" s="4" t="s">
        <v>7</v>
      </c>
      <c r="B2118" s="4" t="s">
        <v>5622</v>
      </c>
      <c r="C2118" s="1" t="s">
        <v>5623</v>
      </c>
      <c r="D2118" s="1" t="s">
        <v>5624</v>
      </c>
      <c r="E2118" s="6">
        <v>2</v>
      </c>
    </row>
    <row r="2119" spans="1:5" x14ac:dyDescent="0.25">
      <c r="A2119" s="4" t="s">
        <v>7</v>
      </c>
      <c r="B2119" s="4" t="s">
        <v>5625</v>
      </c>
      <c r="C2119" s="1" t="s">
        <v>5626</v>
      </c>
      <c r="D2119" s="1" t="s">
        <v>5627</v>
      </c>
      <c r="E2119" s="6">
        <v>3</v>
      </c>
    </row>
    <row r="2120" spans="1:5" x14ac:dyDescent="0.25">
      <c r="A2120" s="4" t="s">
        <v>7</v>
      </c>
      <c r="B2120" s="4" t="s">
        <v>5628</v>
      </c>
      <c r="C2120" s="1" t="s">
        <v>5629</v>
      </c>
      <c r="D2120" s="1" t="s">
        <v>5630</v>
      </c>
      <c r="E2120" s="6">
        <v>3</v>
      </c>
    </row>
    <row r="2121" spans="1:5" x14ac:dyDescent="0.25">
      <c r="A2121" s="4" t="s">
        <v>7</v>
      </c>
      <c r="B2121" s="4" t="s">
        <v>5631</v>
      </c>
      <c r="C2121" s="1" t="s">
        <v>5632</v>
      </c>
      <c r="D2121" s="1" t="s">
        <v>5633</v>
      </c>
      <c r="E2121" s="6">
        <v>4</v>
      </c>
    </row>
    <row r="2122" spans="1:5" x14ac:dyDescent="0.25">
      <c r="A2122" s="4" t="s">
        <v>7</v>
      </c>
      <c r="B2122" s="4" t="s">
        <v>5634</v>
      </c>
      <c r="C2122" s="1" t="s">
        <v>5635</v>
      </c>
      <c r="D2122" s="1" t="s">
        <v>5636</v>
      </c>
      <c r="E2122" s="6">
        <v>7</v>
      </c>
    </row>
    <row r="2123" spans="1:5" x14ac:dyDescent="0.25">
      <c r="A2123" s="4" t="s">
        <v>7</v>
      </c>
      <c r="B2123" s="4" t="s">
        <v>5637</v>
      </c>
      <c r="C2123" s="1" t="s">
        <v>5638</v>
      </c>
      <c r="D2123" s="1" t="s">
        <v>5639</v>
      </c>
      <c r="E2123" s="6">
        <v>1</v>
      </c>
    </row>
    <row r="2124" spans="1:5" x14ac:dyDescent="0.25">
      <c r="A2124" s="4" t="s">
        <v>7</v>
      </c>
      <c r="B2124" s="4" t="s">
        <v>5640</v>
      </c>
      <c r="C2124" s="1" t="s">
        <v>5641</v>
      </c>
      <c r="D2124" s="1" t="s">
        <v>5642</v>
      </c>
      <c r="E2124" s="6">
        <v>2</v>
      </c>
    </row>
    <row r="2125" spans="1:5" x14ac:dyDescent="0.25">
      <c r="A2125" s="4" t="s">
        <v>7</v>
      </c>
      <c r="B2125" s="4" t="s">
        <v>5643</v>
      </c>
      <c r="C2125" s="1" t="s">
        <v>5644</v>
      </c>
      <c r="D2125" s="1" t="s">
        <v>5645</v>
      </c>
      <c r="E2125" s="6">
        <v>1</v>
      </c>
    </row>
    <row r="2126" spans="1:5" x14ac:dyDescent="0.25">
      <c r="A2126" s="4" t="s">
        <v>7</v>
      </c>
      <c r="B2126" s="4" t="s">
        <v>5646</v>
      </c>
      <c r="C2126" s="1" t="s">
        <v>5647</v>
      </c>
      <c r="D2126" s="1" t="s">
        <v>5648</v>
      </c>
      <c r="E2126" s="6">
        <v>1</v>
      </c>
    </row>
    <row r="2127" spans="1:5" x14ac:dyDescent="0.25">
      <c r="A2127" s="4" t="s">
        <v>7</v>
      </c>
      <c r="B2127" s="4" t="s">
        <v>5649</v>
      </c>
      <c r="C2127" s="1" t="s">
        <v>5650</v>
      </c>
      <c r="D2127" s="1" t="s">
        <v>5651</v>
      </c>
      <c r="E2127" s="6">
        <v>1</v>
      </c>
    </row>
    <row r="2128" spans="1:5" x14ac:dyDescent="0.25">
      <c r="A2128" s="4" t="s">
        <v>7</v>
      </c>
      <c r="B2128" s="4" t="s">
        <v>5652</v>
      </c>
      <c r="C2128" s="1" t="s">
        <v>5653</v>
      </c>
      <c r="D2128" s="1" t="s">
        <v>5654</v>
      </c>
      <c r="E2128" s="6">
        <v>2</v>
      </c>
    </row>
    <row r="2129" spans="1:5" x14ac:dyDescent="0.25">
      <c r="A2129" s="4" t="s">
        <v>7</v>
      </c>
      <c r="B2129" s="4" t="s">
        <v>5655</v>
      </c>
      <c r="C2129" s="1" t="s">
        <v>5656</v>
      </c>
      <c r="D2129" s="1" t="s">
        <v>5657</v>
      </c>
      <c r="E2129" s="6">
        <v>1</v>
      </c>
    </row>
    <row r="2130" spans="1:5" x14ac:dyDescent="0.25">
      <c r="A2130" s="4" t="s">
        <v>7</v>
      </c>
      <c r="B2130" s="4" t="s">
        <v>5658</v>
      </c>
      <c r="C2130" s="1" t="s">
        <v>5659</v>
      </c>
      <c r="D2130" s="1" t="s">
        <v>5660</v>
      </c>
      <c r="E2130" s="6">
        <v>45</v>
      </c>
    </row>
    <row r="2131" spans="1:5" x14ac:dyDescent="0.25">
      <c r="A2131" s="4" t="s">
        <v>7</v>
      </c>
      <c r="B2131" s="4" t="s">
        <v>5661</v>
      </c>
      <c r="C2131" s="1" t="s">
        <v>5662</v>
      </c>
      <c r="D2131" s="1" t="s">
        <v>5663</v>
      </c>
      <c r="E2131" s="6">
        <v>1</v>
      </c>
    </row>
    <row r="2132" spans="1:5" x14ac:dyDescent="0.25">
      <c r="A2132" s="4" t="s">
        <v>7</v>
      </c>
      <c r="B2132" s="4" t="s">
        <v>5664</v>
      </c>
      <c r="C2132" s="1" t="s">
        <v>5665</v>
      </c>
      <c r="D2132" s="1" t="s">
        <v>5666</v>
      </c>
      <c r="E2132" s="6">
        <v>37</v>
      </c>
    </row>
    <row r="2133" spans="1:5" x14ac:dyDescent="0.25">
      <c r="A2133" s="4" t="s">
        <v>7</v>
      </c>
      <c r="B2133" s="4" t="s">
        <v>5667</v>
      </c>
      <c r="C2133" s="1" t="s">
        <v>5668</v>
      </c>
      <c r="D2133" s="1" t="s">
        <v>5669</v>
      </c>
      <c r="E2133" s="6">
        <v>3</v>
      </c>
    </row>
    <row r="2134" spans="1:5" x14ac:dyDescent="0.25">
      <c r="A2134" s="4" t="s">
        <v>7</v>
      </c>
      <c r="B2134" s="4" t="s">
        <v>5670</v>
      </c>
      <c r="C2134" s="1" t="s">
        <v>5671</v>
      </c>
      <c r="D2134" s="1" t="s">
        <v>5672</v>
      </c>
      <c r="E2134" s="6">
        <v>3</v>
      </c>
    </row>
    <row r="2135" spans="1:5" x14ac:dyDescent="0.25">
      <c r="A2135" s="4" t="s">
        <v>7</v>
      </c>
      <c r="B2135" s="4" t="s">
        <v>5673</v>
      </c>
      <c r="C2135" s="1" t="s">
        <v>5674</v>
      </c>
      <c r="D2135" s="1" t="s">
        <v>5675</v>
      </c>
      <c r="E2135" s="6">
        <v>30</v>
      </c>
    </row>
    <row r="2136" spans="1:5" x14ac:dyDescent="0.25">
      <c r="A2136" s="4" t="s">
        <v>7</v>
      </c>
      <c r="B2136" s="4" t="s">
        <v>5676</v>
      </c>
      <c r="C2136" s="1" t="s">
        <v>5677</v>
      </c>
      <c r="D2136" s="1" t="s">
        <v>5678</v>
      </c>
      <c r="E2136" s="6">
        <v>3</v>
      </c>
    </row>
    <row r="2137" spans="1:5" x14ac:dyDescent="0.25">
      <c r="A2137" s="4" t="s">
        <v>7</v>
      </c>
      <c r="B2137" s="4" t="s">
        <v>5679</v>
      </c>
      <c r="C2137" s="1" t="s">
        <v>5680</v>
      </c>
      <c r="D2137" s="1" t="s">
        <v>5681</v>
      </c>
      <c r="E2137" s="6">
        <v>4</v>
      </c>
    </row>
    <row r="2138" spans="1:5" x14ac:dyDescent="0.25">
      <c r="A2138" s="4" t="s">
        <v>7</v>
      </c>
      <c r="B2138" s="4" t="s">
        <v>5682</v>
      </c>
      <c r="C2138" s="1" t="s">
        <v>5683</v>
      </c>
      <c r="D2138" s="1" t="s">
        <v>5684</v>
      </c>
      <c r="E2138" s="6">
        <v>5</v>
      </c>
    </row>
    <row r="2139" spans="1:5" x14ac:dyDescent="0.25">
      <c r="A2139" s="4" t="s">
        <v>7</v>
      </c>
      <c r="B2139" s="4" t="s">
        <v>5685</v>
      </c>
      <c r="C2139" s="1" t="s">
        <v>5686</v>
      </c>
      <c r="D2139" s="1" t="s">
        <v>5687</v>
      </c>
      <c r="E2139" s="6">
        <v>37</v>
      </c>
    </row>
    <row r="2140" spans="1:5" x14ac:dyDescent="0.25">
      <c r="A2140" s="4" t="s">
        <v>7</v>
      </c>
      <c r="B2140" s="4" t="s">
        <v>5688</v>
      </c>
      <c r="C2140" s="1" t="s">
        <v>5689</v>
      </c>
      <c r="D2140" s="1" t="s">
        <v>5690</v>
      </c>
      <c r="E2140" s="6">
        <v>2</v>
      </c>
    </row>
    <row r="2141" spans="1:5" x14ac:dyDescent="0.25">
      <c r="A2141" s="4" t="s">
        <v>7</v>
      </c>
      <c r="B2141" s="4" t="s">
        <v>5691</v>
      </c>
      <c r="C2141" s="1" t="s">
        <v>5692</v>
      </c>
      <c r="D2141" s="1" t="s">
        <v>5693</v>
      </c>
      <c r="E2141" s="6">
        <v>3</v>
      </c>
    </row>
    <row r="2142" spans="1:5" x14ac:dyDescent="0.25">
      <c r="A2142" s="4" t="s">
        <v>7</v>
      </c>
      <c r="B2142" s="4" t="s">
        <v>5694</v>
      </c>
      <c r="C2142" s="1" t="s">
        <v>5695</v>
      </c>
      <c r="D2142" s="1" t="s">
        <v>5696</v>
      </c>
      <c r="E2142" s="6">
        <v>25</v>
      </c>
    </row>
    <row r="2143" spans="1:5" x14ac:dyDescent="0.25">
      <c r="A2143" s="4" t="s">
        <v>7</v>
      </c>
      <c r="B2143" s="4" t="s">
        <v>5697</v>
      </c>
      <c r="C2143" s="1" t="s">
        <v>5698</v>
      </c>
      <c r="D2143" s="1" t="s">
        <v>5699</v>
      </c>
      <c r="E2143" s="6">
        <v>40</v>
      </c>
    </row>
    <row r="2144" spans="1:5" x14ac:dyDescent="0.25">
      <c r="A2144" s="4" t="s">
        <v>7</v>
      </c>
      <c r="B2144" s="4" t="s">
        <v>5700</v>
      </c>
      <c r="C2144" s="1" t="s">
        <v>5701</v>
      </c>
      <c r="D2144" s="1" t="s">
        <v>5702</v>
      </c>
      <c r="E2144" s="6">
        <v>10</v>
      </c>
    </row>
    <row r="2145" spans="1:5" x14ac:dyDescent="0.25">
      <c r="A2145" s="4" t="s">
        <v>7</v>
      </c>
      <c r="B2145" s="4" t="s">
        <v>5703</v>
      </c>
      <c r="C2145" s="1" t="s">
        <v>5704</v>
      </c>
      <c r="D2145" s="1" t="s">
        <v>5705</v>
      </c>
      <c r="E2145" s="6">
        <v>2</v>
      </c>
    </row>
    <row r="2146" spans="1:5" x14ac:dyDescent="0.25">
      <c r="A2146" s="4" t="s">
        <v>7</v>
      </c>
      <c r="B2146" s="4" t="s">
        <v>5706</v>
      </c>
      <c r="C2146" s="1" t="s">
        <v>5707</v>
      </c>
      <c r="D2146" s="1" t="s">
        <v>5708</v>
      </c>
      <c r="E2146" s="6">
        <v>4</v>
      </c>
    </row>
    <row r="2147" spans="1:5" x14ac:dyDescent="0.25">
      <c r="A2147" s="4" t="s">
        <v>7</v>
      </c>
      <c r="B2147" s="4" t="s">
        <v>5709</v>
      </c>
      <c r="C2147" s="1" t="s">
        <v>5710</v>
      </c>
      <c r="D2147" s="1" t="s">
        <v>5711</v>
      </c>
      <c r="E2147" s="6">
        <v>2</v>
      </c>
    </row>
    <row r="2148" spans="1:5" x14ac:dyDescent="0.25">
      <c r="A2148" s="4" t="s">
        <v>7</v>
      </c>
      <c r="B2148" s="4" t="s">
        <v>5712</v>
      </c>
      <c r="C2148" s="1" t="s">
        <v>5713</v>
      </c>
      <c r="D2148" s="1" t="s">
        <v>5714</v>
      </c>
      <c r="E2148" s="6">
        <v>2</v>
      </c>
    </row>
    <row r="2149" spans="1:5" x14ac:dyDescent="0.25">
      <c r="A2149" s="4" t="s">
        <v>7</v>
      </c>
      <c r="B2149" s="4" t="s">
        <v>5715</v>
      </c>
      <c r="C2149" s="1" t="s">
        <v>5716</v>
      </c>
      <c r="D2149" s="1" t="s">
        <v>5717</v>
      </c>
      <c r="E2149" s="6">
        <v>4</v>
      </c>
    </row>
    <row r="2150" spans="1:5" x14ac:dyDescent="0.25">
      <c r="A2150" s="4" t="s">
        <v>7</v>
      </c>
      <c r="B2150" s="4" t="s">
        <v>5718</v>
      </c>
      <c r="C2150" s="1" t="s">
        <v>5719</v>
      </c>
      <c r="D2150" s="1" t="s">
        <v>5720</v>
      </c>
      <c r="E2150" s="6">
        <v>1</v>
      </c>
    </row>
    <row r="2151" spans="1:5" x14ac:dyDescent="0.25">
      <c r="A2151" s="4" t="s">
        <v>7</v>
      </c>
      <c r="B2151" s="4" t="s">
        <v>5721</v>
      </c>
      <c r="C2151" s="1" t="s">
        <v>5722</v>
      </c>
      <c r="D2151" s="1" t="s">
        <v>5723</v>
      </c>
      <c r="E2151" s="6">
        <v>44</v>
      </c>
    </row>
    <row r="2152" spans="1:5" x14ac:dyDescent="0.25">
      <c r="A2152" s="4" t="s">
        <v>7</v>
      </c>
      <c r="B2152" s="4" t="s">
        <v>5724</v>
      </c>
      <c r="C2152" s="1" t="s">
        <v>5725</v>
      </c>
      <c r="D2152" s="1" t="s">
        <v>5726</v>
      </c>
      <c r="E2152" s="6">
        <v>54</v>
      </c>
    </row>
    <row r="2153" spans="1:5" x14ac:dyDescent="0.25">
      <c r="A2153" s="4" t="s">
        <v>7</v>
      </c>
      <c r="B2153" s="4" t="s">
        <v>5727</v>
      </c>
      <c r="C2153" s="1" t="s">
        <v>5728</v>
      </c>
      <c r="D2153" s="1" t="s">
        <v>5729</v>
      </c>
      <c r="E2153" s="6">
        <v>5</v>
      </c>
    </row>
    <row r="2154" spans="1:5" x14ac:dyDescent="0.25">
      <c r="A2154" s="4" t="s">
        <v>7</v>
      </c>
      <c r="B2154" s="4" t="s">
        <v>5730</v>
      </c>
      <c r="C2154" s="1" t="s">
        <v>5731</v>
      </c>
      <c r="D2154" s="1" t="s">
        <v>5732</v>
      </c>
      <c r="E2154" s="6">
        <v>6</v>
      </c>
    </row>
    <row r="2155" spans="1:5" x14ac:dyDescent="0.25">
      <c r="A2155" s="4" t="s">
        <v>7</v>
      </c>
      <c r="B2155" s="4" t="s">
        <v>5733</v>
      </c>
      <c r="C2155" s="1" t="s">
        <v>5734</v>
      </c>
      <c r="D2155" s="1" t="s">
        <v>5735</v>
      </c>
      <c r="E2155" s="6">
        <v>2</v>
      </c>
    </row>
    <row r="2156" spans="1:5" x14ac:dyDescent="0.25">
      <c r="A2156" s="4" t="s">
        <v>7</v>
      </c>
      <c r="B2156" s="4" t="s">
        <v>5736</v>
      </c>
      <c r="C2156" s="1" t="s">
        <v>5737</v>
      </c>
      <c r="D2156" s="1" t="s">
        <v>5738</v>
      </c>
      <c r="E2156" s="6">
        <v>2</v>
      </c>
    </row>
    <row r="2157" spans="1:5" x14ac:dyDescent="0.25">
      <c r="A2157" s="4" t="s">
        <v>7</v>
      </c>
      <c r="B2157" s="4" t="s">
        <v>5739</v>
      </c>
      <c r="C2157" s="1" t="s">
        <v>5740</v>
      </c>
      <c r="D2157" s="1" t="s">
        <v>5741</v>
      </c>
      <c r="E2157" s="6">
        <v>2</v>
      </c>
    </row>
    <row r="2158" spans="1:5" x14ac:dyDescent="0.25">
      <c r="A2158" s="4" t="s">
        <v>7</v>
      </c>
      <c r="B2158" s="4" t="s">
        <v>5742</v>
      </c>
      <c r="C2158" s="1" t="s">
        <v>5743</v>
      </c>
      <c r="D2158" s="1" t="s">
        <v>5744</v>
      </c>
      <c r="E2158" s="6">
        <v>2</v>
      </c>
    </row>
    <row r="2159" spans="1:5" x14ac:dyDescent="0.25">
      <c r="A2159" s="4" t="s">
        <v>7</v>
      </c>
      <c r="B2159" s="4" t="s">
        <v>5745</v>
      </c>
      <c r="C2159" s="1" t="s">
        <v>5746</v>
      </c>
      <c r="D2159" s="1" t="s">
        <v>5747</v>
      </c>
      <c r="E2159" s="6">
        <v>2</v>
      </c>
    </row>
    <row r="2160" spans="1:5" x14ac:dyDescent="0.25">
      <c r="A2160" s="4" t="s">
        <v>7</v>
      </c>
      <c r="B2160" s="4" t="s">
        <v>5748</v>
      </c>
      <c r="C2160" s="1" t="s">
        <v>5749</v>
      </c>
      <c r="D2160" s="1" t="s">
        <v>5750</v>
      </c>
      <c r="E2160" s="6">
        <v>4</v>
      </c>
    </row>
    <row r="2161" spans="1:5" x14ac:dyDescent="0.25">
      <c r="A2161" s="4" t="s">
        <v>7</v>
      </c>
      <c r="B2161" s="4" t="s">
        <v>5751</v>
      </c>
      <c r="C2161" s="1" t="s">
        <v>5752</v>
      </c>
      <c r="D2161" s="1" t="s">
        <v>5753</v>
      </c>
      <c r="E2161" s="6">
        <v>1</v>
      </c>
    </row>
    <row r="2162" spans="1:5" x14ac:dyDescent="0.25">
      <c r="A2162" s="4" t="s">
        <v>7</v>
      </c>
      <c r="B2162" s="4" t="s">
        <v>5754</v>
      </c>
      <c r="C2162" s="1" t="s">
        <v>5755</v>
      </c>
      <c r="D2162" s="1" t="s">
        <v>5756</v>
      </c>
      <c r="E2162" s="6">
        <v>1</v>
      </c>
    </row>
    <row r="2163" spans="1:5" x14ac:dyDescent="0.25">
      <c r="A2163" s="4" t="s">
        <v>7</v>
      </c>
      <c r="B2163" s="4" t="s">
        <v>5757</v>
      </c>
      <c r="C2163" s="1" t="s">
        <v>5758</v>
      </c>
      <c r="D2163" s="1" t="s">
        <v>5759</v>
      </c>
      <c r="E2163" s="6">
        <v>4</v>
      </c>
    </row>
    <row r="2164" spans="1:5" x14ac:dyDescent="0.25">
      <c r="A2164" s="4" t="s">
        <v>7</v>
      </c>
      <c r="B2164" s="4" t="s">
        <v>5760</v>
      </c>
      <c r="C2164" s="1" t="s">
        <v>5761</v>
      </c>
      <c r="D2164" s="1" t="s">
        <v>5762</v>
      </c>
      <c r="E2164" s="6">
        <v>5</v>
      </c>
    </row>
    <row r="2165" spans="1:5" x14ac:dyDescent="0.25">
      <c r="A2165" s="4" t="s">
        <v>7</v>
      </c>
      <c r="B2165" s="4" t="s">
        <v>5763</v>
      </c>
      <c r="C2165" s="1" t="s">
        <v>5764</v>
      </c>
      <c r="D2165" s="1" t="s">
        <v>5765</v>
      </c>
      <c r="E2165" s="6">
        <v>5</v>
      </c>
    </row>
    <row r="2166" spans="1:5" x14ac:dyDescent="0.25">
      <c r="A2166" s="4" t="s">
        <v>7</v>
      </c>
      <c r="B2166" s="4" t="s">
        <v>5766</v>
      </c>
      <c r="C2166" s="1" t="s">
        <v>5767</v>
      </c>
      <c r="D2166" s="1" t="s">
        <v>5768</v>
      </c>
      <c r="E2166" s="6">
        <v>39</v>
      </c>
    </row>
    <row r="2167" spans="1:5" x14ac:dyDescent="0.25">
      <c r="A2167" s="4" t="s">
        <v>7</v>
      </c>
      <c r="B2167" s="4" t="s">
        <v>5769</v>
      </c>
      <c r="C2167" s="1" t="s">
        <v>5770</v>
      </c>
      <c r="D2167" s="1" t="s">
        <v>5771</v>
      </c>
      <c r="E2167" s="6">
        <v>5</v>
      </c>
    </row>
    <row r="2168" spans="1:5" x14ac:dyDescent="0.25">
      <c r="A2168" s="4" t="s">
        <v>7</v>
      </c>
      <c r="B2168" s="4" t="s">
        <v>5772</v>
      </c>
      <c r="C2168" s="1" t="s">
        <v>5773</v>
      </c>
      <c r="D2168" s="1" t="s">
        <v>5774</v>
      </c>
      <c r="E2168" s="6">
        <v>4</v>
      </c>
    </row>
    <row r="2169" spans="1:5" x14ac:dyDescent="0.25">
      <c r="A2169" s="4" t="s">
        <v>7</v>
      </c>
      <c r="B2169" s="4" t="s">
        <v>5775</v>
      </c>
      <c r="C2169" s="1" t="s">
        <v>5776</v>
      </c>
      <c r="D2169" s="1" t="s">
        <v>5777</v>
      </c>
      <c r="E2169" s="6">
        <v>7</v>
      </c>
    </row>
    <row r="2170" spans="1:5" x14ac:dyDescent="0.25">
      <c r="A2170" s="4" t="s">
        <v>7</v>
      </c>
      <c r="B2170" s="4" t="s">
        <v>5778</v>
      </c>
      <c r="C2170" s="1" t="s">
        <v>5779</v>
      </c>
      <c r="D2170" s="1" t="s">
        <v>5780</v>
      </c>
      <c r="E2170" s="6">
        <v>7</v>
      </c>
    </row>
    <row r="2171" spans="1:5" x14ac:dyDescent="0.25">
      <c r="A2171" s="4" t="s">
        <v>7</v>
      </c>
      <c r="B2171" s="4" t="s">
        <v>5781</v>
      </c>
      <c r="C2171" s="1" t="s">
        <v>5782</v>
      </c>
      <c r="D2171" s="1" t="s">
        <v>5783</v>
      </c>
      <c r="E2171" s="6">
        <v>17</v>
      </c>
    </row>
    <row r="2172" spans="1:5" x14ac:dyDescent="0.25">
      <c r="A2172" s="4" t="s">
        <v>7</v>
      </c>
      <c r="B2172" s="4" t="s">
        <v>5784</v>
      </c>
      <c r="C2172" s="1" t="s">
        <v>5785</v>
      </c>
      <c r="D2172" s="1" t="s">
        <v>5786</v>
      </c>
      <c r="E2172" s="6">
        <v>6</v>
      </c>
    </row>
    <row r="2173" spans="1:5" x14ac:dyDescent="0.25">
      <c r="A2173" s="4" t="s">
        <v>7</v>
      </c>
      <c r="B2173" s="4" t="s">
        <v>5787</v>
      </c>
      <c r="C2173" s="1" t="s">
        <v>5788</v>
      </c>
      <c r="D2173" s="1" t="s">
        <v>5789</v>
      </c>
      <c r="E2173" s="6">
        <v>8</v>
      </c>
    </row>
    <row r="2174" spans="1:5" x14ac:dyDescent="0.25">
      <c r="A2174" s="4" t="s">
        <v>7</v>
      </c>
      <c r="B2174" s="4" t="s">
        <v>5790</v>
      </c>
      <c r="C2174" s="1" t="s">
        <v>5791</v>
      </c>
      <c r="D2174" s="1" t="s">
        <v>5792</v>
      </c>
      <c r="E2174" s="6">
        <v>23</v>
      </c>
    </row>
    <row r="2175" spans="1:5" x14ac:dyDescent="0.25">
      <c r="A2175" s="4" t="s">
        <v>7</v>
      </c>
      <c r="B2175" s="4" t="s">
        <v>5793</v>
      </c>
      <c r="C2175" s="1" t="s">
        <v>5794</v>
      </c>
      <c r="D2175" s="1" t="s">
        <v>5795</v>
      </c>
      <c r="E2175" s="6">
        <v>1</v>
      </c>
    </row>
    <row r="2176" spans="1:5" x14ac:dyDescent="0.25">
      <c r="A2176" s="4" t="s">
        <v>7</v>
      </c>
      <c r="B2176" s="4" t="s">
        <v>5796</v>
      </c>
      <c r="C2176" s="1" t="s">
        <v>5797</v>
      </c>
      <c r="D2176" s="1" t="s">
        <v>5798</v>
      </c>
      <c r="E2176" s="6">
        <v>1</v>
      </c>
    </row>
    <row r="2177" spans="1:5" x14ac:dyDescent="0.25">
      <c r="A2177" s="4" t="s">
        <v>7</v>
      </c>
      <c r="B2177" s="4" t="s">
        <v>5799</v>
      </c>
      <c r="C2177" s="1" t="s">
        <v>5800</v>
      </c>
      <c r="D2177" s="1" t="s">
        <v>5801</v>
      </c>
      <c r="E2177" s="6">
        <v>1</v>
      </c>
    </row>
    <row r="2178" spans="1:5" x14ac:dyDescent="0.25">
      <c r="A2178" s="4" t="s">
        <v>7</v>
      </c>
      <c r="B2178" s="4" t="s">
        <v>5802</v>
      </c>
      <c r="C2178" s="1" t="s">
        <v>5803</v>
      </c>
      <c r="D2178" s="1" t="s">
        <v>5804</v>
      </c>
      <c r="E2178" s="6">
        <v>3</v>
      </c>
    </row>
    <row r="2179" spans="1:5" x14ac:dyDescent="0.25">
      <c r="A2179" s="4" t="s">
        <v>7</v>
      </c>
      <c r="B2179" s="4" t="s">
        <v>5805</v>
      </c>
      <c r="C2179" s="1" t="s">
        <v>5806</v>
      </c>
      <c r="D2179" s="1" t="s">
        <v>5807</v>
      </c>
      <c r="E2179" s="6">
        <v>39</v>
      </c>
    </row>
    <row r="2180" spans="1:5" x14ac:dyDescent="0.25">
      <c r="A2180" s="4" t="s">
        <v>7</v>
      </c>
      <c r="B2180" s="4" t="s">
        <v>5808</v>
      </c>
      <c r="C2180" s="1" t="s">
        <v>5809</v>
      </c>
      <c r="D2180" s="1" t="s">
        <v>5810</v>
      </c>
      <c r="E2180" s="6">
        <v>7</v>
      </c>
    </row>
    <row r="2181" spans="1:5" x14ac:dyDescent="0.25">
      <c r="A2181" s="4" t="s">
        <v>7</v>
      </c>
      <c r="B2181" s="4" t="s">
        <v>5811</v>
      </c>
      <c r="C2181" s="1" t="s">
        <v>5812</v>
      </c>
      <c r="D2181" s="1" t="s">
        <v>5813</v>
      </c>
      <c r="E2181" s="6">
        <v>2</v>
      </c>
    </row>
    <row r="2182" spans="1:5" x14ac:dyDescent="0.25">
      <c r="A2182" s="4" t="s">
        <v>7</v>
      </c>
      <c r="B2182" s="4" t="s">
        <v>5814</v>
      </c>
      <c r="C2182" s="1" t="s">
        <v>5815</v>
      </c>
      <c r="D2182" s="1" t="s">
        <v>5816</v>
      </c>
      <c r="E2182" s="6">
        <v>39</v>
      </c>
    </row>
    <row r="2183" spans="1:5" x14ac:dyDescent="0.25">
      <c r="A2183" s="4" t="s">
        <v>7</v>
      </c>
      <c r="B2183" s="4" t="s">
        <v>5817</v>
      </c>
      <c r="C2183" s="1" t="s">
        <v>5818</v>
      </c>
      <c r="D2183" s="1" t="s">
        <v>5819</v>
      </c>
      <c r="E2183" s="6">
        <v>1</v>
      </c>
    </row>
    <row r="2184" spans="1:5" x14ac:dyDescent="0.25">
      <c r="A2184" s="4" t="s">
        <v>7</v>
      </c>
      <c r="B2184" s="4" t="s">
        <v>5820</v>
      </c>
      <c r="C2184" s="1" t="s">
        <v>5821</v>
      </c>
      <c r="D2184" s="1" t="s">
        <v>5822</v>
      </c>
      <c r="E2184" s="6">
        <v>1</v>
      </c>
    </row>
    <row r="2185" spans="1:5" x14ac:dyDescent="0.25">
      <c r="A2185" s="4" t="s">
        <v>7</v>
      </c>
      <c r="B2185" s="4" t="s">
        <v>5823</v>
      </c>
      <c r="C2185" s="1" t="s">
        <v>5824</v>
      </c>
      <c r="D2185" s="1" t="s">
        <v>5825</v>
      </c>
      <c r="E2185" s="6">
        <v>44</v>
      </c>
    </row>
    <row r="2186" spans="1:5" x14ac:dyDescent="0.25">
      <c r="A2186" s="4" t="s">
        <v>7</v>
      </c>
      <c r="B2186" s="4" t="s">
        <v>5826</v>
      </c>
      <c r="C2186" s="1" t="s">
        <v>5827</v>
      </c>
      <c r="D2186" s="1" t="s">
        <v>5828</v>
      </c>
      <c r="E2186" s="6">
        <v>1</v>
      </c>
    </row>
    <row r="2187" spans="1:5" x14ac:dyDescent="0.25">
      <c r="A2187" s="4" t="s">
        <v>7</v>
      </c>
      <c r="B2187" s="4" t="s">
        <v>5829</v>
      </c>
      <c r="C2187" s="1" t="s">
        <v>5830</v>
      </c>
      <c r="D2187" s="1" t="s">
        <v>5831</v>
      </c>
      <c r="E2187" s="6">
        <v>3</v>
      </c>
    </row>
    <row r="2188" spans="1:5" x14ac:dyDescent="0.25">
      <c r="A2188" s="4" t="s">
        <v>7</v>
      </c>
      <c r="B2188" s="4" t="s">
        <v>5832</v>
      </c>
      <c r="C2188" s="1" t="s">
        <v>5833</v>
      </c>
      <c r="D2188" s="1" t="s">
        <v>5834</v>
      </c>
      <c r="E2188" s="6">
        <v>59</v>
      </c>
    </row>
    <row r="2189" spans="1:5" x14ac:dyDescent="0.25">
      <c r="A2189" s="4" t="s">
        <v>7</v>
      </c>
      <c r="B2189" s="4" t="s">
        <v>5835</v>
      </c>
      <c r="C2189" s="1" t="s">
        <v>5836</v>
      </c>
      <c r="D2189" s="1" t="s">
        <v>5837</v>
      </c>
      <c r="E2189" s="6">
        <v>11</v>
      </c>
    </row>
    <row r="2190" spans="1:5" x14ac:dyDescent="0.25">
      <c r="A2190" s="4" t="s">
        <v>7</v>
      </c>
      <c r="B2190" s="4" t="s">
        <v>5838</v>
      </c>
      <c r="C2190" s="1" t="s">
        <v>5839</v>
      </c>
      <c r="D2190" s="1" t="s">
        <v>5840</v>
      </c>
      <c r="E2190" s="6">
        <v>3</v>
      </c>
    </row>
    <row r="2191" spans="1:5" x14ac:dyDescent="0.25">
      <c r="A2191" s="4" t="s">
        <v>7</v>
      </c>
      <c r="B2191" s="4" t="s">
        <v>5841</v>
      </c>
      <c r="C2191" s="1" t="s">
        <v>5842</v>
      </c>
      <c r="D2191" s="1" t="s">
        <v>5843</v>
      </c>
      <c r="E2191" s="6">
        <v>1</v>
      </c>
    </row>
    <row r="2192" spans="1:5" x14ac:dyDescent="0.25">
      <c r="A2192" s="4" t="s">
        <v>7</v>
      </c>
      <c r="B2192" s="4" t="s">
        <v>5844</v>
      </c>
      <c r="C2192" s="1" t="s">
        <v>5845</v>
      </c>
      <c r="D2192" s="1" t="s">
        <v>5846</v>
      </c>
      <c r="E2192" s="6">
        <v>1</v>
      </c>
    </row>
    <row r="2193" spans="1:5" x14ac:dyDescent="0.25">
      <c r="A2193" s="4" t="s">
        <v>7</v>
      </c>
      <c r="B2193" s="4" t="s">
        <v>5847</v>
      </c>
      <c r="C2193" s="1" t="s">
        <v>5848</v>
      </c>
      <c r="D2193" s="1" t="s">
        <v>5849</v>
      </c>
      <c r="E2193" s="6">
        <v>4</v>
      </c>
    </row>
    <row r="2194" spans="1:5" x14ac:dyDescent="0.25">
      <c r="A2194" s="4" t="s">
        <v>7</v>
      </c>
      <c r="B2194" s="4" t="s">
        <v>5850</v>
      </c>
      <c r="C2194" s="1" t="s">
        <v>5851</v>
      </c>
      <c r="D2194" s="1" t="s">
        <v>5852</v>
      </c>
      <c r="E2194" s="6">
        <v>2</v>
      </c>
    </row>
    <row r="2195" spans="1:5" x14ac:dyDescent="0.25">
      <c r="A2195" s="4" t="s">
        <v>7</v>
      </c>
      <c r="B2195" s="4" t="s">
        <v>5853</v>
      </c>
      <c r="C2195" s="1" t="s">
        <v>5854</v>
      </c>
      <c r="D2195" s="1" t="s">
        <v>5855</v>
      </c>
      <c r="E2195" s="6">
        <v>1</v>
      </c>
    </row>
    <row r="2196" spans="1:5" x14ac:dyDescent="0.25">
      <c r="A2196" s="4" t="s">
        <v>7</v>
      </c>
      <c r="B2196" s="4" t="s">
        <v>5856</v>
      </c>
      <c r="C2196" s="1" t="s">
        <v>5857</v>
      </c>
      <c r="D2196" s="1" t="s">
        <v>5858</v>
      </c>
      <c r="E2196" s="6">
        <v>2</v>
      </c>
    </row>
    <row r="2197" spans="1:5" x14ac:dyDescent="0.25">
      <c r="A2197" s="4" t="s">
        <v>7</v>
      </c>
      <c r="B2197" s="4" t="s">
        <v>5859</v>
      </c>
      <c r="C2197" s="1" t="s">
        <v>5860</v>
      </c>
      <c r="D2197" s="1" t="s">
        <v>5861</v>
      </c>
      <c r="E2197" s="6">
        <v>1</v>
      </c>
    </row>
    <row r="2198" spans="1:5" x14ac:dyDescent="0.25">
      <c r="A2198" s="4" t="s">
        <v>7</v>
      </c>
      <c r="B2198" s="4" t="s">
        <v>5862</v>
      </c>
      <c r="C2198" s="1" t="s">
        <v>5863</v>
      </c>
      <c r="D2198" s="1" t="s">
        <v>5864</v>
      </c>
      <c r="E2198" s="6">
        <v>1</v>
      </c>
    </row>
    <row r="2199" spans="1:5" x14ac:dyDescent="0.25">
      <c r="A2199" s="4" t="s">
        <v>7</v>
      </c>
      <c r="B2199" s="4" t="s">
        <v>5865</v>
      </c>
      <c r="C2199" s="1" t="s">
        <v>5866</v>
      </c>
      <c r="D2199" s="1" t="s">
        <v>5867</v>
      </c>
      <c r="E2199" s="6">
        <v>1</v>
      </c>
    </row>
    <row r="2200" spans="1:5" x14ac:dyDescent="0.25">
      <c r="A2200" s="4" t="s">
        <v>7</v>
      </c>
      <c r="B2200" s="4" t="s">
        <v>5868</v>
      </c>
      <c r="C2200" s="1" t="s">
        <v>5869</v>
      </c>
      <c r="D2200" s="1" t="s">
        <v>5870</v>
      </c>
      <c r="E2200" s="6">
        <v>2</v>
      </c>
    </row>
    <row r="2201" spans="1:5" x14ac:dyDescent="0.25">
      <c r="A2201" s="4" t="s">
        <v>7</v>
      </c>
      <c r="B2201" s="4" t="s">
        <v>5871</v>
      </c>
      <c r="C2201" s="1" t="s">
        <v>5872</v>
      </c>
      <c r="D2201" s="1" t="s">
        <v>5873</v>
      </c>
      <c r="E2201" s="6">
        <v>1</v>
      </c>
    </row>
    <row r="2202" spans="1:5" x14ac:dyDescent="0.25">
      <c r="A2202" s="4" t="s">
        <v>7</v>
      </c>
      <c r="B2202" s="4" t="s">
        <v>5874</v>
      </c>
      <c r="C2202" s="1" t="s">
        <v>5875</v>
      </c>
      <c r="D2202" s="1" t="s">
        <v>5876</v>
      </c>
      <c r="E2202" s="6">
        <v>3</v>
      </c>
    </row>
    <row r="2203" spans="1:5" x14ac:dyDescent="0.25">
      <c r="A2203" s="4" t="s">
        <v>7</v>
      </c>
      <c r="B2203" s="4" t="s">
        <v>5877</v>
      </c>
      <c r="C2203" s="1" t="s">
        <v>5878</v>
      </c>
      <c r="D2203" s="1" t="s">
        <v>5879</v>
      </c>
      <c r="E2203" s="6">
        <v>45</v>
      </c>
    </row>
    <row r="2204" spans="1:5" x14ac:dyDescent="0.25">
      <c r="A2204" s="4" t="s">
        <v>7</v>
      </c>
      <c r="B2204" s="4" t="s">
        <v>5880</v>
      </c>
      <c r="C2204" s="1" t="s">
        <v>5881</v>
      </c>
      <c r="D2204" s="1" t="s">
        <v>5882</v>
      </c>
      <c r="E2204" s="6">
        <v>38</v>
      </c>
    </row>
    <row r="2205" spans="1:5" x14ac:dyDescent="0.25">
      <c r="A2205" s="4" t="s">
        <v>7</v>
      </c>
      <c r="B2205" s="4" t="s">
        <v>5883</v>
      </c>
      <c r="C2205" s="1" t="s">
        <v>5884</v>
      </c>
      <c r="D2205" s="1" t="s">
        <v>5885</v>
      </c>
      <c r="E2205" s="6">
        <v>24</v>
      </c>
    </row>
    <row r="2206" spans="1:5" x14ac:dyDescent="0.25">
      <c r="A2206" s="4" t="s">
        <v>7</v>
      </c>
      <c r="B2206" s="4" t="s">
        <v>5886</v>
      </c>
      <c r="C2206" s="1" t="s">
        <v>5887</v>
      </c>
      <c r="D2206" s="1" t="s">
        <v>5888</v>
      </c>
      <c r="E2206" s="6">
        <v>1</v>
      </c>
    </row>
    <row r="2207" spans="1:5" x14ac:dyDescent="0.25">
      <c r="A2207" s="4" t="s">
        <v>7</v>
      </c>
      <c r="B2207" s="4" t="s">
        <v>5889</v>
      </c>
      <c r="C2207" s="1" t="s">
        <v>5890</v>
      </c>
      <c r="D2207" s="1" t="s">
        <v>5891</v>
      </c>
      <c r="E2207" s="6">
        <v>1</v>
      </c>
    </row>
    <row r="2208" spans="1:5" x14ac:dyDescent="0.25">
      <c r="A2208" s="4" t="s">
        <v>7</v>
      </c>
      <c r="B2208" s="4" t="s">
        <v>5892</v>
      </c>
      <c r="C2208" s="1" t="s">
        <v>5893</v>
      </c>
      <c r="D2208" s="1" t="s">
        <v>5894</v>
      </c>
      <c r="E2208" s="6">
        <v>5</v>
      </c>
    </row>
    <row r="2209" spans="1:5" x14ac:dyDescent="0.25">
      <c r="A2209" s="4" t="s">
        <v>7</v>
      </c>
      <c r="B2209" s="4" t="s">
        <v>5895</v>
      </c>
      <c r="C2209" s="1" t="s">
        <v>5896</v>
      </c>
      <c r="D2209" s="1" t="s">
        <v>5897</v>
      </c>
      <c r="E2209" s="6">
        <v>7</v>
      </c>
    </row>
    <row r="2210" spans="1:5" x14ac:dyDescent="0.25">
      <c r="A2210" s="4" t="s">
        <v>7</v>
      </c>
      <c r="B2210" s="4" t="s">
        <v>5898</v>
      </c>
      <c r="C2210" s="1" t="s">
        <v>5899</v>
      </c>
      <c r="D2210" s="1" t="s">
        <v>5900</v>
      </c>
      <c r="E2210" s="6">
        <v>5</v>
      </c>
    </row>
    <row r="2211" spans="1:5" x14ac:dyDescent="0.25">
      <c r="A2211" s="4" t="s">
        <v>7</v>
      </c>
      <c r="B2211" s="4" t="s">
        <v>5901</v>
      </c>
      <c r="C2211" s="1" t="s">
        <v>5902</v>
      </c>
      <c r="D2211" s="1" t="s">
        <v>5903</v>
      </c>
      <c r="E2211" s="6">
        <v>7</v>
      </c>
    </row>
    <row r="2212" spans="1:5" x14ac:dyDescent="0.25">
      <c r="A2212" s="4" t="s">
        <v>7</v>
      </c>
      <c r="B2212" s="4" t="s">
        <v>5904</v>
      </c>
      <c r="C2212" s="1" t="s">
        <v>5905</v>
      </c>
      <c r="D2212" s="1" t="s">
        <v>5906</v>
      </c>
      <c r="E2212" s="6">
        <v>1</v>
      </c>
    </row>
    <row r="2213" spans="1:5" x14ac:dyDescent="0.25">
      <c r="A2213" s="4" t="s">
        <v>7</v>
      </c>
      <c r="B2213" s="4" t="s">
        <v>5907</v>
      </c>
      <c r="C2213" s="1" t="s">
        <v>5908</v>
      </c>
      <c r="D2213" s="1" t="s">
        <v>5909</v>
      </c>
      <c r="E2213" s="6">
        <v>1</v>
      </c>
    </row>
    <row r="2214" spans="1:5" x14ac:dyDescent="0.25">
      <c r="A2214" s="4" t="s">
        <v>7</v>
      </c>
      <c r="B2214" s="4" t="s">
        <v>5910</v>
      </c>
      <c r="C2214" s="1" t="s">
        <v>5911</v>
      </c>
      <c r="D2214" s="1" t="s">
        <v>5912</v>
      </c>
      <c r="E2214" s="6">
        <v>4</v>
      </c>
    </row>
    <row r="2215" spans="1:5" x14ac:dyDescent="0.25">
      <c r="A2215" s="4" t="s">
        <v>7</v>
      </c>
      <c r="B2215" s="4" t="s">
        <v>5913</v>
      </c>
      <c r="C2215" s="1" t="s">
        <v>5914</v>
      </c>
      <c r="D2215" s="1" t="s">
        <v>5915</v>
      </c>
      <c r="E2215" s="6">
        <v>11</v>
      </c>
    </row>
    <row r="2216" spans="1:5" x14ac:dyDescent="0.25">
      <c r="A2216" s="4" t="s">
        <v>7</v>
      </c>
      <c r="B2216" s="4" t="s">
        <v>5916</v>
      </c>
      <c r="C2216" s="1" t="s">
        <v>5917</v>
      </c>
      <c r="D2216" s="1" t="s">
        <v>5918</v>
      </c>
      <c r="E2216" s="6">
        <v>5</v>
      </c>
    </row>
    <row r="2217" spans="1:5" x14ac:dyDescent="0.25">
      <c r="A2217" s="4" t="s">
        <v>7</v>
      </c>
      <c r="B2217" s="4" t="s">
        <v>5919</v>
      </c>
      <c r="C2217" s="1" t="s">
        <v>5920</v>
      </c>
      <c r="D2217" s="1" t="s">
        <v>5921</v>
      </c>
      <c r="E2217" s="6">
        <v>4</v>
      </c>
    </row>
    <row r="2218" spans="1:5" x14ac:dyDescent="0.25">
      <c r="A2218" s="4" t="s">
        <v>7</v>
      </c>
      <c r="B2218" s="4" t="s">
        <v>5922</v>
      </c>
      <c r="C2218" s="1" t="s">
        <v>5923</v>
      </c>
      <c r="D2218" s="1" t="s">
        <v>5924</v>
      </c>
      <c r="E2218" s="6">
        <v>3</v>
      </c>
    </row>
    <row r="2219" spans="1:5" x14ac:dyDescent="0.25">
      <c r="A2219" s="4" t="s">
        <v>7</v>
      </c>
      <c r="B2219" s="4" t="s">
        <v>5925</v>
      </c>
      <c r="C2219" s="1" t="s">
        <v>5926</v>
      </c>
      <c r="D2219" s="1" t="s">
        <v>5927</v>
      </c>
      <c r="E2219" s="6">
        <v>1</v>
      </c>
    </row>
    <row r="2220" spans="1:5" x14ac:dyDescent="0.25">
      <c r="A2220" s="4" t="s">
        <v>7</v>
      </c>
      <c r="B2220" s="4" t="s">
        <v>5928</v>
      </c>
      <c r="C2220" s="1" t="s">
        <v>5929</v>
      </c>
      <c r="D2220" s="1" t="s">
        <v>5930</v>
      </c>
      <c r="E2220" s="6">
        <v>3</v>
      </c>
    </row>
    <row r="2221" spans="1:5" x14ac:dyDescent="0.25">
      <c r="A2221" s="4" t="s">
        <v>7</v>
      </c>
      <c r="B2221" s="4" t="s">
        <v>5931</v>
      </c>
      <c r="C2221" s="1" t="s">
        <v>5932</v>
      </c>
      <c r="D2221" s="1" t="s">
        <v>5933</v>
      </c>
      <c r="E2221" s="6">
        <v>4</v>
      </c>
    </row>
    <row r="2222" spans="1:5" x14ac:dyDescent="0.25">
      <c r="A2222" s="4" t="s">
        <v>7</v>
      </c>
      <c r="B2222" s="4" t="s">
        <v>5934</v>
      </c>
      <c r="C2222" s="1" t="s">
        <v>5935</v>
      </c>
      <c r="D2222" s="1" t="s">
        <v>5936</v>
      </c>
      <c r="E2222" s="6">
        <v>2</v>
      </c>
    </row>
    <row r="2223" spans="1:5" x14ac:dyDescent="0.25">
      <c r="A2223" s="4" t="s">
        <v>7</v>
      </c>
      <c r="B2223" s="4" t="s">
        <v>5937</v>
      </c>
      <c r="C2223" s="1" t="s">
        <v>5938</v>
      </c>
      <c r="D2223" s="1" t="s">
        <v>5939</v>
      </c>
      <c r="E2223" s="6">
        <v>1</v>
      </c>
    </row>
    <row r="2224" spans="1:5" x14ac:dyDescent="0.25">
      <c r="A2224" s="4" t="s">
        <v>7</v>
      </c>
      <c r="B2224" s="4" t="s">
        <v>5940</v>
      </c>
      <c r="C2224" s="1" t="s">
        <v>5941</v>
      </c>
      <c r="D2224" s="1" t="s">
        <v>5942</v>
      </c>
      <c r="E2224" s="6">
        <v>1</v>
      </c>
    </row>
    <row r="2225" spans="1:5" x14ac:dyDescent="0.25">
      <c r="A2225" s="4" t="s">
        <v>7</v>
      </c>
      <c r="B2225" s="4" t="s">
        <v>5943</v>
      </c>
      <c r="C2225" s="1" t="s">
        <v>5944</v>
      </c>
      <c r="D2225" s="1" t="s">
        <v>5945</v>
      </c>
      <c r="E2225" s="6">
        <v>3</v>
      </c>
    </row>
    <row r="2226" spans="1:5" x14ac:dyDescent="0.25">
      <c r="A2226" s="4" t="s">
        <v>7</v>
      </c>
      <c r="B2226" s="4" t="s">
        <v>5946</v>
      </c>
      <c r="C2226" s="1" t="s">
        <v>5947</v>
      </c>
      <c r="D2226" s="1" t="s">
        <v>5948</v>
      </c>
      <c r="E2226" s="6">
        <v>3</v>
      </c>
    </row>
    <row r="2227" spans="1:5" x14ac:dyDescent="0.25">
      <c r="A2227" s="4" t="s">
        <v>7</v>
      </c>
      <c r="B2227" s="4" t="s">
        <v>5949</v>
      </c>
      <c r="C2227" s="1" t="s">
        <v>5950</v>
      </c>
      <c r="D2227" s="1" t="s">
        <v>5951</v>
      </c>
      <c r="E2227" s="6">
        <v>4</v>
      </c>
    </row>
    <row r="2228" spans="1:5" x14ac:dyDescent="0.25">
      <c r="A2228" s="4" t="s">
        <v>7</v>
      </c>
      <c r="B2228" s="4" t="s">
        <v>5952</v>
      </c>
      <c r="C2228" s="1" t="s">
        <v>5953</v>
      </c>
      <c r="D2228" s="1" t="s">
        <v>5954</v>
      </c>
      <c r="E2228" s="6">
        <v>2</v>
      </c>
    </row>
    <row r="2229" spans="1:5" x14ac:dyDescent="0.25">
      <c r="A2229" s="4" t="s">
        <v>7</v>
      </c>
      <c r="B2229" s="4" t="s">
        <v>5955</v>
      </c>
      <c r="C2229" s="1" t="s">
        <v>5956</v>
      </c>
      <c r="D2229" s="1" t="s">
        <v>5957</v>
      </c>
      <c r="E2229" s="6">
        <v>2</v>
      </c>
    </row>
    <row r="2230" spans="1:5" x14ac:dyDescent="0.25">
      <c r="A2230" s="4" t="s">
        <v>7</v>
      </c>
      <c r="B2230" s="4" t="s">
        <v>5958</v>
      </c>
      <c r="C2230" s="1" t="s">
        <v>5959</v>
      </c>
      <c r="D2230" s="1" t="s">
        <v>5960</v>
      </c>
      <c r="E2230" s="6">
        <v>2</v>
      </c>
    </row>
    <row r="2231" spans="1:5" x14ac:dyDescent="0.25">
      <c r="A2231" s="4" t="s">
        <v>7</v>
      </c>
      <c r="B2231" s="4" t="s">
        <v>5961</v>
      </c>
      <c r="C2231" s="1" t="s">
        <v>5962</v>
      </c>
      <c r="D2231" s="1" t="s">
        <v>5963</v>
      </c>
      <c r="E2231" s="6">
        <v>9</v>
      </c>
    </row>
    <row r="2232" spans="1:5" x14ac:dyDescent="0.25">
      <c r="A2232" s="4" t="s">
        <v>7</v>
      </c>
      <c r="B2232" s="4" t="s">
        <v>5964</v>
      </c>
      <c r="C2232" s="1" t="s">
        <v>5965</v>
      </c>
      <c r="D2232" s="1" t="s">
        <v>5966</v>
      </c>
      <c r="E2232" s="6">
        <v>4</v>
      </c>
    </row>
    <row r="2233" spans="1:5" x14ac:dyDescent="0.25">
      <c r="A2233" s="4" t="s">
        <v>7</v>
      </c>
      <c r="B2233" s="4" t="s">
        <v>5967</v>
      </c>
      <c r="C2233" s="1" t="s">
        <v>5968</v>
      </c>
      <c r="D2233" s="1" t="s">
        <v>5969</v>
      </c>
      <c r="E2233" s="6">
        <v>2</v>
      </c>
    </row>
    <row r="2234" spans="1:5" x14ac:dyDescent="0.25">
      <c r="A2234" s="4" t="s">
        <v>7</v>
      </c>
      <c r="B2234" s="4" t="s">
        <v>5970</v>
      </c>
      <c r="C2234" s="1" t="s">
        <v>5971</v>
      </c>
      <c r="D2234" s="1" t="s">
        <v>5972</v>
      </c>
      <c r="E2234" s="6">
        <v>2</v>
      </c>
    </row>
    <row r="2235" spans="1:5" x14ac:dyDescent="0.25">
      <c r="A2235" s="4" t="s">
        <v>7</v>
      </c>
      <c r="B2235" s="4" t="s">
        <v>5973</v>
      </c>
      <c r="C2235" s="1" t="s">
        <v>5974</v>
      </c>
      <c r="D2235" s="1" t="s">
        <v>5975</v>
      </c>
      <c r="E2235" s="6">
        <v>5</v>
      </c>
    </row>
    <row r="2236" spans="1:5" x14ac:dyDescent="0.25">
      <c r="A2236" s="4" t="s">
        <v>7</v>
      </c>
      <c r="B2236" s="4" t="s">
        <v>5976</v>
      </c>
      <c r="C2236" s="1" t="s">
        <v>5977</v>
      </c>
      <c r="D2236" s="1" t="s">
        <v>5978</v>
      </c>
      <c r="E2236" s="6">
        <v>2</v>
      </c>
    </row>
    <row r="2237" spans="1:5" x14ac:dyDescent="0.25">
      <c r="A2237" s="4" t="s">
        <v>7</v>
      </c>
      <c r="B2237" s="4" t="s">
        <v>5979</v>
      </c>
      <c r="C2237" s="1" t="s">
        <v>5980</v>
      </c>
      <c r="D2237" s="1" t="s">
        <v>5981</v>
      </c>
      <c r="E2237" s="6">
        <v>6</v>
      </c>
    </row>
    <row r="2238" spans="1:5" x14ac:dyDescent="0.25">
      <c r="A2238" s="4" t="s">
        <v>7</v>
      </c>
      <c r="B2238" s="4" t="s">
        <v>5982</v>
      </c>
      <c r="C2238" s="1" t="s">
        <v>5983</v>
      </c>
      <c r="D2238" s="1" t="s">
        <v>5984</v>
      </c>
      <c r="E2238" s="6">
        <v>5</v>
      </c>
    </row>
    <row r="2239" spans="1:5" x14ac:dyDescent="0.25">
      <c r="A2239" s="4" t="s">
        <v>7</v>
      </c>
      <c r="B2239" s="4" t="s">
        <v>5985</v>
      </c>
      <c r="C2239" s="1" t="s">
        <v>5986</v>
      </c>
      <c r="D2239" s="1" t="s">
        <v>5987</v>
      </c>
      <c r="E2239" s="6">
        <v>3</v>
      </c>
    </row>
    <row r="2240" spans="1:5" x14ac:dyDescent="0.25">
      <c r="A2240" s="4" t="s">
        <v>7</v>
      </c>
      <c r="B2240" s="4" t="s">
        <v>5988</v>
      </c>
      <c r="C2240" s="1" t="s">
        <v>5989</v>
      </c>
      <c r="D2240" s="1" t="s">
        <v>5990</v>
      </c>
      <c r="E2240" s="6">
        <v>1</v>
      </c>
    </row>
    <row r="2241" spans="1:5" x14ac:dyDescent="0.25">
      <c r="A2241" s="4" t="s">
        <v>7</v>
      </c>
      <c r="B2241" s="4" t="s">
        <v>5991</v>
      </c>
      <c r="C2241" s="1" t="s">
        <v>5992</v>
      </c>
      <c r="D2241" s="1" t="s">
        <v>5993</v>
      </c>
      <c r="E2241" s="6">
        <v>1</v>
      </c>
    </row>
    <row r="2242" spans="1:5" x14ac:dyDescent="0.25">
      <c r="A2242" s="4" t="s">
        <v>7</v>
      </c>
      <c r="B2242" s="4" t="s">
        <v>5994</v>
      </c>
      <c r="C2242" s="1" t="s">
        <v>5995</v>
      </c>
      <c r="D2242" s="1" t="s">
        <v>5996</v>
      </c>
      <c r="E2242" s="6">
        <v>2</v>
      </c>
    </row>
    <row r="2243" spans="1:5" x14ac:dyDescent="0.25">
      <c r="A2243" s="4" t="s">
        <v>7</v>
      </c>
      <c r="B2243" s="4" t="s">
        <v>5997</v>
      </c>
      <c r="C2243" s="1" t="s">
        <v>5998</v>
      </c>
      <c r="D2243" s="1" t="s">
        <v>5999</v>
      </c>
      <c r="E2243" s="6">
        <v>2</v>
      </c>
    </row>
    <row r="2244" spans="1:5" x14ac:dyDescent="0.25">
      <c r="A2244" s="4" t="s">
        <v>7</v>
      </c>
      <c r="B2244" s="4" t="s">
        <v>6000</v>
      </c>
      <c r="C2244" s="1" t="s">
        <v>6001</v>
      </c>
      <c r="D2244" s="1" t="s">
        <v>6002</v>
      </c>
      <c r="E2244" s="6">
        <v>3</v>
      </c>
    </row>
    <row r="2245" spans="1:5" x14ac:dyDescent="0.25">
      <c r="A2245" s="4" t="s">
        <v>7</v>
      </c>
      <c r="B2245" s="4" t="s">
        <v>6003</v>
      </c>
      <c r="C2245" s="1" t="s">
        <v>6004</v>
      </c>
      <c r="D2245" s="1" t="s">
        <v>6005</v>
      </c>
      <c r="E2245" s="6">
        <v>4</v>
      </c>
    </row>
    <row r="2246" spans="1:5" x14ac:dyDescent="0.25">
      <c r="A2246" s="4" t="s">
        <v>7</v>
      </c>
      <c r="B2246" s="4" t="s">
        <v>6006</v>
      </c>
      <c r="C2246" s="1" t="s">
        <v>6007</v>
      </c>
      <c r="D2246" s="1" t="s">
        <v>6007</v>
      </c>
      <c r="E2246" s="6">
        <v>2</v>
      </c>
    </row>
    <row r="2247" spans="1:5" x14ac:dyDescent="0.25">
      <c r="A2247" s="4" t="s">
        <v>7</v>
      </c>
      <c r="B2247" s="4" t="s">
        <v>6008</v>
      </c>
      <c r="C2247" s="1" t="s">
        <v>6009</v>
      </c>
      <c r="D2247" s="1" t="s">
        <v>6010</v>
      </c>
      <c r="E2247" s="6">
        <v>149</v>
      </c>
    </row>
    <row r="2248" spans="1:5" x14ac:dyDescent="0.25">
      <c r="A2248" s="4" t="s">
        <v>7</v>
      </c>
      <c r="B2248" s="4" t="s">
        <v>6011</v>
      </c>
      <c r="C2248" s="1" t="s">
        <v>6012</v>
      </c>
      <c r="D2248" s="1" t="s">
        <v>6013</v>
      </c>
      <c r="E2248" s="6">
        <v>2</v>
      </c>
    </row>
    <row r="2249" spans="1:5" x14ac:dyDescent="0.25">
      <c r="A2249" s="4" t="s">
        <v>7</v>
      </c>
      <c r="B2249" s="4" t="s">
        <v>6014</v>
      </c>
      <c r="C2249" s="1" t="s">
        <v>6015</v>
      </c>
      <c r="D2249" s="1" t="s">
        <v>6016</v>
      </c>
      <c r="E2249" s="6">
        <v>2</v>
      </c>
    </row>
    <row r="2250" spans="1:5" x14ac:dyDescent="0.25">
      <c r="A2250" s="4" t="s">
        <v>7</v>
      </c>
      <c r="B2250" s="4" t="s">
        <v>6017</v>
      </c>
      <c r="C2250" s="1" t="s">
        <v>6018</v>
      </c>
      <c r="D2250" s="1" t="s">
        <v>6019</v>
      </c>
      <c r="E2250" s="6">
        <v>3</v>
      </c>
    </row>
    <row r="2251" spans="1:5" x14ac:dyDescent="0.25">
      <c r="A2251" s="4" t="s">
        <v>7</v>
      </c>
      <c r="B2251" s="4" t="s">
        <v>6020</v>
      </c>
      <c r="C2251" s="1" t="s">
        <v>6021</v>
      </c>
      <c r="D2251" s="1" t="s">
        <v>6022</v>
      </c>
      <c r="E2251" s="6">
        <v>2</v>
      </c>
    </row>
    <row r="2252" spans="1:5" x14ac:dyDescent="0.25">
      <c r="A2252" s="4" t="s">
        <v>7</v>
      </c>
      <c r="B2252" s="4" t="s">
        <v>6023</v>
      </c>
      <c r="C2252" s="1" t="s">
        <v>6024</v>
      </c>
      <c r="D2252" s="1" t="s">
        <v>6025</v>
      </c>
      <c r="E2252" s="6">
        <v>43</v>
      </c>
    </row>
    <row r="2253" spans="1:5" x14ac:dyDescent="0.25">
      <c r="A2253" s="4" t="s">
        <v>7</v>
      </c>
      <c r="B2253" s="4" t="s">
        <v>6026</v>
      </c>
      <c r="C2253" s="1" t="s">
        <v>6027</v>
      </c>
      <c r="D2253" s="1" t="s">
        <v>6027</v>
      </c>
      <c r="E2253" s="6">
        <v>43</v>
      </c>
    </row>
    <row r="2254" spans="1:5" x14ac:dyDescent="0.25">
      <c r="A2254" s="4" t="s">
        <v>7</v>
      </c>
      <c r="B2254" s="4" t="s">
        <v>6028</v>
      </c>
      <c r="C2254" s="1" t="s">
        <v>6029</v>
      </c>
      <c r="D2254" s="1" t="s">
        <v>6030</v>
      </c>
      <c r="E2254" s="6">
        <v>3</v>
      </c>
    </row>
    <row r="2255" spans="1:5" x14ac:dyDescent="0.25">
      <c r="A2255" s="4" t="s">
        <v>7</v>
      </c>
      <c r="B2255" s="4" t="s">
        <v>6031</v>
      </c>
      <c r="C2255" s="1" t="s">
        <v>6032</v>
      </c>
      <c r="D2255" s="1" t="s">
        <v>6033</v>
      </c>
      <c r="E2255" s="6">
        <v>12</v>
      </c>
    </row>
    <row r="2256" spans="1:5" x14ac:dyDescent="0.25">
      <c r="A2256" s="4" t="s">
        <v>7</v>
      </c>
      <c r="B2256" s="4" t="s">
        <v>6034</v>
      </c>
      <c r="C2256" s="1" t="s">
        <v>6035</v>
      </c>
      <c r="D2256" s="1" t="s">
        <v>6036</v>
      </c>
      <c r="E2256" s="6">
        <v>13</v>
      </c>
    </row>
    <row r="2257" spans="1:5" x14ac:dyDescent="0.25">
      <c r="A2257" s="4" t="s">
        <v>7</v>
      </c>
      <c r="B2257" s="4" t="s">
        <v>6037</v>
      </c>
      <c r="C2257" s="1" t="s">
        <v>6038</v>
      </c>
      <c r="D2257" s="1" t="s">
        <v>6039</v>
      </c>
      <c r="E2257" s="6">
        <v>6</v>
      </c>
    </row>
    <row r="2258" spans="1:5" x14ac:dyDescent="0.25">
      <c r="A2258" s="4" t="s">
        <v>7</v>
      </c>
      <c r="B2258" s="4" t="s">
        <v>6040</v>
      </c>
      <c r="C2258" s="1" t="s">
        <v>6041</v>
      </c>
      <c r="D2258" s="1" t="s">
        <v>6042</v>
      </c>
      <c r="E2258" s="6">
        <v>4</v>
      </c>
    </row>
    <row r="2259" spans="1:5" x14ac:dyDescent="0.25">
      <c r="A2259" s="4" t="s">
        <v>7</v>
      </c>
      <c r="B2259" s="4" t="s">
        <v>6043</v>
      </c>
      <c r="C2259" s="1" t="s">
        <v>6044</v>
      </c>
      <c r="D2259" s="1" t="s">
        <v>6045</v>
      </c>
      <c r="E2259" s="6">
        <v>14</v>
      </c>
    </row>
    <row r="2260" spans="1:5" x14ac:dyDescent="0.25">
      <c r="A2260" s="4" t="s">
        <v>7</v>
      </c>
      <c r="B2260" s="4" t="s">
        <v>6046</v>
      </c>
      <c r="C2260" s="1" t="s">
        <v>6047</v>
      </c>
      <c r="D2260" s="1" t="s">
        <v>6048</v>
      </c>
      <c r="E2260" s="6">
        <v>7</v>
      </c>
    </row>
    <row r="2261" spans="1:5" x14ac:dyDescent="0.25">
      <c r="A2261" s="4" t="s">
        <v>7</v>
      </c>
      <c r="B2261" s="4" t="s">
        <v>6049</v>
      </c>
      <c r="C2261" s="1" t="s">
        <v>6050</v>
      </c>
      <c r="D2261" s="1" t="s">
        <v>6051</v>
      </c>
      <c r="E2261" s="6">
        <v>1</v>
      </c>
    </row>
    <row r="2262" spans="1:5" x14ac:dyDescent="0.25">
      <c r="A2262" s="4" t="s">
        <v>7</v>
      </c>
      <c r="B2262" s="4" t="s">
        <v>6052</v>
      </c>
      <c r="C2262" s="1" t="s">
        <v>6053</v>
      </c>
      <c r="D2262" s="1" t="s">
        <v>6054</v>
      </c>
      <c r="E2262" s="6">
        <v>1</v>
      </c>
    </row>
    <row r="2263" spans="1:5" x14ac:dyDescent="0.25">
      <c r="A2263" s="4" t="s">
        <v>7</v>
      </c>
      <c r="B2263" s="4" t="s">
        <v>6055</v>
      </c>
      <c r="C2263" s="1" t="s">
        <v>6056</v>
      </c>
      <c r="D2263" s="1" t="s">
        <v>6057</v>
      </c>
      <c r="E2263" s="6">
        <v>1</v>
      </c>
    </row>
    <row r="2264" spans="1:5" x14ac:dyDescent="0.25">
      <c r="A2264" s="4" t="s">
        <v>7</v>
      </c>
      <c r="B2264" s="4" t="s">
        <v>6058</v>
      </c>
      <c r="C2264" s="1" t="s">
        <v>6059</v>
      </c>
      <c r="D2264" s="1" t="s">
        <v>6060</v>
      </c>
      <c r="E2264" s="6">
        <v>1</v>
      </c>
    </row>
    <row r="2265" spans="1:5" x14ac:dyDescent="0.25">
      <c r="A2265" s="4" t="s">
        <v>7</v>
      </c>
      <c r="B2265" s="4" t="s">
        <v>6061</v>
      </c>
      <c r="C2265" s="1" t="s">
        <v>6062</v>
      </c>
      <c r="D2265" s="1" t="s">
        <v>6063</v>
      </c>
      <c r="E2265" s="6">
        <v>9</v>
      </c>
    </row>
    <row r="2266" spans="1:5" x14ac:dyDescent="0.25">
      <c r="A2266" s="4" t="s">
        <v>7</v>
      </c>
      <c r="B2266" s="4" t="s">
        <v>6064</v>
      </c>
      <c r="C2266" s="1" t="s">
        <v>6065</v>
      </c>
      <c r="D2266" s="1" t="s">
        <v>6066</v>
      </c>
      <c r="E2266" s="6">
        <v>4</v>
      </c>
    </row>
    <row r="2267" spans="1:5" x14ac:dyDescent="0.25">
      <c r="A2267" s="4" t="s">
        <v>7</v>
      </c>
      <c r="B2267" s="4" t="s">
        <v>6067</v>
      </c>
      <c r="C2267" s="1" t="s">
        <v>6068</v>
      </c>
      <c r="D2267" s="1" t="s">
        <v>6069</v>
      </c>
      <c r="E2267" s="6">
        <v>3</v>
      </c>
    </row>
    <row r="2268" spans="1:5" x14ac:dyDescent="0.25">
      <c r="A2268" s="4" t="s">
        <v>7</v>
      </c>
      <c r="B2268" s="4" t="s">
        <v>6070</v>
      </c>
      <c r="C2268" s="1" t="s">
        <v>6071</v>
      </c>
      <c r="D2268" s="1" t="s">
        <v>6072</v>
      </c>
      <c r="E2268" s="6">
        <v>3</v>
      </c>
    </row>
    <row r="2269" spans="1:5" x14ac:dyDescent="0.25">
      <c r="A2269" s="4" t="s">
        <v>7</v>
      </c>
      <c r="B2269" s="4" t="s">
        <v>6073</v>
      </c>
      <c r="C2269" s="1" t="s">
        <v>6074</v>
      </c>
      <c r="D2269" s="1" t="s">
        <v>6075</v>
      </c>
      <c r="E2269" s="6">
        <v>9</v>
      </c>
    </row>
    <row r="2270" spans="1:5" x14ac:dyDescent="0.25">
      <c r="A2270" s="4" t="s">
        <v>7</v>
      </c>
      <c r="B2270" s="4" t="s">
        <v>6076</v>
      </c>
      <c r="C2270" s="1" t="s">
        <v>6077</v>
      </c>
      <c r="D2270" s="1" t="s">
        <v>6078</v>
      </c>
      <c r="E2270" s="6">
        <v>6</v>
      </c>
    </row>
    <row r="2271" spans="1:5" x14ac:dyDescent="0.25">
      <c r="A2271" s="4" t="s">
        <v>7</v>
      </c>
      <c r="B2271" s="4" t="s">
        <v>6079</v>
      </c>
      <c r="C2271" s="1" t="s">
        <v>6080</v>
      </c>
      <c r="D2271" s="1" t="s">
        <v>6081</v>
      </c>
      <c r="E2271" s="6">
        <v>19</v>
      </c>
    </row>
    <row r="2272" spans="1:5" x14ac:dyDescent="0.25">
      <c r="A2272" s="4" t="s">
        <v>7</v>
      </c>
      <c r="B2272" s="4" t="s">
        <v>6082</v>
      </c>
      <c r="C2272" s="1" t="s">
        <v>6083</v>
      </c>
      <c r="D2272" s="1" t="s">
        <v>6084</v>
      </c>
      <c r="E2272" s="6">
        <v>2</v>
      </c>
    </row>
    <row r="2273" spans="1:5" x14ac:dyDescent="0.25">
      <c r="A2273" s="4" t="s">
        <v>7</v>
      </c>
      <c r="B2273" s="4" t="s">
        <v>6085</v>
      </c>
      <c r="C2273" s="1" t="s">
        <v>6086</v>
      </c>
      <c r="D2273" s="1" t="s">
        <v>6087</v>
      </c>
      <c r="E2273" s="6">
        <v>11</v>
      </c>
    </row>
    <row r="2274" spans="1:5" x14ac:dyDescent="0.25">
      <c r="A2274" s="4" t="s">
        <v>7</v>
      </c>
      <c r="B2274" s="4" t="s">
        <v>6088</v>
      </c>
      <c r="C2274" s="1" t="s">
        <v>6089</v>
      </c>
      <c r="D2274" s="1" t="s">
        <v>6090</v>
      </c>
      <c r="E2274" s="6">
        <v>2</v>
      </c>
    </row>
    <row r="2275" spans="1:5" x14ac:dyDescent="0.25">
      <c r="A2275" s="4" t="s">
        <v>7</v>
      </c>
      <c r="B2275" s="4" t="s">
        <v>6091</v>
      </c>
      <c r="C2275" s="1" t="s">
        <v>6092</v>
      </c>
      <c r="D2275" s="1" t="s">
        <v>6093</v>
      </c>
      <c r="E2275" s="6">
        <v>1</v>
      </c>
    </row>
    <row r="2276" spans="1:5" x14ac:dyDescent="0.25">
      <c r="A2276" s="4" t="s">
        <v>7</v>
      </c>
      <c r="B2276" s="4" t="s">
        <v>6094</v>
      </c>
      <c r="C2276" s="1" t="s">
        <v>6095</v>
      </c>
      <c r="D2276" s="1" t="s">
        <v>6096</v>
      </c>
      <c r="E2276" s="6">
        <v>2</v>
      </c>
    </row>
    <row r="2277" spans="1:5" x14ac:dyDescent="0.25">
      <c r="A2277" s="4" t="s">
        <v>7</v>
      </c>
      <c r="B2277" s="4" t="s">
        <v>6097</v>
      </c>
      <c r="C2277" s="1" t="s">
        <v>6098</v>
      </c>
      <c r="D2277" s="1" t="s">
        <v>6099</v>
      </c>
      <c r="E2277" s="6">
        <v>1</v>
      </c>
    </row>
    <row r="2278" spans="1:5" x14ac:dyDescent="0.25">
      <c r="A2278" s="4" t="s">
        <v>7</v>
      </c>
      <c r="B2278" s="4" t="s">
        <v>6100</v>
      </c>
      <c r="C2278" s="1" t="s">
        <v>6101</v>
      </c>
      <c r="D2278" s="1" t="s">
        <v>6102</v>
      </c>
      <c r="E2278" s="6">
        <v>1</v>
      </c>
    </row>
    <row r="2279" spans="1:5" x14ac:dyDescent="0.25">
      <c r="A2279" s="4" t="s">
        <v>7</v>
      </c>
      <c r="B2279" s="4" t="s">
        <v>6103</v>
      </c>
      <c r="C2279" s="1" t="s">
        <v>6104</v>
      </c>
      <c r="D2279" s="1" t="s">
        <v>6105</v>
      </c>
      <c r="E2279" s="6">
        <v>4</v>
      </c>
    </row>
    <row r="2280" spans="1:5" x14ac:dyDescent="0.25">
      <c r="A2280" s="4" t="s">
        <v>7</v>
      </c>
      <c r="B2280" s="4" t="s">
        <v>6106</v>
      </c>
      <c r="C2280" s="1" t="s">
        <v>6107</v>
      </c>
      <c r="D2280" s="1" t="s">
        <v>6108</v>
      </c>
      <c r="E2280" s="6">
        <v>2</v>
      </c>
    </row>
    <row r="2281" spans="1:5" x14ac:dyDescent="0.25">
      <c r="A2281" s="4" t="s">
        <v>7</v>
      </c>
      <c r="B2281" s="4" t="s">
        <v>6109</v>
      </c>
      <c r="C2281" s="1" t="s">
        <v>6110</v>
      </c>
      <c r="D2281" s="1" t="s">
        <v>6111</v>
      </c>
      <c r="E2281" s="6">
        <v>38</v>
      </c>
    </row>
    <row r="2282" spans="1:5" x14ac:dyDescent="0.25">
      <c r="A2282" s="4" t="s">
        <v>7</v>
      </c>
      <c r="B2282" s="4" t="s">
        <v>6112</v>
      </c>
      <c r="C2282" s="1" t="s">
        <v>6113</v>
      </c>
      <c r="D2282" s="1" t="s">
        <v>6114</v>
      </c>
      <c r="E2282" s="6">
        <v>1</v>
      </c>
    </row>
    <row r="2283" spans="1:5" x14ac:dyDescent="0.25">
      <c r="A2283" s="4" t="s">
        <v>7</v>
      </c>
      <c r="B2283" s="4" t="s">
        <v>6115</v>
      </c>
      <c r="C2283" s="1" t="s">
        <v>6116</v>
      </c>
      <c r="D2283" s="1" t="s">
        <v>6117</v>
      </c>
      <c r="E2283" s="6">
        <v>3</v>
      </c>
    </row>
    <row r="2284" spans="1:5" x14ac:dyDescent="0.25">
      <c r="A2284" s="4" t="s">
        <v>7</v>
      </c>
      <c r="B2284" s="4" t="s">
        <v>6118</v>
      </c>
      <c r="C2284" s="1" t="s">
        <v>6119</v>
      </c>
      <c r="D2284" s="1" t="s">
        <v>6120</v>
      </c>
      <c r="E2284" s="6">
        <v>2</v>
      </c>
    </row>
    <row r="2285" spans="1:5" x14ac:dyDescent="0.25">
      <c r="A2285" s="4" t="s">
        <v>7</v>
      </c>
      <c r="B2285" s="4" t="s">
        <v>6121</v>
      </c>
      <c r="C2285" s="1" t="s">
        <v>6122</v>
      </c>
      <c r="D2285" s="1" t="s">
        <v>6123</v>
      </c>
      <c r="E2285" s="6">
        <v>3</v>
      </c>
    </row>
    <row r="2286" spans="1:5" x14ac:dyDescent="0.25">
      <c r="A2286" s="4" t="s">
        <v>7</v>
      </c>
      <c r="B2286" s="4" t="s">
        <v>6124</v>
      </c>
      <c r="C2286" s="1" t="s">
        <v>6125</v>
      </c>
      <c r="D2286" s="1" t="s">
        <v>6126</v>
      </c>
      <c r="E2286" s="6">
        <v>2</v>
      </c>
    </row>
    <row r="2287" spans="1:5" x14ac:dyDescent="0.25">
      <c r="A2287" s="4" t="s">
        <v>7</v>
      </c>
      <c r="B2287" s="4" t="s">
        <v>6127</v>
      </c>
      <c r="C2287" s="1" t="s">
        <v>6128</v>
      </c>
      <c r="D2287" s="1" t="s">
        <v>6129</v>
      </c>
      <c r="E2287" s="6">
        <v>202</v>
      </c>
    </row>
    <row r="2288" spans="1:5" x14ac:dyDescent="0.25">
      <c r="A2288" s="4" t="s">
        <v>7</v>
      </c>
      <c r="B2288" s="4" t="s">
        <v>6130</v>
      </c>
      <c r="C2288" s="1" t="s">
        <v>6131</v>
      </c>
      <c r="D2288" s="1" t="s">
        <v>6132</v>
      </c>
      <c r="E2288" s="6">
        <v>1</v>
      </c>
    </row>
    <row r="2289" spans="1:5" x14ac:dyDescent="0.25">
      <c r="A2289" s="4" t="s">
        <v>7</v>
      </c>
      <c r="B2289" s="4" t="s">
        <v>6133</v>
      </c>
      <c r="C2289" s="1" t="s">
        <v>6134</v>
      </c>
      <c r="D2289" s="1" t="s">
        <v>6135</v>
      </c>
      <c r="E2289" s="6">
        <v>2</v>
      </c>
    </row>
    <row r="2290" spans="1:5" x14ac:dyDescent="0.25">
      <c r="A2290" s="4" t="s">
        <v>7</v>
      </c>
      <c r="B2290" s="4" t="s">
        <v>6136</v>
      </c>
      <c r="C2290" s="1" t="s">
        <v>6137</v>
      </c>
      <c r="D2290" s="1" t="s">
        <v>6138</v>
      </c>
      <c r="E2290" s="6">
        <v>199</v>
      </c>
    </row>
    <row r="2291" spans="1:5" x14ac:dyDescent="0.25">
      <c r="A2291" s="4" t="s">
        <v>7</v>
      </c>
      <c r="B2291" s="4" t="s">
        <v>6139</v>
      </c>
      <c r="C2291" s="1" t="s">
        <v>6140</v>
      </c>
      <c r="D2291" s="1" t="s">
        <v>6141</v>
      </c>
      <c r="E2291" s="6">
        <v>2</v>
      </c>
    </row>
    <row r="2292" spans="1:5" x14ac:dyDescent="0.25">
      <c r="A2292" s="4" t="s">
        <v>7</v>
      </c>
      <c r="B2292" s="4" t="s">
        <v>6142</v>
      </c>
      <c r="C2292" s="1" t="s">
        <v>6143</v>
      </c>
      <c r="D2292" s="1" t="s">
        <v>6144</v>
      </c>
      <c r="E2292" s="6">
        <v>2</v>
      </c>
    </row>
    <row r="2293" spans="1:5" x14ac:dyDescent="0.25">
      <c r="A2293" s="4" t="s">
        <v>7</v>
      </c>
      <c r="B2293" s="4" t="s">
        <v>6145</v>
      </c>
      <c r="C2293" s="1" t="s">
        <v>6146</v>
      </c>
      <c r="D2293" s="1" t="s">
        <v>6147</v>
      </c>
      <c r="E2293" s="6">
        <v>3</v>
      </c>
    </row>
    <row r="2294" spans="1:5" x14ac:dyDescent="0.25">
      <c r="A2294" s="4" t="s">
        <v>7</v>
      </c>
      <c r="B2294" s="4" t="s">
        <v>6148</v>
      </c>
      <c r="C2294" s="1" t="s">
        <v>6149</v>
      </c>
      <c r="D2294" s="1" t="s">
        <v>6150</v>
      </c>
      <c r="E2294" s="6">
        <v>33</v>
      </c>
    </row>
    <row r="2295" spans="1:5" x14ac:dyDescent="0.25">
      <c r="A2295" s="4" t="s">
        <v>7</v>
      </c>
      <c r="B2295" s="4" t="s">
        <v>6151</v>
      </c>
      <c r="C2295" s="1" t="s">
        <v>6152</v>
      </c>
      <c r="D2295" s="1" t="s">
        <v>6153</v>
      </c>
      <c r="E2295" s="6">
        <v>4</v>
      </c>
    </row>
    <row r="2296" spans="1:5" x14ac:dyDescent="0.25">
      <c r="A2296" s="4" t="s">
        <v>7</v>
      </c>
      <c r="B2296" s="4" t="s">
        <v>6154</v>
      </c>
      <c r="C2296" s="1" t="s">
        <v>6155</v>
      </c>
      <c r="D2296" s="1" t="s">
        <v>6156</v>
      </c>
      <c r="E2296" s="6">
        <v>1</v>
      </c>
    </row>
    <row r="2297" spans="1:5" x14ac:dyDescent="0.25">
      <c r="A2297" s="4" t="s">
        <v>7</v>
      </c>
      <c r="B2297" s="4" t="s">
        <v>6157</v>
      </c>
      <c r="C2297" s="1" t="s">
        <v>6158</v>
      </c>
      <c r="D2297" s="1" t="s">
        <v>6159</v>
      </c>
      <c r="E2297" s="6">
        <v>1</v>
      </c>
    </row>
    <row r="2298" spans="1:5" x14ac:dyDescent="0.25">
      <c r="A2298" s="4" t="s">
        <v>7</v>
      </c>
      <c r="B2298" s="4" t="s">
        <v>6160</v>
      </c>
      <c r="C2298" s="1" t="s">
        <v>6161</v>
      </c>
      <c r="D2298" s="1" t="s">
        <v>6162</v>
      </c>
      <c r="E2298" s="6">
        <v>1</v>
      </c>
    </row>
    <row r="2299" spans="1:5" x14ac:dyDescent="0.25">
      <c r="A2299" s="4" t="s">
        <v>7</v>
      </c>
      <c r="B2299" s="4" t="s">
        <v>6163</v>
      </c>
      <c r="C2299" s="1" t="s">
        <v>6164</v>
      </c>
      <c r="D2299" s="1" t="s">
        <v>6165</v>
      </c>
      <c r="E2299" s="6">
        <v>4</v>
      </c>
    </row>
    <row r="2300" spans="1:5" x14ac:dyDescent="0.25">
      <c r="A2300" s="4" t="s">
        <v>7</v>
      </c>
      <c r="B2300" s="4" t="s">
        <v>6166</v>
      </c>
      <c r="C2300" s="1" t="s">
        <v>6167</v>
      </c>
      <c r="D2300" s="1" t="s">
        <v>6168</v>
      </c>
      <c r="E2300" s="6">
        <v>3</v>
      </c>
    </row>
    <row r="2301" spans="1:5" x14ac:dyDescent="0.25">
      <c r="A2301" s="4" t="s">
        <v>7</v>
      </c>
      <c r="B2301" s="4" t="s">
        <v>6169</v>
      </c>
      <c r="C2301" s="1" t="s">
        <v>6170</v>
      </c>
      <c r="D2301" s="1" t="s">
        <v>6170</v>
      </c>
      <c r="E2301" s="6">
        <v>2</v>
      </c>
    </row>
    <row r="2302" spans="1:5" x14ac:dyDescent="0.25">
      <c r="A2302" s="4" t="s">
        <v>7</v>
      </c>
      <c r="B2302" s="4" t="s">
        <v>6171</v>
      </c>
      <c r="C2302" s="1" t="s">
        <v>6172</v>
      </c>
      <c r="D2302" s="1" t="s">
        <v>6173</v>
      </c>
      <c r="E2302" s="6">
        <v>1</v>
      </c>
    </row>
    <row r="2303" spans="1:5" x14ac:dyDescent="0.25">
      <c r="A2303" s="4" t="s">
        <v>7</v>
      </c>
      <c r="B2303" s="4" t="s">
        <v>6174</v>
      </c>
      <c r="C2303" s="1" t="s">
        <v>6175</v>
      </c>
      <c r="D2303" s="1" t="s">
        <v>6176</v>
      </c>
      <c r="E2303" s="6">
        <v>1</v>
      </c>
    </row>
    <row r="2304" spans="1:5" x14ac:dyDescent="0.25">
      <c r="A2304" s="4" t="s">
        <v>7</v>
      </c>
      <c r="B2304" s="4" t="s">
        <v>6177</v>
      </c>
      <c r="C2304" s="1" t="s">
        <v>6178</v>
      </c>
      <c r="D2304" s="1" t="s">
        <v>6179</v>
      </c>
      <c r="E2304" s="6">
        <v>1</v>
      </c>
    </row>
    <row r="2305" spans="1:5" x14ac:dyDescent="0.25">
      <c r="A2305" s="4" t="s">
        <v>7</v>
      </c>
      <c r="B2305" s="4" t="s">
        <v>6180</v>
      </c>
      <c r="C2305" s="1" t="s">
        <v>6181</v>
      </c>
      <c r="D2305" s="1" t="s">
        <v>6182</v>
      </c>
      <c r="E2305" s="6">
        <v>4</v>
      </c>
    </row>
    <row r="2306" spans="1:5" x14ac:dyDescent="0.25">
      <c r="A2306" s="4" t="s">
        <v>7</v>
      </c>
      <c r="B2306" s="4" t="s">
        <v>6183</v>
      </c>
      <c r="C2306" s="1" t="s">
        <v>6184</v>
      </c>
      <c r="D2306" s="1" t="s">
        <v>6185</v>
      </c>
      <c r="E2306" s="6">
        <v>1</v>
      </c>
    </row>
    <row r="2307" spans="1:5" x14ac:dyDescent="0.25">
      <c r="A2307" s="4" t="s">
        <v>7</v>
      </c>
      <c r="B2307" s="4" t="s">
        <v>6186</v>
      </c>
      <c r="C2307" s="1" t="s">
        <v>6187</v>
      </c>
      <c r="D2307" s="1" t="s">
        <v>6188</v>
      </c>
      <c r="E2307" s="6">
        <v>6</v>
      </c>
    </row>
    <row r="2308" spans="1:5" x14ac:dyDescent="0.25">
      <c r="A2308" s="4" t="s">
        <v>7</v>
      </c>
      <c r="B2308" s="4" t="s">
        <v>6189</v>
      </c>
      <c r="C2308" s="1" t="s">
        <v>6190</v>
      </c>
      <c r="D2308" s="1" t="s">
        <v>6191</v>
      </c>
      <c r="E2308" s="6">
        <v>9</v>
      </c>
    </row>
    <row r="2309" spans="1:5" x14ac:dyDescent="0.25">
      <c r="A2309" s="4" t="s">
        <v>7</v>
      </c>
      <c r="B2309" s="4" t="s">
        <v>6192</v>
      </c>
      <c r="C2309" s="1" t="s">
        <v>6193</v>
      </c>
      <c r="D2309" s="1" t="s">
        <v>6194</v>
      </c>
      <c r="E2309" s="6">
        <v>10</v>
      </c>
    </row>
    <row r="2310" spans="1:5" x14ac:dyDescent="0.25">
      <c r="A2310" s="4" t="s">
        <v>7</v>
      </c>
      <c r="B2310" s="4" t="s">
        <v>6195</v>
      </c>
      <c r="C2310" s="1" t="s">
        <v>6196</v>
      </c>
      <c r="D2310" s="1" t="s">
        <v>6197</v>
      </c>
      <c r="E2310" s="6">
        <v>2</v>
      </c>
    </row>
    <row r="2311" spans="1:5" x14ac:dyDescent="0.25">
      <c r="A2311" s="4" t="s">
        <v>7</v>
      </c>
      <c r="B2311" s="4" t="s">
        <v>6198</v>
      </c>
      <c r="C2311" s="1" t="s">
        <v>6199</v>
      </c>
      <c r="D2311" s="1" t="s">
        <v>6200</v>
      </c>
      <c r="E2311" s="6">
        <v>2</v>
      </c>
    </row>
    <row r="2312" spans="1:5" x14ac:dyDescent="0.25">
      <c r="A2312" s="4" t="s">
        <v>7</v>
      </c>
      <c r="B2312" s="4" t="s">
        <v>6201</v>
      </c>
      <c r="C2312" s="1" t="s">
        <v>6202</v>
      </c>
      <c r="D2312" s="1" t="s">
        <v>6203</v>
      </c>
      <c r="E2312" s="6">
        <v>2</v>
      </c>
    </row>
    <row r="2313" spans="1:5" x14ac:dyDescent="0.25">
      <c r="A2313" s="4" t="s">
        <v>7</v>
      </c>
      <c r="B2313" s="4" t="s">
        <v>6204</v>
      </c>
      <c r="C2313" s="1" t="s">
        <v>6205</v>
      </c>
      <c r="D2313" s="1" t="s">
        <v>6206</v>
      </c>
      <c r="E2313" s="6">
        <v>1</v>
      </c>
    </row>
    <row r="2314" spans="1:5" x14ac:dyDescent="0.25">
      <c r="A2314" s="4" t="s">
        <v>7</v>
      </c>
      <c r="B2314" s="4" t="s">
        <v>6207</v>
      </c>
      <c r="C2314" s="1" t="s">
        <v>6208</v>
      </c>
      <c r="D2314" s="1" t="s">
        <v>6209</v>
      </c>
      <c r="E2314" s="6">
        <v>2</v>
      </c>
    </row>
    <row r="2315" spans="1:5" x14ac:dyDescent="0.25">
      <c r="A2315" s="4" t="s">
        <v>7</v>
      </c>
      <c r="B2315" s="4" t="s">
        <v>6210</v>
      </c>
      <c r="C2315" s="1" t="s">
        <v>6211</v>
      </c>
      <c r="D2315" s="1" t="s">
        <v>6212</v>
      </c>
      <c r="E2315" s="6">
        <v>2</v>
      </c>
    </row>
    <row r="2316" spans="1:5" x14ac:dyDescent="0.25">
      <c r="A2316" s="4" t="s">
        <v>7</v>
      </c>
      <c r="B2316" s="4" t="s">
        <v>6213</v>
      </c>
      <c r="C2316" s="1" t="s">
        <v>6214</v>
      </c>
      <c r="D2316" s="1" t="s">
        <v>6215</v>
      </c>
      <c r="E2316" s="6">
        <v>3</v>
      </c>
    </row>
    <row r="2317" spans="1:5" x14ac:dyDescent="0.25">
      <c r="A2317" s="4" t="s">
        <v>7</v>
      </c>
      <c r="B2317" s="4" t="s">
        <v>6216</v>
      </c>
      <c r="C2317" s="1" t="s">
        <v>6217</v>
      </c>
      <c r="D2317" s="1" t="s">
        <v>6218</v>
      </c>
      <c r="E2317" s="6">
        <v>4</v>
      </c>
    </row>
    <row r="2318" spans="1:5" x14ac:dyDescent="0.25">
      <c r="A2318" s="4" t="s">
        <v>7</v>
      </c>
      <c r="B2318" s="4" t="s">
        <v>6219</v>
      </c>
      <c r="C2318" s="1" t="s">
        <v>6220</v>
      </c>
      <c r="D2318" s="1" t="s">
        <v>6221</v>
      </c>
      <c r="E2318" s="6">
        <v>44</v>
      </c>
    </row>
    <row r="2319" spans="1:5" x14ac:dyDescent="0.25">
      <c r="A2319" s="4" t="s">
        <v>7</v>
      </c>
      <c r="B2319" s="4" t="s">
        <v>6222</v>
      </c>
      <c r="C2319" s="1" t="s">
        <v>6223</v>
      </c>
      <c r="D2319" s="1" t="s">
        <v>6224</v>
      </c>
      <c r="E2319" s="6">
        <v>1</v>
      </c>
    </row>
    <row r="2320" spans="1:5" x14ac:dyDescent="0.25">
      <c r="A2320" s="4" t="s">
        <v>7</v>
      </c>
      <c r="B2320" s="4" t="s">
        <v>6225</v>
      </c>
      <c r="C2320" s="1" t="s">
        <v>6226</v>
      </c>
      <c r="D2320" s="1" t="s">
        <v>6227</v>
      </c>
      <c r="E2320" s="6">
        <v>16</v>
      </c>
    </row>
    <row r="2321" spans="1:5" x14ac:dyDescent="0.25">
      <c r="A2321" s="4" t="s">
        <v>7</v>
      </c>
      <c r="B2321" s="4" t="s">
        <v>6228</v>
      </c>
      <c r="C2321" s="1" t="s">
        <v>6229</v>
      </c>
      <c r="D2321" s="1" t="s">
        <v>6230</v>
      </c>
      <c r="E2321" s="6">
        <v>4</v>
      </c>
    </row>
    <row r="2322" spans="1:5" x14ac:dyDescent="0.25">
      <c r="A2322" s="4" t="s">
        <v>7</v>
      </c>
      <c r="B2322" s="4" t="s">
        <v>6231</v>
      </c>
      <c r="C2322" s="1" t="s">
        <v>6232</v>
      </c>
      <c r="D2322" s="1" t="s">
        <v>6233</v>
      </c>
      <c r="E2322" s="6">
        <v>2</v>
      </c>
    </row>
    <row r="2323" spans="1:5" x14ac:dyDescent="0.25">
      <c r="A2323" s="4" t="s">
        <v>7</v>
      </c>
      <c r="B2323" s="4" t="s">
        <v>6234</v>
      </c>
      <c r="C2323" s="1" t="s">
        <v>6235</v>
      </c>
      <c r="D2323" s="1" t="s">
        <v>6236</v>
      </c>
      <c r="E2323" s="6">
        <v>43</v>
      </c>
    </row>
    <row r="2324" spans="1:5" x14ac:dyDescent="0.25">
      <c r="A2324" s="4" t="s">
        <v>7</v>
      </c>
      <c r="B2324" s="4" t="s">
        <v>6237</v>
      </c>
      <c r="C2324" s="1" t="s">
        <v>6238</v>
      </c>
      <c r="D2324" s="1" t="s">
        <v>6239</v>
      </c>
      <c r="E2324" s="6">
        <v>1</v>
      </c>
    </row>
    <row r="2325" spans="1:5" x14ac:dyDescent="0.25">
      <c r="A2325" s="4" t="s">
        <v>7</v>
      </c>
      <c r="B2325" s="4" t="s">
        <v>6240</v>
      </c>
      <c r="C2325" s="1" t="s">
        <v>6241</v>
      </c>
      <c r="D2325" s="1" t="s">
        <v>6242</v>
      </c>
      <c r="E2325" s="6">
        <v>2</v>
      </c>
    </row>
    <row r="2326" spans="1:5" x14ac:dyDescent="0.25">
      <c r="A2326" s="4" t="s">
        <v>7</v>
      </c>
      <c r="B2326" s="4" t="s">
        <v>6243</v>
      </c>
      <c r="C2326" s="1" t="s">
        <v>6244</v>
      </c>
      <c r="D2326" s="1" t="s">
        <v>6245</v>
      </c>
      <c r="E2326" s="6">
        <v>69</v>
      </c>
    </row>
    <row r="2327" spans="1:5" x14ac:dyDescent="0.25">
      <c r="A2327" s="4" t="s">
        <v>7</v>
      </c>
      <c r="B2327" s="4" t="s">
        <v>6246</v>
      </c>
      <c r="C2327" s="1" t="s">
        <v>6247</v>
      </c>
      <c r="D2327" s="1" t="s">
        <v>6248</v>
      </c>
      <c r="E2327" s="6">
        <v>3</v>
      </c>
    </row>
    <row r="2328" spans="1:5" x14ac:dyDescent="0.25">
      <c r="A2328" s="4" t="s">
        <v>7</v>
      </c>
      <c r="B2328" s="4" t="s">
        <v>6249</v>
      </c>
      <c r="C2328" s="1" t="s">
        <v>6250</v>
      </c>
      <c r="D2328" s="1" t="s">
        <v>6251</v>
      </c>
      <c r="E2328" s="6">
        <v>30</v>
      </c>
    </row>
    <row r="2329" spans="1:5" x14ac:dyDescent="0.25">
      <c r="A2329" s="4" t="s">
        <v>7</v>
      </c>
      <c r="B2329" s="4" t="s">
        <v>6252</v>
      </c>
      <c r="C2329" s="1" t="s">
        <v>6253</v>
      </c>
      <c r="D2329" s="1" t="s">
        <v>6254</v>
      </c>
      <c r="E2329" s="6">
        <v>30</v>
      </c>
    </row>
    <row r="2330" spans="1:5" x14ac:dyDescent="0.25">
      <c r="A2330" s="4" t="s">
        <v>7</v>
      </c>
      <c r="B2330" s="4" t="s">
        <v>6255</v>
      </c>
      <c r="C2330" s="1" t="s">
        <v>6256</v>
      </c>
      <c r="D2330" s="1" t="s">
        <v>6257</v>
      </c>
      <c r="E2330" s="6">
        <v>38</v>
      </c>
    </row>
    <row r="2331" spans="1:5" x14ac:dyDescent="0.25">
      <c r="A2331" s="4" t="s">
        <v>7</v>
      </c>
      <c r="B2331" s="4" t="s">
        <v>6258</v>
      </c>
      <c r="C2331" s="1" t="s">
        <v>6259</v>
      </c>
      <c r="D2331" s="1" t="s">
        <v>6260</v>
      </c>
      <c r="E2331" s="6">
        <v>33</v>
      </c>
    </row>
    <row r="2332" spans="1:5" x14ac:dyDescent="0.25">
      <c r="A2332" s="4" t="s">
        <v>7</v>
      </c>
      <c r="B2332" s="4" t="s">
        <v>6261</v>
      </c>
      <c r="C2332" s="1" t="s">
        <v>6262</v>
      </c>
      <c r="D2332" s="1" t="s">
        <v>6263</v>
      </c>
      <c r="E2332" s="6">
        <v>33</v>
      </c>
    </row>
    <row r="2333" spans="1:5" x14ac:dyDescent="0.25">
      <c r="A2333" s="4" t="s">
        <v>7</v>
      </c>
      <c r="B2333" s="4" t="s">
        <v>6264</v>
      </c>
      <c r="C2333" s="1" t="s">
        <v>6265</v>
      </c>
      <c r="D2333" s="1" t="s">
        <v>6266</v>
      </c>
      <c r="E2333" s="6">
        <v>113</v>
      </c>
    </row>
    <row r="2334" spans="1:5" x14ac:dyDescent="0.25">
      <c r="A2334" s="4" t="s">
        <v>7</v>
      </c>
      <c r="B2334" s="4" t="s">
        <v>6267</v>
      </c>
      <c r="C2334" s="1" t="s">
        <v>6268</v>
      </c>
      <c r="D2334" s="1" t="s">
        <v>6269</v>
      </c>
      <c r="E2334" s="6">
        <v>99</v>
      </c>
    </row>
    <row r="2335" spans="1:5" x14ac:dyDescent="0.25">
      <c r="A2335" s="4" t="s">
        <v>7</v>
      </c>
      <c r="B2335" s="4" t="s">
        <v>6270</v>
      </c>
      <c r="C2335" s="1" t="s">
        <v>6271</v>
      </c>
      <c r="D2335" s="1" t="s">
        <v>6272</v>
      </c>
      <c r="E2335" s="6">
        <v>9</v>
      </c>
    </row>
    <row r="2336" spans="1:5" x14ac:dyDescent="0.25">
      <c r="A2336" s="4" t="s">
        <v>7</v>
      </c>
      <c r="B2336" s="4" t="s">
        <v>6273</v>
      </c>
      <c r="C2336" s="1" t="s">
        <v>6274</v>
      </c>
      <c r="D2336" s="1" t="s">
        <v>6275</v>
      </c>
      <c r="E2336" s="6">
        <v>2</v>
      </c>
    </row>
    <row r="2337" spans="1:5" x14ac:dyDescent="0.25">
      <c r="A2337" s="4" t="s">
        <v>7</v>
      </c>
      <c r="B2337" s="4" t="s">
        <v>6276</v>
      </c>
      <c r="C2337" s="1" t="s">
        <v>6277</v>
      </c>
      <c r="D2337" s="1" t="s">
        <v>6278</v>
      </c>
      <c r="E2337" s="6">
        <v>2</v>
      </c>
    </row>
    <row r="2338" spans="1:5" x14ac:dyDescent="0.25">
      <c r="A2338" s="4" t="s">
        <v>7</v>
      </c>
      <c r="B2338" s="4" t="s">
        <v>6279</v>
      </c>
      <c r="C2338" s="1" t="s">
        <v>6280</v>
      </c>
      <c r="D2338" s="1" t="s">
        <v>6281</v>
      </c>
      <c r="E2338" s="6">
        <v>77</v>
      </c>
    </row>
    <row r="2339" spans="1:5" x14ac:dyDescent="0.25">
      <c r="A2339" s="4" t="s">
        <v>7</v>
      </c>
      <c r="B2339" s="4" t="s">
        <v>6282</v>
      </c>
      <c r="C2339" s="1" t="s">
        <v>6283</v>
      </c>
      <c r="D2339" s="1" t="s">
        <v>6284</v>
      </c>
      <c r="E2339" s="6">
        <v>131</v>
      </c>
    </row>
    <row r="2340" spans="1:5" x14ac:dyDescent="0.25">
      <c r="A2340" s="4" t="s">
        <v>7</v>
      </c>
      <c r="B2340" s="4" t="s">
        <v>6285</v>
      </c>
      <c r="C2340" s="1" t="s">
        <v>6286</v>
      </c>
      <c r="D2340" s="1" t="s">
        <v>6287</v>
      </c>
      <c r="E2340" s="6">
        <v>351</v>
      </c>
    </row>
    <row r="2341" spans="1:5" x14ac:dyDescent="0.25">
      <c r="A2341" s="4" t="s">
        <v>7</v>
      </c>
      <c r="B2341" s="4" t="s">
        <v>6288</v>
      </c>
      <c r="C2341" s="1" t="s">
        <v>6289</v>
      </c>
      <c r="D2341" s="1" t="s">
        <v>6290</v>
      </c>
      <c r="E2341" s="6">
        <v>90</v>
      </c>
    </row>
    <row r="2342" spans="1:5" x14ac:dyDescent="0.25">
      <c r="A2342" s="4" t="s">
        <v>7</v>
      </c>
      <c r="B2342" s="4" t="s">
        <v>6291</v>
      </c>
      <c r="C2342" s="1" t="s">
        <v>6292</v>
      </c>
      <c r="D2342" s="1" t="s">
        <v>6293</v>
      </c>
      <c r="E2342" s="6">
        <v>15</v>
      </c>
    </row>
    <row r="2343" spans="1:5" x14ac:dyDescent="0.25">
      <c r="A2343" s="4" t="s">
        <v>7</v>
      </c>
      <c r="B2343" s="4" t="s">
        <v>6294</v>
      </c>
      <c r="C2343" s="1" t="s">
        <v>6295</v>
      </c>
      <c r="D2343" s="1" t="s">
        <v>6296</v>
      </c>
      <c r="E2343" s="6">
        <v>51</v>
      </c>
    </row>
    <row r="2344" spans="1:5" x14ac:dyDescent="0.25">
      <c r="A2344" s="4" t="s">
        <v>7</v>
      </c>
      <c r="B2344" s="4" t="s">
        <v>6297</v>
      </c>
      <c r="C2344" s="1" t="s">
        <v>6298</v>
      </c>
      <c r="D2344" s="1" t="s">
        <v>6299</v>
      </c>
      <c r="E2344" s="6">
        <v>153</v>
      </c>
    </row>
    <row r="2345" spans="1:5" x14ac:dyDescent="0.25">
      <c r="A2345" s="4" t="s">
        <v>7</v>
      </c>
      <c r="B2345" s="4" t="s">
        <v>6300</v>
      </c>
      <c r="C2345" s="1" t="s">
        <v>6301</v>
      </c>
      <c r="D2345" s="1" t="s">
        <v>6302</v>
      </c>
      <c r="E2345" s="6">
        <v>1</v>
      </c>
    </row>
    <row r="2346" spans="1:5" x14ac:dyDescent="0.25">
      <c r="A2346" s="4" t="s">
        <v>7</v>
      </c>
      <c r="B2346" s="4" t="s">
        <v>6303</v>
      </c>
      <c r="C2346" s="1" t="s">
        <v>6304</v>
      </c>
      <c r="D2346" s="1" t="s">
        <v>6305</v>
      </c>
      <c r="E2346" s="6">
        <v>190</v>
      </c>
    </row>
    <row r="2347" spans="1:5" x14ac:dyDescent="0.25">
      <c r="A2347" s="4" t="s">
        <v>7</v>
      </c>
      <c r="B2347" s="4" t="s">
        <v>6306</v>
      </c>
      <c r="C2347" s="1" t="s">
        <v>6307</v>
      </c>
      <c r="D2347" s="1" t="s">
        <v>6308</v>
      </c>
      <c r="E2347" s="6">
        <v>3</v>
      </c>
    </row>
    <row r="2348" spans="1:5" x14ac:dyDescent="0.25">
      <c r="A2348" s="4" t="s">
        <v>7</v>
      </c>
      <c r="B2348" s="4" t="s">
        <v>6309</v>
      </c>
      <c r="C2348" s="1" t="s">
        <v>6310</v>
      </c>
      <c r="D2348" s="1" t="s">
        <v>6311</v>
      </c>
      <c r="E2348" s="6">
        <v>2</v>
      </c>
    </row>
    <row r="2349" spans="1:5" x14ac:dyDescent="0.25">
      <c r="A2349" s="4" t="s">
        <v>7</v>
      </c>
      <c r="B2349" s="4" t="s">
        <v>6312</v>
      </c>
      <c r="C2349" s="1" t="s">
        <v>6313</v>
      </c>
      <c r="D2349" s="1" t="s">
        <v>6314</v>
      </c>
      <c r="E2349" s="6">
        <v>3</v>
      </c>
    </row>
    <row r="2350" spans="1:5" x14ac:dyDescent="0.25">
      <c r="A2350" s="4" t="s">
        <v>7</v>
      </c>
      <c r="B2350" s="4" t="s">
        <v>6315</v>
      </c>
      <c r="C2350" s="1" t="s">
        <v>6316</v>
      </c>
      <c r="D2350" s="1" t="s">
        <v>6317</v>
      </c>
      <c r="E2350" s="6">
        <v>1</v>
      </c>
    </row>
    <row r="2351" spans="1:5" x14ac:dyDescent="0.25">
      <c r="A2351" s="4" t="s">
        <v>7</v>
      </c>
      <c r="B2351" s="4" t="s">
        <v>6318</v>
      </c>
      <c r="C2351" s="1" t="s">
        <v>6319</v>
      </c>
      <c r="D2351" s="1" t="s">
        <v>6320</v>
      </c>
      <c r="E2351" s="6">
        <v>4</v>
      </c>
    </row>
    <row r="2352" spans="1:5" x14ac:dyDescent="0.25">
      <c r="A2352" s="4" t="s">
        <v>7</v>
      </c>
      <c r="B2352" s="4" t="s">
        <v>6321</v>
      </c>
      <c r="C2352" s="1" t="s">
        <v>6322</v>
      </c>
      <c r="D2352" s="1" t="s">
        <v>6323</v>
      </c>
      <c r="E2352" s="6">
        <v>8</v>
      </c>
    </row>
    <row r="2353" spans="1:5" x14ac:dyDescent="0.25">
      <c r="A2353" s="4" t="s">
        <v>7</v>
      </c>
      <c r="B2353" s="4" t="s">
        <v>6324</v>
      </c>
      <c r="C2353" s="1" t="s">
        <v>6325</v>
      </c>
      <c r="D2353" s="1" t="s">
        <v>6326</v>
      </c>
      <c r="E2353" s="6">
        <v>29</v>
      </c>
    </row>
    <row r="2354" spans="1:5" x14ac:dyDescent="0.25">
      <c r="A2354" s="4" t="s">
        <v>7</v>
      </c>
      <c r="B2354" s="4" t="s">
        <v>6327</v>
      </c>
      <c r="C2354" s="1" t="s">
        <v>6328</v>
      </c>
      <c r="D2354" s="1" t="s">
        <v>6329</v>
      </c>
      <c r="E2354" s="6">
        <v>68</v>
      </c>
    </row>
    <row r="2355" spans="1:5" x14ac:dyDescent="0.25">
      <c r="A2355" s="4" t="s">
        <v>7</v>
      </c>
      <c r="B2355" s="4" t="s">
        <v>6330</v>
      </c>
      <c r="C2355" s="1" t="s">
        <v>6331</v>
      </c>
      <c r="D2355" s="1" t="s">
        <v>6329</v>
      </c>
      <c r="E2355" s="6">
        <v>136</v>
      </c>
    </row>
    <row r="2356" spans="1:5" x14ac:dyDescent="0.25">
      <c r="A2356" s="4" t="s">
        <v>7</v>
      </c>
      <c r="B2356" s="4" t="s">
        <v>6332</v>
      </c>
      <c r="C2356" s="1" t="s">
        <v>6333</v>
      </c>
      <c r="D2356" s="1" t="s">
        <v>6329</v>
      </c>
      <c r="E2356" s="6">
        <v>129</v>
      </c>
    </row>
    <row r="2357" spans="1:5" x14ac:dyDescent="0.25">
      <c r="A2357" s="4" t="s">
        <v>7</v>
      </c>
      <c r="B2357" s="4" t="s">
        <v>6334</v>
      </c>
      <c r="C2357" s="1" t="s">
        <v>6335</v>
      </c>
      <c r="D2357" s="1" t="s">
        <v>6336</v>
      </c>
      <c r="E2357" s="6">
        <v>9</v>
      </c>
    </row>
    <row r="2358" spans="1:5" x14ac:dyDescent="0.25">
      <c r="A2358" s="4" t="s">
        <v>7</v>
      </c>
      <c r="B2358" s="4" t="s">
        <v>6337</v>
      </c>
      <c r="C2358" s="1" t="s">
        <v>6338</v>
      </c>
      <c r="D2358" s="1" t="s">
        <v>6339</v>
      </c>
      <c r="E2358" s="6">
        <v>1</v>
      </c>
    </row>
    <row r="2359" spans="1:5" x14ac:dyDescent="0.25">
      <c r="A2359" s="4" t="s">
        <v>7</v>
      </c>
      <c r="B2359" s="4" t="s">
        <v>6340</v>
      </c>
      <c r="C2359" s="1" t="s">
        <v>6341</v>
      </c>
      <c r="D2359" s="1" t="s">
        <v>6342</v>
      </c>
      <c r="E2359" s="6">
        <v>1</v>
      </c>
    </row>
    <row r="2360" spans="1:5" x14ac:dyDescent="0.25">
      <c r="A2360" s="4" t="s">
        <v>7</v>
      </c>
      <c r="B2360" s="4" t="s">
        <v>6343</v>
      </c>
      <c r="C2360" s="1" t="s">
        <v>6344</v>
      </c>
      <c r="D2360" s="1" t="s">
        <v>6345</v>
      </c>
      <c r="E2360" s="6">
        <v>3</v>
      </c>
    </row>
    <row r="2361" spans="1:5" x14ac:dyDescent="0.25">
      <c r="A2361" s="4" t="s">
        <v>7</v>
      </c>
      <c r="B2361" s="4" t="s">
        <v>6346</v>
      </c>
      <c r="C2361" s="1" t="s">
        <v>6347</v>
      </c>
      <c r="D2361" s="1" t="s">
        <v>6348</v>
      </c>
      <c r="E2361" s="6">
        <v>2</v>
      </c>
    </row>
    <row r="2362" spans="1:5" x14ac:dyDescent="0.25">
      <c r="A2362" s="4" t="s">
        <v>7</v>
      </c>
      <c r="B2362" s="4" t="s">
        <v>6349</v>
      </c>
      <c r="C2362" s="1" t="s">
        <v>6350</v>
      </c>
      <c r="D2362" s="1" t="s">
        <v>6351</v>
      </c>
      <c r="E2362" s="6">
        <v>19</v>
      </c>
    </row>
    <row r="2363" spans="1:5" x14ac:dyDescent="0.25">
      <c r="A2363" s="4" t="s">
        <v>7</v>
      </c>
      <c r="B2363" s="4" t="s">
        <v>6352</v>
      </c>
      <c r="C2363" s="1" t="s">
        <v>6353</v>
      </c>
      <c r="D2363" s="1" t="s">
        <v>6354</v>
      </c>
      <c r="E2363" s="6">
        <v>3</v>
      </c>
    </row>
    <row r="2364" spans="1:5" x14ac:dyDescent="0.25">
      <c r="A2364" s="4" t="s">
        <v>7</v>
      </c>
      <c r="B2364" s="4" t="s">
        <v>6355</v>
      </c>
      <c r="C2364" s="1" t="s">
        <v>6356</v>
      </c>
      <c r="D2364" s="1" t="s">
        <v>6357</v>
      </c>
      <c r="E2364" s="6">
        <v>2</v>
      </c>
    </row>
    <row r="2365" spans="1:5" x14ac:dyDescent="0.25">
      <c r="A2365" s="4" t="s">
        <v>7</v>
      </c>
      <c r="B2365" s="4" t="s">
        <v>6358</v>
      </c>
      <c r="C2365" s="1" t="s">
        <v>6359</v>
      </c>
      <c r="D2365" s="1" t="s">
        <v>6360</v>
      </c>
      <c r="E2365" s="6">
        <v>1</v>
      </c>
    </row>
    <row r="2366" spans="1:5" x14ac:dyDescent="0.25">
      <c r="A2366" s="4" t="s">
        <v>7</v>
      </c>
      <c r="B2366" s="4" t="s">
        <v>6361</v>
      </c>
      <c r="C2366" s="1" t="s">
        <v>6362</v>
      </c>
      <c r="D2366" s="1" t="s">
        <v>6363</v>
      </c>
      <c r="E2366" s="6">
        <v>53</v>
      </c>
    </row>
    <row r="2367" spans="1:5" x14ac:dyDescent="0.25">
      <c r="A2367" s="4" t="s">
        <v>7</v>
      </c>
      <c r="B2367" s="4" t="s">
        <v>6364</v>
      </c>
      <c r="C2367" s="1" t="s">
        <v>6365</v>
      </c>
      <c r="D2367" s="1" t="s">
        <v>6366</v>
      </c>
      <c r="E2367" s="6">
        <v>105</v>
      </c>
    </row>
    <row r="2368" spans="1:5" x14ac:dyDescent="0.25">
      <c r="A2368" s="4" t="s">
        <v>7</v>
      </c>
      <c r="B2368" s="4" t="s">
        <v>6367</v>
      </c>
      <c r="C2368" s="1" t="s">
        <v>6368</v>
      </c>
      <c r="D2368" s="1" t="s">
        <v>6369</v>
      </c>
      <c r="E2368" s="6">
        <v>118</v>
      </c>
    </row>
    <row r="2369" spans="1:5" x14ac:dyDescent="0.25">
      <c r="A2369" s="4" t="s">
        <v>7</v>
      </c>
      <c r="B2369" s="4" t="s">
        <v>6370</v>
      </c>
      <c r="C2369" s="1" t="s">
        <v>6371</v>
      </c>
      <c r="D2369" s="1" t="s">
        <v>6372</v>
      </c>
      <c r="E2369" s="6">
        <v>118</v>
      </c>
    </row>
    <row r="2370" spans="1:5" x14ac:dyDescent="0.25">
      <c r="A2370" s="4" t="s">
        <v>7</v>
      </c>
      <c r="B2370" s="4" t="s">
        <v>6373</v>
      </c>
      <c r="C2370" s="1" t="s">
        <v>6374</v>
      </c>
      <c r="D2370" s="1" t="s">
        <v>6375</v>
      </c>
      <c r="E2370" s="6">
        <v>64</v>
      </c>
    </row>
    <row r="2371" spans="1:5" x14ac:dyDescent="0.25">
      <c r="A2371" s="4" t="s">
        <v>7</v>
      </c>
      <c r="B2371" s="4" t="s">
        <v>6376</v>
      </c>
      <c r="C2371" s="1" t="s">
        <v>6377</v>
      </c>
      <c r="D2371" s="1" t="s">
        <v>6378</v>
      </c>
      <c r="E2371" s="6">
        <v>1</v>
      </c>
    </row>
    <row r="2372" spans="1:5" x14ac:dyDescent="0.25">
      <c r="A2372" s="4" t="s">
        <v>7</v>
      </c>
      <c r="B2372" s="4" t="s">
        <v>6379</v>
      </c>
      <c r="C2372" s="1" t="s">
        <v>6380</v>
      </c>
      <c r="D2372" s="1" t="s">
        <v>6381</v>
      </c>
      <c r="E2372" s="6">
        <v>2</v>
      </c>
    </row>
    <row r="2373" spans="1:5" x14ac:dyDescent="0.25">
      <c r="A2373" s="4" t="s">
        <v>7</v>
      </c>
      <c r="B2373" s="4" t="s">
        <v>6382</v>
      </c>
      <c r="C2373" s="1" t="s">
        <v>6383</v>
      </c>
      <c r="D2373" s="1" t="s">
        <v>6384</v>
      </c>
      <c r="E2373" s="6">
        <v>1</v>
      </c>
    </row>
    <row r="2374" spans="1:5" x14ac:dyDescent="0.25">
      <c r="A2374" s="4" t="s">
        <v>7</v>
      </c>
      <c r="B2374" s="4" t="s">
        <v>6385</v>
      </c>
      <c r="C2374" s="1" t="s">
        <v>6386</v>
      </c>
      <c r="D2374" s="1" t="s">
        <v>6387</v>
      </c>
      <c r="E2374" s="6">
        <v>2</v>
      </c>
    </row>
    <row r="2375" spans="1:5" x14ac:dyDescent="0.25">
      <c r="A2375" s="4" t="s">
        <v>7</v>
      </c>
      <c r="B2375" s="4" t="s">
        <v>6388</v>
      </c>
      <c r="C2375" s="1" t="s">
        <v>6389</v>
      </c>
      <c r="D2375" s="1" t="s">
        <v>6389</v>
      </c>
      <c r="E2375" s="6">
        <v>1</v>
      </c>
    </row>
    <row r="2376" spans="1:5" x14ac:dyDescent="0.25">
      <c r="A2376" s="4" t="s">
        <v>7</v>
      </c>
      <c r="B2376" s="4" t="s">
        <v>6390</v>
      </c>
      <c r="C2376" s="1" t="s">
        <v>6391</v>
      </c>
      <c r="D2376" s="1" t="s">
        <v>6392</v>
      </c>
      <c r="E2376" s="6">
        <v>2</v>
      </c>
    </row>
    <row r="2377" spans="1:5" x14ac:dyDescent="0.25">
      <c r="A2377" s="4" t="s">
        <v>7</v>
      </c>
      <c r="B2377" s="4" t="s">
        <v>6393</v>
      </c>
      <c r="C2377" s="1" t="s">
        <v>6394</v>
      </c>
      <c r="D2377" s="1" t="s">
        <v>6395</v>
      </c>
      <c r="E2377" s="6">
        <v>3</v>
      </c>
    </row>
    <row r="2378" spans="1:5" x14ac:dyDescent="0.25">
      <c r="A2378" s="4" t="s">
        <v>7</v>
      </c>
      <c r="B2378" s="4" t="s">
        <v>6396</v>
      </c>
      <c r="C2378" s="1" t="s">
        <v>6397</v>
      </c>
      <c r="D2378" s="1" t="s">
        <v>6398</v>
      </c>
      <c r="E2378" s="6">
        <v>5</v>
      </c>
    </row>
    <row r="2379" spans="1:5" x14ac:dyDescent="0.25">
      <c r="A2379" s="4" t="s">
        <v>7</v>
      </c>
      <c r="B2379" s="4" t="s">
        <v>6399</v>
      </c>
      <c r="C2379" s="1" t="s">
        <v>6400</v>
      </c>
      <c r="D2379" s="1" t="s">
        <v>6401</v>
      </c>
      <c r="E2379" s="6">
        <v>1</v>
      </c>
    </row>
    <row r="2380" spans="1:5" x14ac:dyDescent="0.25">
      <c r="A2380" s="4" t="s">
        <v>7</v>
      </c>
      <c r="B2380" s="4" t="s">
        <v>6402</v>
      </c>
      <c r="C2380" s="1" t="s">
        <v>6403</v>
      </c>
      <c r="D2380" s="1" t="s">
        <v>6404</v>
      </c>
      <c r="E2380" s="6">
        <v>3</v>
      </c>
    </row>
    <row r="2381" spans="1:5" x14ac:dyDescent="0.25">
      <c r="A2381" s="4" t="s">
        <v>7</v>
      </c>
      <c r="B2381" s="4" t="s">
        <v>6405</v>
      </c>
      <c r="C2381" s="1" t="s">
        <v>6406</v>
      </c>
      <c r="D2381" s="1" t="s">
        <v>6407</v>
      </c>
      <c r="E2381" s="6">
        <v>1</v>
      </c>
    </row>
    <row r="2382" spans="1:5" x14ac:dyDescent="0.25">
      <c r="A2382" s="4" t="s">
        <v>7</v>
      </c>
      <c r="B2382" s="4" t="s">
        <v>6408</v>
      </c>
      <c r="C2382" s="1" t="s">
        <v>6409</v>
      </c>
      <c r="D2382" s="1" t="s">
        <v>6410</v>
      </c>
      <c r="E2382" s="6">
        <v>2</v>
      </c>
    </row>
    <row r="2383" spans="1:5" x14ac:dyDescent="0.25">
      <c r="A2383" s="4" t="s">
        <v>7</v>
      </c>
      <c r="B2383" s="4" t="s">
        <v>6411</v>
      </c>
      <c r="C2383" s="1" t="s">
        <v>6412</v>
      </c>
      <c r="D2383" s="1" t="s">
        <v>6413</v>
      </c>
      <c r="E2383" s="6">
        <v>4</v>
      </c>
    </row>
    <row r="2384" spans="1:5" x14ac:dyDescent="0.25">
      <c r="A2384" s="4" t="s">
        <v>7</v>
      </c>
      <c r="B2384" s="4" t="s">
        <v>6414</v>
      </c>
      <c r="C2384" s="1" t="s">
        <v>6415</v>
      </c>
      <c r="D2384" s="1" t="s">
        <v>6416</v>
      </c>
      <c r="E2384" s="6">
        <v>6</v>
      </c>
    </row>
    <row r="2385" spans="1:5" x14ac:dyDescent="0.25">
      <c r="A2385" s="4" t="s">
        <v>7</v>
      </c>
      <c r="B2385" s="4" t="s">
        <v>6417</v>
      </c>
      <c r="C2385" s="1" t="s">
        <v>6418</v>
      </c>
      <c r="D2385" s="1" t="s">
        <v>6419</v>
      </c>
      <c r="E2385" s="6">
        <v>10</v>
      </c>
    </row>
    <row r="2386" spans="1:5" x14ac:dyDescent="0.25">
      <c r="A2386" s="4" t="s">
        <v>7</v>
      </c>
      <c r="B2386" s="4" t="s">
        <v>6420</v>
      </c>
      <c r="C2386" s="1" t="s">
        <v>6421</v>
      </c>
      <c r="D2386" s="1" t="s">
        <v>6422</v>
      </c>
      <c r="E2386" s="6">
        <v>7</v>
      </c>
    </row>
    <row r="2387" spans="1:5" x14ac:dyDescent="0.25">
      <c r="A2387" s="4" t="s">
        <v>7</v>
      </c>
      <c r="B2387" s="4" t="s">
        <v>6423</v>
      </c>
      <c r="C2387" s="1" t="s">
        <v>6424</v>
      </c>
      <c r="D2387" s="1" t="s">
        <v>6425</v>
      </c>
      <c r="E2387" s="6">
        <v>2</v>
      </c>
    </row>
    <row r="2388" spans="1:5" x14ac:dyDescent="0.25">
      <c r="A2388" s="4" t="s">
        <v>7</v>
      </c>
      <c r="B2388" s="4" t="s">
        <v>6426</v>
      </c>
      <c r="C2388" s="1" t="s">
        <v>6427</v>
      </c>
      <c r="D2388" s="1" t="s">
        <v>6428</v>
      </c>
      <c r="E2388" s="6">
        <v>1</v>
      </c>
    </row>
    <row r="2389" spans="1:5" x14ac:dyDescent="0.25">
      <c r="A2389" s="4" t="s">
        <v>7</v>
      </c>
      <c r="B2389" s="4" t="s">
        <v>6429</v>
      </c>
      <c r="C2389" s="1" t="s">
        <v>6430</v>
      </c>
      <c r="D2389" s="1" t="s">
        <v>6431</v>
      </c>
      <c r="E2389" s="6">
        <v>1</v>
      </c>
    </row>
    <row r="2390" spans="1:5" x14ac:dyDescent="0.25">
      <c r="A2390" s="4" t="s">
        <v>7</v>
      </c>
      <c r="B2390" s="4" t="s">
        <v>6432</v>
      </c>
      <c r="C2390" s="1" t="s">
        <v>6433</v>
      </c>
      <c r="D2390" s="1" t="s">
        <v>6434</v>
      </c>
      <c r="E2390" s="6">
        <v>6</v>
      </c>
    </row>
    <row r="2391" spans="1:5" x14ac:dyDescent="0.25">
      <c r="A2391" s="4" t="s">
        <v>7</v>
      </c>
      <c r="B2391" s="4" t="s">
        <v>6435</v>
      </c>
      <c r="C2391" s="1" t="s">
        <v>6436</v>
      </c>
      <c r="D2391" s="1" t="s">
        <v>6437</v>
      </c>
      <c r="E2391" s="6">
        <v>7</v>
      </c>
    </row>
    <row r="2392" spans="1:5" x14ac:dyDescent="0.25">
      <c r="A2392" s="4" t="s">
        <v>7</v>
      </c>
      <c r="B2392" s="4" t="s">
        <v>6438</v>
      </c>
      <c r="C2392" s="1" t="s">
        <v>6439</v>
      </c>
      <c r="D2392" s="1" t="s">
        <v>6440</v>
      </c>
      <c r="E2392" s="6">
        <v>2</v>
      </c>
    </row>
    <row r="2393" spans="1:5" x14ac:dyDescent="0.25">
      <c r="A2393" s="4" t="s">
        <v>7</v>
      </c>
      <c r="B2393" s="4" t="s">
        <v>6441</v>
      </c>
      <c r="C2393" s="1" t="s">
        <v>6442</v>
      </c>
      <c r="D2393" s="1" t="s">
        <v>6443</v>
      </c>
      <c r="E2393" s="6">
        <v>2</v>
      </c>
    </row>
    <row r="2394" spans="1:5" x14ac:dyDescent="0.25">
      <c r="A2394" s="4" t="s">
        <v>7</v>
      </c>
      <c r="B2394" s="4" t="s">
        <v>6444</v>
      </c>
      <c r="C2394" s="1" t="s">
        <v>6445</v>
      </c>
      <c r="D2394" s="1" t="s">
        <v>6446</v>
      </c>
      <c r="E2394" s="6">
        <v>2</v>
      </c>
    </row>
    <row r="2395" spans="1:5" x14ac:dyDescent="0.25">
      <c r="A2395" s="4" t="s">
        <v>7</v>
      </c>
      <c r="B2395" s="4" t="s">
        <v>6447</v>
      </c>
      <c r="C2395" s="1" t="s">
        <v>6448</v>
      </c>
      <c r="D2395" s="1" t="s">
        <v>6449</v>
      </c>
      <c r="E2395" s="6">
        <v>33</v>
      </c>
    </row>
    <row r="2396" spans="1:5" x14ac:dyDescent="0.25">
      <c r="A2396" s="4" t="s">
        <v>7</v>
      </c>
      <c r="B2396" s="4" t="s">
        <v>6450</v>
      </c>
      <c r="C2396" s="1" t="s">
        <v>6451</v>
      </c>
      <c r="D2396" s="1" t="s">
        <v>6452</v>
      </c>
      <c r="E2396" s="6">
        <v>39</v>
      </c>
    </row>
    <row r="2397" spans="1:5" x14ac:dyDescent="0.25">
      <c r="A2397" s="4" t="s">
        <v>7</v>
      </c>
      <c r="B2397" s="4" t="s">
        <v>6453</v>
      </c>
      <c r="C2397" s="1" t="s">
        <v>6454</v>
      </c>
      <c r="D2397" s="1" t="s">
        <v>6455</v>
      </c>
      <c r="E2397" s="6">
        <v>2</v>
      </c>
    </row>
    <row r="2398" spans="1:5" x14ac:dyDescent="0.25">
      <c r="A2398" s="4" t="s">
        <v>7</v>
      </c>
      <c r="B2398" s="4" t="s">
        <v>6456</v>
      </c>
      <c r="C2398" s="1" t="s">
        <v>6457</v>
      </c>
      <c r="D2398" s="1" t="s">
        <v>6458</v>
      </c>
      <c r="E2398" s="6">
        <v>7</v>
      </c>
    </row>
    <row r="2399" spans="1:5" x14ac:dyDescent="0.25">
      <c r="A2399" s="4" t="s">
        <v>7</v>
      </c>
      <c r="B2399" s="4" t="s">
        <v>6459</v>
      </c>
      <c r="C2399" s="1" t="s">
        <v>6460</v>
      </c>
      <c r="D2399" s="1" t="s">
        <v>6461</v>
      </c>
      <c r="E2399" s="6">
        <v>90</v>
      </c>
    </row>
    <row r="2400" spans="1:5" x14ac:dyDescent="0.25">
      <c r="A2400" s="4" t="s">
        <v>7</v>
      </c>
      <c r="B2400" s="4" t="s">
        <v>6462</v>
      </c>
      <c r="C2400" s="1" t="s">
        <v>6463</v>
      </c>
      <c r="D2400" s="1" t="s">
        <v>6464</v>
      </c>
      <c r="E2400" s="6">
        <v>82</v>
      </c>
    </row>
    <row r="2401" spans="1:5" x14ac:dyDescent="0.25">
      <c r="A2401" s="4" t="s">
        <v>7</v>
      </c>
      <c r="B2401" s="4" t="s">
        <v>6465</v>
      </c>
      <c r="C2401" s="1" t="s">
        <v>6466</v>
      </c>
      <c r="D2401" s="1" t="s">
        <v>6467</v>
      </c>
      <c r="E2401" s="6">
        <v>574</v>
      </c>
    </row>
    <row r="2402" spans="1:5" x14ac:dyDescent="0.25">
      <c r="A2402" s="4" t="s">
        <v>7</v>
      </c>
      <c r="B2402" s="4" t="s">
        <v>6468</v>
      </c>
      <c r="C2402" s="1" t="s">
        <v>6469</v>
      </c>
      <c r="D2402" s="1" t="s">
        <v>6470</v>
      </c>
      <c r="E2402" s="6">
        <v>693</v>
      </c>
    </row>
    <row r="2403" spans="1:5" x14ac:dyDescent="0.25">
      <c r="A2403" s="4" t="s">
        <v>7</v>
      </c>
      <c r="B2403" s="4" t="s">
        <v>6471</v>
      </c>
      <c r="C2403" s="1" t="s">
        <v>6472</v>
      </c>
      <c r="D2403" s="1" t="s">
        <v>6473</v>
      </c>
      <c r="E2403" s="6">
        <v>5</v>
      </c>
    </row>
    <row r="2404" spans="1:5" x14ac:dyDescent="0.25">
      <c r="A2404" s="4" t="s">
        <v>7</v>
      </c>
      <c r="B2404" s="4" t="s">
        <v>6474</v>
      </c>
      <c r="C2404" s="1" t="s">
        <v>6475</v>
      </c>
      <c r="D2404" s="1" t="s">
        <v>6476</v>
      </c>
      <c r="E2404" s="6">
        <v>33</v>
      </c>
    </row>
    <row r="2405" spans="1:5" x14ac:dyDescent="0.25">
      <c r="A2405" s="4" t="s">
        <v>7</v>
      </c>
      <c r="B2405" s="4" t="s">
        <v>6477</v>
      </c>
      <c r="C2405" s="1" t="s">
        <v>6478</v>
      </c>
      <c r="D2405" s="1" t="s">
        <v>6479</v>
      </c>
      <c r="E2405" s="6">
        <v>14</v>
      </c>
    </row>
    <row r="2406" spans="1:5" x14ac:dyDescent="0.25">
      <c r="A2406" s="4" t="s">
        <v>7</v>
      </c>
      <c r="B2406" s="4" t="s">
        <v>6480</v>
      </c>
      <c r="C2406" s="1" t="s">
        <v>6481</v>
      </c>
      <c r="D2406" s="1" t="s">
        <v>6482</v>
      </c>
      <c r="E2406" s="6">
        <v>4</v>
      </c>
    </row>
    <row r="2407" spans="1:5" x14ac:dyDescent="0.25">
      <c r="A2407" s="4" t="s">
        <v>7</v>
      </c>
      <c r="B2407" s="4" t="s">
        <v>6483</v>
      </c>
      <c r="C2407" s="1" t="s">
        <v>6484</v>
      </c>
      <c r="D2407" s="1" t="s">
        <v>6485</v>
      </c>
      <c r="E2407" s="6">
        <v>3</v>
      </c>
    </row>
    <row r="2408" spans="1:5" x14ac:dyDescent="0.25">
      <c r="A2408" s="4" t="s">
        <v>7</v>
      </c>
      <c r="B2408" s="4" t="s">
        <v>6486</v>
      </c>
      <c r="C2408" s="1" t="s">
        <v>6487</v>
      </c>
      <c r="D2408" s="1" t="s">
        <v>6488</v>
      </c>
      <c r="E2408" s="6">
        <v>4</v>
      </c>
    </row>
    <row r="2409" spans="1:5" x14ac:dyDescent="0.25">
      <c r="A2409" s="4" t="s">
        <v>7</v>
      </c>
      <c r="B2409" s="4" t="s">
        <v>6489</v>
      </c>
      <c r="C2409" s="1" t="s">
        <v>6490</v>
      </c>
      <c r="D2409" s="1" t="s">
        <v>6491</v>
      </c>
      <c r="E2409" s="6">
        <v>4</v>
      </c>
    </row>
    <row r="2410" spans="1:5" x14ac:dyDescent="0.25">
      <c r="A2410" s="4" t="s">
        <v>7</v>
      </c>
      <c r="B2410" s="4" t="s">
        <v>6492</v>
      </c>
      <c r="C2410" s="1" t="s">
        <v>6493</v>
      </c>
      <c r="D2410" s="1" t="s">
        <v>6494</v>
      </c>
      <c r="E2410" s="6">
        <v>1</v>
      </c>
    </row>
    <row r="2411" spans="1:5" x14ac:dyDescent="0.25">
      <c r="A2411" s="4" t="s">
        <v>7</v>
      </c>
      <c r="B2411" s="4" t="s">
        <v>6495</v>
      </c>
      <c r="C2411" s="1" t="s">
        <v>6496</v>
      </c>
      <c r="D2411" s="1" t="s">
        <v>6497</v>
      </c>
      <c r="E2411" s="6">
        <v>1</v>
      </c>
    </row>
    <row r="2412" spans="1:5" x14ac:dyDescent="0.25">
      <c r="A2412" s="4" t="s">
        <v>7</v>
      </c>
      <c r="B2412" s="4" t="s">
        <v>6498</v>
      </c>
      <c r="C2412" s="1" t="s">
        <v>6499</v>
      </c>
      <c r="D2412" s="1" t="s">
        <v>6500</v>
      </c>
      <c r="E2412" s="6">
        <v>2</v>
      </c>
    </row>
    <row r="2413" spans="1:5" x14ac:dyDescent="0.25">
      <c r="A2413" s="4" t="s">
        <v>7</v>
      </c>
      <c r="B2413" s="4" t="s">
        <v>6501</v>
      </c>
      <c r="C2413" s="1" t="s">
        <v>6502</v>
      </c>
      <c r="D2413" s="1" t="s">
        <v>6503</v>
      </c>
      <c r="E2413" s="6">
        <v>2</v>
      </c>
    </row>
    <row r="2414" spans="1:5" x14ac:dyDescent="0.25">
      <c r="A2414" s="4" t="s">
        <v>7</v>
      </c>
      <c r="B2414" s="4" t="s">
        <v>6504</v>
      </c>
      <c r="C2414" s="1" t="s">
        <v>6505</v>
      </c>
      <c r="D2414" s="1" t="s">
        <v>6506</v>
      </c>
      <c r="E2414" s="6">
        <v>52</v>
      </c>
    </row>
    <row r="2415" spans="1:5" x14ac:dyDescent="0.25">
      <c r="A2415" s="4" t="s">
        <v>7</v>
      </c>
      <c r="B2415" s="4" t="s">
        <v>6507</v>
      </c>
      <c r="C2415" s="1" t="s">
        <v>6508</v>
      </c>
      <c r="D2415" s="1" t="s">
        <v>6509</v>
      </c>
      <c r="E2415" s="6">
        <v>1</v>
      </c>
    </row>
    <row r="2416" spans="1:5" x14ac:dyDescent="0.25">
      <c r="A2416" s="4" t="s">
        <v>7</v>
      </c>
      <c r="B2416" s="4" t="s">
        <v>6510</v>
      </c>
      <c r="C2416" s="1" t="s">
        <v>6511</v>
      </c>
      <c r="D2416" s="1" t="s">
        <v>6512</v>
      </c>
      <c r="E2416" s="6">
        <v>7</v>
      </c>
    </row>
    <row r="2417" spans="1:5" x14ac:dyDescent="0.25">
      <c r="A2417" s="4" t="s">
        <v>7</v>
      </c>
      <c r="B2417" s="4" t="s">
        <v>6513</v>
      </c>
      <c r="C2417" s="1" t="s">
        <v>6514</v>
      </c>
      <c r="D2417" s="1" t="s">
        <v>6515</v>
      </c>
      <c r="E2417" s="6">
        <v>3</v>
      </c>
    </row>
    <row r="2418" spans="1:5" x14ac:dyDescent="0.25">
      <c r="A2418" s="4" t="s">
        <v>7</v>
      </c>
      <c r="B2418" s="4" t="s">
        <v>6516</v>
      </c>
      <c r="C2418" s="1" t="s">
        <v>6517</v>
      </c>
      <c r="D2418" s="1" t="s">
        <v>6518</v>
      </c>
      <c r="E2418" s="6">
        <v>4</v>
      </c>
    </row>
    <row r="2419" spans="1:5" x14ac:dyDescent="0.25">
      <c r="A2419" s="4" t="s">
        <v>7</v>
      </c>
      <c r="B2419" s="4" t="s">
        <v>6519</v>
      </c>
      <c r="C2419" s="1" t="s">
        <v>6520</v>
      </c>
      <c r="D2419" s="1" t="s">
        <v>6521</v>
      </c>
      <c r="E2419" s="6">
        <v>2</v>
      </c>
    </row>
    <row r="2420" spans="1:5" x14ac:dyDescent="0.25">
      <c r="A2420" s="4" t="s">
        <v>7</v>
      </c>
      <c r="B2420" s="4" t="s">
        <v>6522</v>
      </c>
      <c r="C2420" s="1" t="s">
        <v>6523</v>
      </c>
      <c r="D2420" s="1" t="s">
        <v>6524</v>
      </c>
      <c r="E2420" s="6">
        <v>1</v>
      </c>
    </row>
    <row r="2421" spans="1:5" x14ac:dyDescent="0.25">
      <c r="A2421" s="4" t="s">
        <v>7</v>
      </c>
      <c r="B2421" s="4" t="s">
        <v>6525</v>
      </c>
      <c r="C2421" s="1" t="s">
        <v>6526</v>
      </c>
      <c r="D2421" s="1" t="s">
        <v>6527</v>
      </c>
      <c r="E2421" s="6">
        <v>10</v>
      </c>
    </row>
    <row r="2422" spans="1:5" x14ac:dyDescent="0.25">
      <c r="A2422" s="4" t="s">
        <v>7</v>
      </c>
      <c r="B2422" s="4" t="s">
        <v>6528</v>
      </c>
      <c r="C2422" s="1" t="s">
        <v>6529</v>
      </c>
      <c r="D2422" s="1" t="s">
        <v>6530</v>
      </c>
      <c r="E2422" s="6">
        <v>19</v>
      </c>
    </row>
    <row r="2423" spans="1:5" x14ac:dyDescent="0.25">
      <c r="A2423" s="4" t="s">
        <v>7</v>
      </c>
      <c r="B2423" s="4" t="s">
        <v>6531</v>
      </c>
      <c r="C2423" s="1" t="s">
        <v>6532</v>
      </c>
      <c r="D2423" s="1" t="s">
        <v>6533</v>
      </c>
      <c r="E2423" s="6">
        <v>17</v>
      </c>
    </row>
    <row r="2424" spans="1:5" x14ac:dyDescent="0.25">
      <c r="A2424" s="4" t="s">
        <v>7</v>
      </c>
      <c r="B2424" s="4" t="s">
        <v>6534</v>
      </c>
      <c r="C2424" s="1" t="s">
        <v>6535</v>
      </c>
      <c r="D2424" s="1" t="s">
        <v>6536</v>
      </c>
      <c r="E2424" s="6">
        <v>5</v>
      </c>
    </row>
    <row r="2425" spans="1:5" x14ac:dyDescent="0.25">
      <c r="A2425" s="4" t="s">
        <v>7</v>
      </c>
      <c r="B2425" s="4" t="s">
        <v>6537</v>
      </c>
      <c r="C2425" s="1" t="s">
        <v>6538</v>
      </c>
      <c r="D2425" s="1" t="s">
        <v>6539</v>
      </c>
      <c r="E2425" s="6">
        <v>2</v>
      </c>
    </row>
    <row r="2426" spans="1:5" x14ac:dyDescent="0.25">
      <c r="A2426" s="4" t="s">
        <v>7</v>
      </c>
      <c r="B2426" s="4" t="s">
        <v>6540</v>
      </c>
      <c r="C2426" s="1" t="s">
        <v>6541</v>
      </c>
      <c r="D2426" s="1" t="s">
        <v>6542</v>
      </c>
      <c r="E2426" s="6">
        <v>5</v>
      </c>
    </row>
    <row r="2427" spans="1:5" x14ac:dyDescent="0.25">
      <c r="A2427" s="4" t="s">
        <v>7</v>
      </c>
      <c r="B2427" s="4" t="s">
        <v>6543</v>
      </c>
      <c r="C2427" s="1" t="s">
        <v>6544</v>
      </c>
      <c r="D2427" s="1" t="s">
        <v>6545</v>
      </c>
      <c r="E2427" s="6">
        <v>2</v>
      </c>
    </row>
    <row r="2428" spans="1:5" x14ac:dyDescent="0.25">
      <c r="A2428" s="4" t="s">
        <v>7</v>
      </c>
      <c r="B2428" s="4" t="s">
        <v>6546</v>
      </c>
      <c r="C2428" s="1" t="s">
        <v>6547</v>
      </c>
      <c r="D2428" s="1" t="s">
        <v>6548</v>
      </c>
      <c r="E2428" s="6">
        <v>7</v>
      </c>
    </row>
    <row r="2429" spans="1:5" x14ac:dyDescent="0.25">
      <c r="A2429" s="4" t="s">
        <v>7</v>
      </c>
      <c r="B2429" s="4" t="s">
        <v>6549</v>
      </c>
      <c r="C2429" s="1" t="s">
        <v>6550</v>
      </c>
      <c r="D2429" s="1" t="s">
        <v>6551</v>
      </c>
      <c r="E2429" s="6">
        <v>2</v>
      </c>
    </row>
    <row r="2430" spans="1:5" x14ac:dyDescent="0.25">
      <c r="A2430" s="4" t="s">
        <v>7</v>
      </c>
      <c r="B2430" s="4" t="s">
        <v>6552</v>
      </c>
      <c r="C2430" s="1" t="s">
        <v>6553</v>
      </c>
      <c r="D2430" s="1" t="s">
        <v>6554</v>
      </c>
      <c r="E2430" s="6">
        <v>10</v>
      </c>
    </row>
    <row r="2431" spans="1:5" x14ac:dyDescent="0.25">
      <c r="A2431" s="4" t="s">
        <v>7</v>
      </c>
      <c r="B2431" s="4" t="s">
        <v>6555</v>
      </c>
      <c r="C2431" s="1" t="s">
        <v>6556</v>
      </c>
      <c r="D2431" s="1" t="s">
        <v>6557</v>
      </c>
      <c r="E2431" s="6">
        <v>1</v>
      </c>
    </row>
    <row r="2432" spans="1:5" x14ac:dyDescent="0.25">
      <c r="A2432" s="4" t="s">
        <v>7</v>
      </c>
      <c r="B2432" s="4" t="s">
        <v>6558</v>
      </c>
      <c r="C2432" s="1" t="s">
        <v>6559</v>
      </c>
      <c r="D2432" s="1" t="s">
        <v>6560</v>
      </c>
      <c r="E2432" s="6">
        <v>2</v>
      </c>
    </row>
    <row r="2433" spans="1:5" x14ac:dyDescent="0.25">
      <c r="A2433" s="4" t="s">
        <v>7</v>
      </c>
      <c r="B2433" s="4" t="s">
        <v>6561</v>
      </c>
      <c r="C2433" s="1" t="s">
        <v>6562</v>
      </c>
      <c r="D2433" s="1" t="s">
        <v>6563</v>
      </c>
      <c r="E2433" s="6">
        <v>2</v>
      </c>
    </row>
    <row r="2434" spans="1:5" x14ac:dyDescent="0.25">
      <c r="A2434" s="4" t="s">
        <v>7</v>
      </c>
      <c r="B2434" s="4" t="s">
        <v>6564</v>
      </c>
      <c r="C2434" s="1" t="s">
        <v>6565</v>
      </c>
      <c r="D2434" s="1" t="s">
        <v>6566</v>
      </c>
      <c r="E2434" s="6">
        <v>1</v>
      </c>
    </row>
    <row r="2435" spans="1:5" x14ac:dyDescent="0.25">
      <c r="A2435" s="4" t="s">
        <v>7</v>
      </c>
      <c r="B2435" s="4" t="s">
        <v>6567</v>
      </c>
      <c r="C2435" s="1" t="s">
        <v>6568</v>
      </c>
      <c r="D2435" s="1" t="s">
        <v>6569</v>
      </c>
      <c r="E2435" s="6">
        <v>1</v>
      </c>
    </row>
    <row r="2436" spans="1:5" x14ac:dyDescent="0.25">
      <c r="A2436" s="4" t="s">
        <v>7</v>
      </c>
      <c r="B2436" s="4" t="s">
        <v>6570</v>
      </c>
      <c r="C2436" s="1" t="s">
        <v>6571</v>
      </c>
      <c r="D2436" s="1" t="s">
        <v>6572</v>
      </c>
      <c r="E2436" s="6">
        <v>5</v>
      </c>
    </row>
    <row r="2437" spans="1:5" x14ac:dyDescent="0.25">
      <c r="A2437" s="4" t="s">
        <v>7</v>
      </c>
      <c r="B2437" s="4" t="s">
        <v>6573</v>
      </c>
      <c r="C2437" s="1" t="s">
        <v>6574</v>
      </c>
      <c r="D2437" s="1" t="s">
        <v>6575</v>
      </c>
      <c r="E2437" s="6">
        <v>2</v>
      </c>
    </row>
    <row r="2438" spans="1:5" x14ac:dyDescent="0.25">
      <c r="A2438" s="4" t="s">
        <v>7</v>
      </c>
      <c r="B2438" s="4" t="s">
        <v>6576</v>
      </c>
      <c r="C2438" s="1" t="s">
        <v>6577</v>
      </c>
      <c r="D2438" s="1" t="s">
        <v>6578</v>
      </c>
      <c r="E2438" s="6">
        <v>2</v>
      </c>
    </row>
    <row r="2439" spans="1:5" x14ac:dyDescent="0.25">
      <c r="A2439" s="4" t="s">
        <v>7</v>
      </c>
      <c r="B2439" s="4" t="s">
        <v>6579</v>
      </c>
      <c r="C2439" s="1" t="s">
        <v>6580</v>
      </c>
      <c r="D2439" s="1" t="s">
        <v>6581</v>
      </c>
      <c r="E2439" s="6">
        <v>1</v>
      </c>
    </row>
    <row r="2440" spans="1:5" x14ac:dyDescent="0.25">
      <c r="A2440" s="4" t="s">
        <v>7</v>
      </c>
      <c r="B2440" s="4" t="s">
        <v>6582</v>
      </c>
      <c r="C2440" s="1" t="s">
        <v>6583</v>
      </c>
      <c r="D2440" s="1" t="s">
        <v>6584</v>
      </c>
      <c r="E2440" s="6">
        <v>27</v>
      </c>
    </row>
    <row r="2441" spans="1:5" x14ac:dyDescent="0.25">
      <c r="A2441" s="4" t="s">
        <v>7</v>
      </c>
      <c r="B2441" s="4" t="s">
        <v>6585</v>
      </c>
      <c r="C2441" s="1" t="s">
        <v>6586</v>
      </c>
      <c r="D2441" s="1" t="s">
        <v>6587</v>
      </c>
      <c r="E2441" s="6">
        <v>3</v>
      </c>
    </row>
    <row r="2442" spans="1:5" x14ac:dyDescent="0.25">
      <c r="A2442" s="4" t="s">
        <v>7</v>
      </c>
      <c r="B2442" s="4" t="s">
        <v>6588</v>
      </c>
      <c r="C2442" s="1" t="s">
        <v>6589</v>
      </c>
      <c r="D2442" s="1" t="s">
        <v>6590</v>
      </c>
      <c r="E2442" s="6">
        <v>2</v>
      </c>
    </row>
    <row r="2443" spans="1:5" x14ac:dyDescent="0.25">
      <c r="A2443" s="4" t="s">
        <v>7</v>
      </c>
      <c r="B2443" s="4" t="s">
        <v>6591</v>
      </c>
      <c r="C2443" s="1" t="s">
        <v>6592</v>
      </c>
      <c r="D2443" s="1" t="s">
        <v>6593</v>
      </c>
      <c r="E2443" s="6">
        <v>2</v>
      </c>
    </row>
    <row r="2444" spans="1:5" x14ac:dyDescent="0.25">
      <c r="A2444" s="4" t="s">
        <v>7</v>
      </c>
      <c r="B2444" s="4" t="s">
        <v>6594</v>
      </c>
      <c r="C2444" s="1" t="s">
        <v>6595</v>
      </c>
      <c r="D2444" s="1" t="s">
        <v>6596</v>
      </c>
      <c r="E2444" s="6">
        <v>1</v>
      </c>
    </row>
    <row r="2445" spans="1:5" x14ac:dyDescent="0.25">
      <c r="A2445" s="4" t="s">
        <v>7</v>
      </c>
      <c r="B2445" s="4" t="s">
        <v>6597</v>
      </c>
      <c r="C2445" s="1" t="s">
        <v>6598</v>
      </c>
      <c r="D2445" s="1" t="s">
        <v>6599</v>
      </c>
      <c r="E2445" s="6">
        <v>56</v>
      </c>
    </row>
    <row r="2446" spans="1:5" x14ac:dyDescent="0.25">
      <c r="A2446" s="4" t="s">
        <v>7</v>
      </c>
      <c r="B2446" s="4" t="s">
        <v>6600</v>
      </c>
      <c r="C2446" s="1" t="s">
        <v>6601</v>
      </c>
      <c r="D2446" s="1" t="s">
        <v>6602</v>
      </c>
      <c r="E2446" s="6">
        <v>3</v>
      </c>
    </row>
    <row r="2447" spans="1:5" x14ac:dyDescent="0.25">
      <c r="A2447" s="4" t="s">
        <v>7</v>
      </c>
      <c r="B2447" s="4" t="s">
        <v>6603</v>
      </c>
      <c r="C2447" s="1" t="s">
        <v>6604</v>
      </c>
      <c r="D2447" s="1" t="s">
        <v>6605</v>
      </c>
      <c r="E2447" s="6">
        <v>2</v>
      </c>
    </row>
    <row r="2448" spans="1:5" x14ac:dyDescent="0.25">
      <c r="A2448" s="4" t="s">
        <v>7</v>
      </c>
      <c r="B2448" s="4" t="s">
        <v>6606</v>
      </c>
      <c r="C2448" s="1" t="s">
        <v>6607</v>
      </c>
      <c r="D2448" s="1" t="s">
        <v>6608</v>
      </c>
      <c r="E2448" s="6">
        <v>2</v>
      </c>
    </row>
    <row r="2449" spans="1:5" x14ac:dyDescent="0.25">
      <c r="A2449" s="4" t="s">
        <v>7</v>
      </c>
      <c r="B2449" s="4" t="s">
        <v>6609</v>
      </c>
      <c r="C2449" s="1" t="s">
        <v>6610</v>
      </c>
      <c r="D2449" s="1" t="s">
        <v>6611</v>
      </c>
      <c r="E2449" s="6">
        <v>2</v>
      </c>
    </row>
    <row r="2450" spans="1:5" x14ac:dyDescent="0.25">
      <c r="A2450" s="4" t="s">
        <v>7</v>
      </c>
      <c r="B2450" s="4" t="s">
        <v>6612</v>
      </c>
      <c r="C2450" s="1" t="s">
        <v>6613</v>
      </c>
      <c r="D2450" s="1" t="s">
        <v>6614</v>
      </c>
      <c r="E2450" s="6">
        <v>22</v>
      </c>
    </row>
    <row r="2451" spans="1:5" x14ac:dyDescent="0.25">
      <c r="A2451" s="4" t="s">
        <v>7</v>
      </c>
      <c r="B2451" s="4" t="s">
        <v>6615</v>
      </c>
      <c r="C2451" s="1" t="s">
        <v>6616</v>
      </c>
      <c r="D2451" s="1" t="s">
        <v>6617</v>
      </c>
      <c r="E2451" s="6">
        <v>2</v>
      </c>
    </row>
    <row r="2452" spans="1:5" x14ac:dyDescent="0.25">
      <c r="A2452" s="4" t="s">
        <v>7</v>
      </c>
      <c r="B2452" s="4" t="s">
        <v>6618</v>
      </c>
      <c r="C2452" s="1" t="s">
        <v>6619</v>
      </c>
      <c r="D2452" s="1" t="s">
        <v>6620</v>
      </c>
      <c r="E2452" s="6">
        <v>2</v>
      </c>
    </row>
    <row r="2453" spans="1:5" x14ac:dyDescent="0.25">
      <c r="A2453" s="4" t="s">
        <v>7</v>
      </c>
      <c r="B2453" s="4" t="s">
        <v>6621</v>
      </c>
      <c r="C2453" s="1" t="s">
        <v>6622</v>
      </c>
      <c r="D2453" s="1" t="s">
        <v>6623</v>
      </c>
      <c r="E2453" s="6">
        <v>3</v>
      </c>
    </row>
    <row r="2454" spans="1:5" x14ac:dyDescent="0.25">
      <c r="A2454" s="4" t="s">
        <v>7</v>
      </c>
      <c r="B2454" s="4" t="s">
        <v>6624</v>
      </c>
      <c r="C2454" s="1" t="s">
        <v>6625</v>
      </c>
      <c r="D2454" s="1" t="s">
        <v>6626</v>
      </c>
      <c r="E2454" s="6">
        <v>33</v>
      </c>
    </row>
    <row r="2455" spans="1:5" x14ac:dyDescent="0.25">
      <c r="A2455" s="4" t="s">
        <v>7</v>
      </c>
      <c r="B2455" s="4" t="s">
        <v>6627</v>
      </c>
      <c r="C2455" s="1" t="s">
        <v>6628</v>
      </c>
      <c r="D2455" s="1" t="s">
        <v>6629</v>
      </c>
      <c r="E2455" s="6">
        <v>2</v>
      </c>
    </row>
    <row r="2456" spans="1:5" x14ac:dyDescent="0.25">
      <c r="A2456" s="4" t="s">
        <v>7</v>
      </c>
      <c r="B2456" s="4" t="s">
        <v>6630</v>
      </c>
      <c r="C2456" s="1" t="s">
        <v>6631</v>
      </c>
      <c r="D2456" s="1" t="s">
        <v>6632</v>
      </c>
      <c r="E2456" s="6">
        <v>38</v>
      </c>
    </row>
    <row r="2457" spans="1:5" x14ac:dyDescent="0.25">
      <c r="A2457" s="4" t="s">
        <v>7</v>
      </c>
      <c r="B2457" s="4" t="s">
        <v>6633</v>
      </c>
      <c r="C2457" s="1" t="s">
        <v>6634</v>
      </c>
      <c r="D2457" s="1" t="s">
        <v>6635</v>
      </c>
      <c r="E2457" s="6">
        <v>1</v>
      </c>
    </row>
    <row r="2458" spans="1:5" x14ac:dyDescent="0.25">
      <c r="A2458" s="4" t="s">
        <v>7</v>
      </c>
      <c r="B2458" s="4" t="s">
        <v>6636</v>
      </c>
      <c r="C2458" s="1" t="s">
        <v>6637</v>
      </c>
      <c r="D2458" s="1" t="s">
        <v>6638</v>
      </c>
      <c r="E2458" s="6">
        <v>1</v>
      </c>
    </row>
    <row r="2459" spans="1:5" x14ac:dyDescent="0.25">
      <c r="A2459" s="4" t="s">
        <v>7</v>
      </c>
      <c r="B2459" s="4" t="s">
        <v>6639</v>
      </c>
      <c r="C2459" s="1" t="s">
        <v>6640</v>
      </c>
      <c r="D2459" s="1" t="s">
        <v>6641</v>
      </c>
      <c r="E2459" s="6">
        <v>7</v>
      </c>
    </row>
    <row r="2460" spans="1:5" x14ac:dyDescent="0.25">
      <c r="A2460" s="4" t="s">
        <v>7</v>
      </c>
      <c r="B2460" s="4" t="s">
        <v>6642</v>
      </c>
      <c r="C2460" s="1" t="s">
        <v>6643</v>
      </c>
      <c r="D2460" s="1" t="s">
        <v>6644</v>
      </c>
      <c r="E2460" s="6">
        <v>66</v>
      </c>
    </row>
    <row r="2461" spans="1:5" x14ac:dyDescent="0.25">
      <c r="A2461" s="4" t="s">
        <v>7</v>
      </c>
      <c r="B2461" s="4" t="s">
        <v>6645</v>
      </c>
      <c r="C2461" s="1" t="s">
        <v>6646</v>
      </c>
      <c r="D2461" s="1" t="s">
        <v>6647</v>
      </c>
      <c r="E2461" s="6">
        <v>2</v>
      </c>
    </row>
    <row r="2462" spans="1:5" x14ac:dyDescent="0.25">
      <c r="A2462" s="4" t="s">
        <v>7</v>
      </c>
      <c r="B2462" s="4" t="s">
        <v>6648</v>
      </c>
      <c r="C2462" s="1" t="s">
        <v>6649</v>
      </c>
      <c r="D2462" s="1" t="s">
        <v>6650</v>
      </c>
      <c r="E2462" s="6">
        <v>42</v>
      </c>
    </row>
    <row r="2463" spans="1:5" x14ac:dyDescent="0.25">
      <c r="A2463" s="4" t="s">
        <v>7</v>
      </c>
      <c r="B2463" s="4" t="s">
        <v>6651</v>
      </c>
      <c r="C2463" s="1" t="s">
        <v>6652</v>
      </c>
      <c r="D2463" s="1" t="s">
        <v>6653</v>
      </c>
      <c r="E2463" s="6">
        <v>8</v>
      </c>
    </row>
    <row r="2464" spans="1:5" x14ac:dyDescent="0.25">
      <c r="A2464" s="4" t="s">
        <v>7</v>
      </c>
      <c r="B2464" s="4" t="s">
        <v>6654</v>
      </c>
      <c r="C2464" s="1" t="s">
        <v>6655</v>
      </c>
      <c r="D2464" s="1" t="s">
        <v>6656</v>
      </c>
      <c r="E2464" s="6">
        <v>8</v>
      </c>
    </row>
    <row r="2465" spans="1:5" x14ac:dyDescent="0.25">
      <c r="A2465" s="4" t="s">
        <v>7</v>
      </c>
      <c r="B2465" s="4" t="s">
        <v>6657</v>
      </c>
      <c r="C2465" s="1" t="s">
        <v>6658</v>
      </c>
      <c r="D2465" s="1" t="s">
        <v>6659</v>
      </c>
      <c r="E2465" s="6">
        <v>128</v>
      </c>
    </row>
    <row r="2466" spans="1:5" x14ac:dyDescent="0.25">
      <c r="A2466" s="4" t="s">
        <v>7</v>
      </c>
      <c r="B2466" s="4" t="s">
        <v>6660</v>
      </c>
      <c r="C2466" s="1" t="s">
        <v>6661</v>
      </c>
      <c r="D2466" s="1" t="s">
        <v>6662</v>
      </c>
      <c r="E2466" s="6">
        <v>27</v>
      </c>
    </row>
    <row r="2467" spans="1:5" x14ac:dyDescent="0.25">
      <c r="A2467" s="4" t="s">
        <v>7</v>
      </c>
      <c r="B2467" s="4" t="s">
        <v>6663</v>
      </c>
      <c r="C2467" s="1" t="s">
        <v>6664</v>
      </c>
      <c r="D2467" s="1" t="s">
        <v>6665</v>
      </c>
      <c r="E2467" s="6">
        <v>5.39</v>
      </c>
    </row>
    <row r="2468" spans="1:5" x14ac:dyDescent="0.25">
      <c r="A2468" s="4" t="s">
        <v>7</v>
      </c>
      <c r="B2468" s="4" t="s">
        <v>6666</v>
      </c>
      <c r="C2468" s="1" t="s">
        <v>6667</v>
      </c>
      <c r="D2468" s="1" t="s">
        <v>6668</v>
      </c>
      <c r="E2468" s="6">
        <v>496</v>
      </c>
    </row>
    <row r="2469" spans="1:5" x14ac:dyDescent="0.25">
      <c r="A2469" s="4" t="s">
        <v>7</v>
      </c>
      <c r="B2469" s="4" t="s">
        <v>6669</v>
      </c>
      <c r="C2469" s="1" t="s">
        <v>6670</v>
      </c>
      <c r="D2469" s="1" t="s">
        <v>6671</v>
      </c>
      <c r="E2469" s="6">
        <v>496</v>
      </c>
    </row>
    <row r="2470" spans="1:5" x14ac:dyDescent="0.25">
      <c r="A2470" s="4" t="s">
        <v>7</v>
      </c>
      <c r="B2470" s="4" t="s">
        <v>6672</v>
      </c>
      <c r="C2470" s="1" t="s">
        <v>6673</v>
      </c>
      <c r="D2470" s="1" t="s">
        <v>6674</v>
      </c>
      <c r="E2470" s="6">
        <v>19</v>
      </c>
    </row>
    <row r="2471" spans="1:5" x14ac:dyDescent="0.25">
      <c r="A2471" s="4" t="s">
        <v>7</v>
      </c>
      <c r="B2471" s="4" t="s">
        <v>6675</v>
      </c>
      <c r="C2471" s="1" t="s">
        <v>6676</v>
      </c>
      <c r="D2471" s="1" t="s">
        <v>6677</v>
      </c>
      <c r="E2471" s="6">
        <v>25</v>
      </c>
    </row>
    <row r="2472" spans="1:5" x14ac:dyDescent="0.25">
      <c r="A2472" s="4" t="s">
        <v>7</v>
      </c>
      <c r="B2472" s="4" t="s">
        <v>6678</v>
      </c>
      <c r="C2472" s="1" t="s">
        <v>6679</v>
      </c>
      <c r="D2472" s="1" t="s">
        <v>6680</v>
      </c>
      <c r="E2472" s="6">
        <v>25</v>
      </c>
    </row>
    <row r="2473" spans="1:5" x14ac:dyDescent="0.25">
      <c r="A2473" s="4" t="s">
        <v>7</v>
      </c>
      <c r="B2473" s="4" t="s">
        <v>6681</v>
      </c>
      <c r="C2473" s="1" t="s">
        <v>6682</v>
      </c>
      <c r="D2473" s="1" t="s">
        <v>6683</v>
      </c>
      <c r="E2473" s="6">
        <v>315</v>
      </c>
    </row>
    <row r="2474" spans="1:5" x14ac:dyDescent="0.25">
      <c r="A2474" s="4" t="s">
        <v>7</v>
      </c>
      <c r="B2474" s="4" t="s">
        <v>6684</v>
      </c>
      <c r="C2474" s="1" t="s">
        <v>6685</v>
      </c>
      <c r="D2474" s="1" t="s">
        <v>6686</v>
      </c>
      <c r="E2474" s="6">
        <v>37</v>
      </c>
    </row>
    <row r="2475" spans="1:5" x14ac:dyDescent="0.25">
      <c r="A2475" s="4" t="s">
        <v>7</v>
      </c>
      <c r="B2475" s="4" t="s">
        <v>6687</v>
      </c>
      <c r="C2475" s="1" t="s">
        <v>6688</v>
      </c>
      <c r="D2475" s="1" t="s">
        <v>6689</v>
      </c>
      <c r="E2475" s="6">
        <v>183</v>
      </c>
    </row>
    <row r="2476" spans="1:5" x14ac:dyDescent="0.25">
      <c r="A2476" s="4" t="s">
        <v>7</v>
      </c>
      <c r="B2476" s="4" t="s">
        <v>6690</v>
      </c>
      <c r="C2476" s="1" t="s">
        <v>6691</v>
      </c>
      <c r="D2476" s="1" t="s">
        <v>6692</v>
      </c>
      <c r="E2476" s="6">
        <v>118</v>
      </c>
    </row>
    <row r="2477" spans="1:5" x14ac:dyDescent="0.25">
      <c r="A2477" s="4" t="s">
        <v>7</v>
      </c>
      <c r="B2477" s="4" t="s">
        <v>6693</v>
      </c>
      <c r="C2477" s="1" t="s">
        <v>6694</v>
      </c>
      <c r="D2477" s="1" t="s">
        <v>6695</v>
      </c>
      <c r="E2477" s="6">
        <v>24</v>
      </c>
    </row>
    <row r="2478" spans="1:5" x14ac:dyDescent="0.25">
      <c r="A2478" s="4" t="s">
        <v>7</v>
      </c>
      <c r="B2478" s="4" t="s">
        <v>6696</v>
      </c>
      <c r="C2478" s="1" t="s">
        <v>6697</v>
      </c>
      <c r="D2478" s="1" t="s">
        <v>6698</v>
      </c>
      <c r="E2478" s="6">
        <v>10</v>
      </c>
    </row>
    <row r="2479" spans="1:5" x14ac:dyDescent="0.25">
      <c r="A2479" s="4" t="s">
        <v>7</v>
      </c>
      <c r="B2479" s="4" t="s">
        <v>6699</v>
      </c>
      <c r="C2479" s="1" t="s">
        <v>6700</v>
      </c>
      <c r="D2479" s="1" t="s">
        <v>6701</v>
      </c>
      <c r="E2479" s="6">
        <v>19</v>
      </c>
    </row>
    <row r="2480" spans="1:5" x14ac:dyDescent="0.25">
      <c r="A2480" s="4" t="s">
        <v>7</v>
      </c>
      <c r="B2480" s="4" t="s">
        <v>6702</v>
      </c>
      <c r="C2480" s="1" t="s">
        <v>6703</v>
      </c>
      <c r="D2480" s="1" t="s">
        <v>6704</v>
      </c>
      <c r="E2480" s="6">
        <v>342</v>
      </c>
    </row>
    <row r="2481" spans="1:5" x14ac:dyDescent="0.25">
      <c r="A2481" s="4" t="s">
        <v>7</v>
      </c>
      <c r="B2481" s="4" t="s">
        <v>6705</v>
      </c>
      <c r="C2481" s="1" t="s">
        <v>6706</v>
      </c>
      <c r="D2481" s="1" t="s">
        <v>6707</v>
      </c>
      <c r="E2481" s="6">
        <v>31</v>
      </c>
    </row>
    <row r="2482" spans="1:5" x14ac:dyDescent="0.25">
      <c r="A2482" s="4" t="s">
        <v>7</v>
      </c>
      <c r="B2482" s="4" t="s">
        <v>6708</v>
      </c>
      <c r="C2482" s="1" t="s">
        <v>6709</v>
      </c>
      <c r="D2482" s="1" t="s">
        <v>6710</v>
      </c>
      <c r="E2482" s="6">
        <v>226</v>
      </c>
    </row>
    <row r="2483" spans="1:5" x14ac:dyDescent="0.25">
      <c r="A2483" s="4" t="s">
        <v>7</v>
      </c>
      <c r="B2483" s="4" t="s">
        <v>6711</v>
      </c>
      <c r="C2483" s="1" t="s">
        <v>6712</v>
      </c>
      <c r="D2483" s="1" t="s">
        <v>6713</v>
      </c>
      <c r="E2483" s="6">
        <v>15</v>
      </c>
    </row>
    <row r="2484" spans="1:5" x14ac:dyDescent="0.25">
      <c r="A2484" s="4" t="s">
        <v>7</v>
      </c>
      <c r="B2484" s="4" t="s">
        <v>6714</v>
      </c>
      <c r="C2484" s="1" t="s">
        <v>6715</v>
      </c>
      <c r="D2484" s="1" t="s">
        <v>6716</v>
      </c>
      <c r="E2484" s="6">
        <v>21</v>
      </c>
    </row>
    <row r="2485" spans="1:5" x14ac:dyDescent="0.25">
      <c r="A2485" s="4" t="s">
        <v>7</v>
      </c>
      <c r="B2485" s="4" t="s">
        <v>6717</v>
      </c>
      <c r="C2485" s="1" t="s">
        <v>6718</v>
      </c>
      <c r="D2485" s="1" t="s">
        <v>6719</v>
      </c>
      <c r="E2485" s="6">
        <v>22</v>
      </c>
    </row>
    <row r="2486" spans="1:5" x14ac:dyDescent="0.25">
      <c r="A2486" s="4" t="s">
        <v>7</v>
      </c>
      <c r="B2486" s="4" t="s">
        <v>6720</v>
      </c>
      <c r="C2486" s="1" t="s">
        <v>6721</v>
      </c>
      <c r="D2486" s="1" t="s">
        <v>6722</v>
      </c>
      <c r="E2486" s="6">
        <v>11</v>
      </c>
    </row>
    <row r="2487" spans="1:5" x14ac:dyDescent="0.25">
      <c r="A2487" s="4" t="s">
        <v>7</v>
      </c>
      <c r="B2487" s="4" t="s">
        <v>6723</v>
      </c>
      <c r="C2487" s="1" t="s">
        <v>6724</v>
      </c>
      <c r="D2487" s="1" t="s">
        <v>6725</v>
      </c>
      <c r="E2487" s="6">
        <v>710</v>
      </c>
    </row>
    <row r="2488" spans="1:5" x14ac:dyDescent="0.25">
      <c r="A2488" s="4" t="s">
        <v>7</v>
      </c>
      <c r="B2488" s="4" t="s">
        <v>6726</v>
      </c>
      <c r="C2488" s="1" t="s">
        <v>6727</v>
      </c>
      <c r="D2488" s="1" t="s">
        <v>6728</v>
      </c>
      <c r="E2488" s="6">
        <v>78.510000000000005</v>
      </c>
    </row>
    <row r="2489" spans="1:5" x14ac:dyDescent="0.25">
      <c r="A2489" s="4" t="s">
        <v>7</v>
      </c>
      <c r="B2489" s="4" t="s">
        <v>6729</v>
      </c>
      <c r="C2489" s="1" t="s">
        <v>6730</v>
      </c>
      <c r="D2489" s="1" t="s">
        <v>6731</v>
      </c>
      <c r="E2489" s="6">
        <v>15</v>
      </c>
    </row>
    <row r="2490" spans="1:5" x14ac:dyDescent="0.25">
      <c r="A2490" s="4" t="s">
        <v>7</v>
      </c>
      <c r="B2490" s="4" t="s">
        <v>6732</v>
      </c>
      <c r="C2490" s="1" t="s">
        <v>6733</v>
      </c>
      <c r="D2490" s="1" t="s">
        <v>6734</v>
      </c>
      <c r="E2490" s="6">
        <v>30</v>
      </c>
    </row>
    <row r="2491" spans="1:5" x14ac:dyDescent="0.25">
      <c r="A2491" s="4" t="s">
        <v>7</v>
      </c>
      <c r="B2491" s="4" t="s">
        <v>6735</v>
      </c>
      <c r="C2491" s="1" t="s">
        <v>6736</v>
      </c>
      <c r="D2491" s="1" t="s">
        <v>6737</v>
      </c>
      <c r="E2491" s="6">
        <v>387</v>
      </c>
    </row>
    <row r="2492" spans="1:5" x14ac:dyDescent="0.25">
      <c r="A2492" s="4" t="s">
        <v>7</v>
      </c>
      <c r="B2492" s="4" t="s">
        <v>6738</v>
      </c>
      <c r="C2492" s="1" t="s">
        <v>6739</v>
      </c>
      <c r="D2492" s="1" t="s">
        <v>6740</v>
      </c>
      <c r="E2492" s="6">
        <v>31</v>
      </c>
    </row>
    <row r="2493" spans="1:5" x14ac:dyDescent="0.25">
      <c r="A2493" s="4" t="s">
        <v>7</v>
      </c>
      <c r="B2493" s="4" t="s">
        <v>6741</v>
      </c>
      <c r="C2493" s="1" t="s">
        <v>6742</v>
      </c>
      <c r="D2493" s="1" t="s">
        <v>6743</v>
      </c>
      <c r="E2493" s="6">
        <v>3</v>
      </c>
    </row>
    <row r="2494" spans="1:5" x14ac:dyDescent="0.25">
      <c r="A2494" s="4" t="s">
        <v>7</v>
      </c>
      <c r="B2494" s="4" t="s">
        <v>6744</v>
      </c>
      <c r="C2494" s="1" t="s">
        <v>6745</v>
      </c>
      <c r="D2494" s="1" t="s">
        <v>6746</v>
      </c>
      <c r="E2494" s="6">
        <v>18</v>
      </c>
    </row>
    <row r="2495" spans="1:5" x14ac:dyDescent="0.25">
      <c r="A2495" s="4" t="s">
        <v>7</v>
      </c>
      <c r="B2495" s="4" t="s">
        <v>6747</v>
      </c>
      <c r="C2495" s="1" t="s">
        <v>6748</v>
      </c>
      <c r="D2495" s="1" t="s">
        <v>6749</v>
      </c>
      <c r="E2495" s="6">
        <v>33</v>
      </c>
    </row>
    <row r="2496" spans="1:5" x14ac:dyDescent="0.25">
      <c r="A2496" s="4" t="s">
        <v>7</v>
      </c>
      <c r="B2496" s="4" t="s">
        <v>6750</v>
      </c>
      <c r="C2496" s="1" t="s">
        <v>6751</v>
      </c>
      <c r="D2496" s="1" t="s">
        <v>6752</v>
      </c>
      <c r="E2496" s="6">
        <v>40</v>
      </c>
    </row>
    <row r="2497" spans="1:5" x14ac:dyDescent="0.25">
      <c r="A2497" s="4" t="s">
        <v>7</v>
      </c>
      <c r="B2497" s="4" t="s">
        <v>6753</v>
      </c>
      <c r="C2497" s="1" t="s">
        <v>6754</v>
      </c>
      <c r="D2497" s="1" t="s">
        <v>6755</v>
      </c>
      <c r="E2497" s="6">
        <v>20</v>
      </c>
    </row>
    <row r="2498" spans="1:5" x14ac:dyDescent="0.25">
      <c r="A2498" s="4" t="s">
        <v>7</v>
      </c>
      <c r="B2498" s="4" t="s">
        <v>6756</v>
      </c>
      <c r="C2498" s="1" t="s">
        <v>6757</v>
      </c>
      <c r="D2498" s="1" t="s">
        <v>6758</v>
      </c>
      <c r="E2498" s="6">
        <v>33</v>
      </c>
    </row>
    <row r="2499" spans="1:5" x14ac:dyDescent="0.25">
      <c r="A2499" s="4" t="s">
        <v>7</v>
      </c>
      <c r="B2499" s="4" t="s">
        <v>6759</v>
      </c>
      <c r="C2499" s="1" t="s">
        <v>6760</v>
      </c>
      <c r="D2499" s="1" t="s">
        <v>6761</v>
      </c>
      <c r="E2499" s="6">
        <v>5</v>
      </c>
    </row>
    <row r="2500" spans="1:5" x14ac:dyDescent="0.25">
      <c r="A2500" s="4" t="s">
        <v>7</v>
      </c>
      <c r="B2500" s="4" t="s">
        <v>6762</v>
      </c>
      <c r="C2500" s="1" t="s">
        <v>6763</v>
      </c>
      <c r="D2500" s="1" t="s">
        <v>6764</v>
      </c>
      <c r="E2500" s="6">
        <v>59</v>
      </c>
    </row>
    <row r="2501" spans="1:5" x14ac:dyDescent="0.25">
      <c r="A2501" s="4" t="s">
        <v>7</v>
      </c>
      <c r="B2501" s="4" t="s">
        <v>6765</v>
      </c>
      <c r="C2501" s="1" t="s">
        <v>6766</v>
      </c>
      <c r="D2501" s="1" t="s">
        <v>6767</v>
      </c>
      <c r="E2501" s="6">
        <v>13</v>
      </c>
    </row>
    <row r="2502" spans="1:5" x14ac:dyDescent="0.25">
      <c r="A2502" s="4" t="s">
        <v>7</v>
      </c>
      <c r="B2502" s="4" t="s">
        <v>6768</v>
      </c>
      <c r="C2502" s="1" t="s">
        <v>6769</v>
      </c>
      <c r="D2502" s="1" t="s">
        <v>6770</v>
      </c>
      <c r="E2502" s="6">
        <v>63</v>
      </c>
    </row>
    <row r="2503" spans="1:5" x14ac:dyDescent="0.25">
      <c r="A2503" s="4" t="s">
        <v>7</v>
      </c>
      <c r="B2503" s="4" t="s">
        <v>6771</v>
      </c>
      <c r="C2503" s="1" t="s">
        <v>6772</v>
      </c>
      <c r="D2503" s="1" t="s">
        <v>6773</v>
      </c>
      <c r="E2503" s="6">
        <v>10</v>
      </c>
    </row>
    <row r="2504" spans="1:5" x14ac:dyDescent="0.25">
      <c r="A2504" s="4" t="s">
        <v>7</v>
      </c>
      <c r="B2504" s="4" t="s">
        <v>6774</v>
      </c>
      <c r="C2504" s="1" t="s">
        <v>6775</v>
      </c>
      <c r="D2504" s="1" t="s">
        <v>6776</v>
      </c>
      <c r="E2504" s="6">
        <v>23</v>
      </c>
    </row>
    <row r="2505" spans="1:5" x14ac:dyDescent="0.25">
      <c r="A2505" s="4" t="s">
        <v>7</v>
      </c>
      <c r="B2505" s="4" t="s">
        <v>6777</v>
      </c>
      <c r="C2505" s="1" t="s">
        <v>6778</v>
      </c>
      <c r="D2505" s="1" t="s">
        <v>6779</v>
      </c>
      <c r="E2505" s="6">
        <v>59</v>
      </c>
    </row>
    <row r="2506" spans="1:5" x14ac:dyDescent="0.25">
      <c r="A2506" s="4" t="s">
        <v>7</v>
      </c>
      <c r="B2506" s="4" t="s">
        <v>6780</v>
      </c>
      <c r="C2506" s="1" t="s">
        <v>6781</v>
      </c>
      <c r="D2506" s="1" t="s">
        <v>6782</v>
      </c>
      <c r="E2506" s="6">
        <v>26</v>
      </c>
    </row>
    <row r="2507" spans="1:5" x14ac:dyDescent="0.25">
      <c r="A2507" s="4" t="s">
        <v>7</v>
      </c>
      <c r="B2507" s="4" t="s">
        <v>6783</v>
      </c>
      <c r="C2507" s="1" t="s">
        <v>6784</v>
      </c>
      <c r="D2507" s="1" t="s">
        <v>6785</v>
      </c>
      <c r="E2507" s="6">
        <v>113</v>
      </c>
    </row>
    <row r="2508" spans="1:5" x14ac:dyDescent="0.25">
      <c r="A2508" s="4" t="s">
        <v>7</v>
      </c>
      <c r="B2508" s="4" t="s">
        <v>6786</v>
      </c>
      <c r="C2508" s="1" t="s">
        <v>6787</v>
      </c>
      <c r="D2508" s="1" t="s">
        <v>6788</v>
      </c>
      <c r="E2508" s="6">
        <v>37</v>
      </c>
    </row>
    <row r="2509" spans="1:5" x14ac:dyDescent="0.25">
      <c r="A2509" s="4" t="s">
        <v>7</v>
      </c>
      <c r="B2509" s="4" t="s">
        <v>6789</v>
      </c>
      <c r="C2509" s="1" t="s">
        <v>6790</v>
      </c>
      <c r="D2509" s="1" t="s">
        <v>6791</v>
      </c>
      <c r="E2509" s="6">
        <v>39</v>
      </c>
    </row>
    <row r="2510" spans="1:5" x14ac:dyDescent="0.25">
      <c r="A2510" s="4" t="s">
        <v>7</v>
      </c>
      <c r="B2510" s="4" t="s">
        <v>6792</v>
      </c>
      <c r="C2510" s="1" t="s">
        <v>6793</v>
      </c>
      <c r="D2510" s="1" t="s">
        <v>6794</v>
      </c>
      <c r="E2510" s="6">
        <v>11</v>
      </c>
    </row>
    <row r="2511" spans="1:5" x14ac:dyDescent="0.25">
      <c r="A2511" s="4" t="s">
        <v>7</v>
      </c>
      <c r="B2511" s="4" t="s">
        <v>6795</v>
      </c>
      <c r="C2511" s="1" t="s">
        <v>6796</v>
      </c>
      <c r="D2511" s="1" t="s">
        <v>6797</v>
      </c>
      <c r="E2511" s="6">
        <v>18</v>
      </c>
    </row>
    <row r="2512" spans="1:5" x14ac:dyDescent="0.25">
      <c r="A2512" s="4" t="s">
        <v>7</v>
      </c>
      <c r="B2512" s="4" t="s">
        <v>6798</v>
      </c>
      <c r="C2512" s="1" t="s">
        <v>6799</v>
      </c>
      <c r="D2512" s="1" t="s">
        <v>6800</v>
      </c>
      <c r="E2512" s="6">
        <v>7.12</v>
      </c>
    </row>
    <row r="2513" spans="1:5" x14ac:dyDescent="0.25">
      <c r="A2513" s="4" t="s">
        <v>7</v>
      </c>
      <c r="B2513" s="4" t="s">
        <v>6801</v>
      </c>
      <c r="C2513" s="1" t="s">
        <v>6802</v>
      </c>
      <c r="D2513" s="1" t="s">
        <v>6802</v>
      </c>
      <c r="E2513" s="6">
        <v>12</v>
      </c>
    </row>
    <row r="2514" spans="1:5" x14ac:dyDescent="0.25">
      <c r="A2514" s="4" t="s">
        <v>7</v>
      </c>
      <c r="B2514" s="4" t="s">
        <v>6803</v>
      </c>
      <c r="C2514" s="1" t="s">
        <v>6804</v>
      </c>
      <c r="D2514" s="1" t="s">
        <v>6805</v>
      </c>
      <c r="E2514" s="6">
        <v>610</v>
      </c>
    </row>
    <row r="2515" spans="1:5" x14ac:dyDescent="0.25">
      <c r="A2515" s="4" t="s">
        <v>7</v>
      </c>
      <c r="B2515" s="4" t="s">
        <v>6806</v>
      </c>
      <c r="C2515" s="1" t="s">
        <v>6807</v>
      </c>
      <c r="D2515" s="1" t="s">
        <v>6808</v>
      </c>
      <c r="E2515" s="6">
        <v>47</v>
      </c>
    </row>
    <row r="2516" spans="1:5" x14ac:dyDescent="0.25">
      <c r="A2516" s="4" t="s">
        <v>7</v>
      </c>
      <c r="B2516" s="4" t="s">
        <v>6809</v>
      </c>
      <c r="C2516" s="1" t="s">
        <v>6810</v>
      </c>
      <c r="D2516" s="1" t="s">
        <v>6811</v>
      </c>
      <c r="E2516" s="6">
        <v>7</v>
      </c>
    </row>
    <row r="2517" spans="1:5" x14ac:dyDescent="0.25">
      <c r="A2517" s="4" t="s">
        <v>7</v>
      </c>
      <c r="B2517" s="4" t="s">
        <v>6812</v>
      </c>
      <c r="C2517" s="1" t="s">
        <v>6813</v>
      </c>
      <c r="D2517" s="1" t="s">
        <v>6814</v>
      </c>
      <c r="E2517" s="6">
        <v>238</v>
      </c>
    </row>
    <row r="2518" spans="1:5" x14ac:dyDescent="0.25">
      <c r="A2518" s="4" t="s">
        <v>7</v>
      </c>
      <c r="B2518" s="4" t="s">
        <v>6815</v>
      </c>
      <c r="C2518" s="1" t="s">
        <v>6816</v>
      </c>
      <c r="D2518" s="1" t="s">
        <v>6817</v>
      </c>
      <c r="E2518" s="6">
        <v>15</v>
      </c>
    </row>
    <row r="2519" spans="1:5" x14ac:dyDescent="0.25">
      <c r="A2519" s="4" t="s">
        <v>7</v>
      </c>
      <c r="B2519" s="4" t="s">
        <v>6818</v>
      </c>
      <c r="C2519" s="1" t="s">
        <v>6819</v>
      </c>
      <c r="D2519" s="1" t="s">
        <v>6820</v>
      </c>
      <c r="E2519" s="6">
        <v>45</v>
      </c>
    </row>
    <row r="2520" spans="1:5" x14ac:dyDescent="0.25">
      <c r="A2520" s="4" t="s">
        <v>7</v>
      </c>
      <c r="B2520" s="4" t="s">
        <v>6821</v>
      </c>
      <c r="C2520" s="1" t="s">
        <v>6822</v>
      </c>
      <c r="D2520" s="1" t="s">
        <v>6823</v>
      </c>
      <c r="E2520" s="6">
        <v>4613</v>
      </c>
    </row>
    <row r="2521" spans="1:5" x14ac:dyDescent="0.25">
      <c r="A2521" s="4" t="s">
        <v>7</v>
      </c>
      <c r="B2521" s="4" t="s">
        <v>6824</v>
      </c>
      <c r="C2521" s="1" t="s">
        <v>6825</v>
      </c>
      <c r="D2521" s="1" t="s">
        <v>6826</v>
      </c>
      <c r="E2521" s="6">
        <v>459</v>
      </c>
    </row>
    <row r="2522" spans="1:5" x14ac:dyDescent="0.25">
      <c r="A2522" s="4" t="s">
        <v>7</v>
      </c>
      <c r="B2522" s="4" t="s">
        <v>6827</v>
      </c>
      <c r="C2522" s="1" t="s">
        <v>6828</v>
      </c>
      <c r="D2522" s="1" t="s">
        <v>6829</v>
      </c>
      <c r="E2522" s="6">
        <v>67</v>
      </c>
    </row>
    <row r="2523" spans="1:5" x14ac:dyDescent="0.25">
      <c r="A2523" s="4" t="s">
        <v>7</v>
      </c>
      <c r="B2523" s="4" t="s">
        <v>6830</v>
      </c>
      <c r="C2523" s="1" t="s">
        <v>6831</v>
      </c>
      <c r="D2523" s="1" t="s">
        <v>6832</v>
      </c>
      <c r="E2523" s="6">
        <v>140</v>
      </c>
    </row>
    <row r="2524" spans="1:5" x14ac:dyDescent="0.25">
      <c r="A2524" s="4" t="s">
        <v>7</v>
      </c>
      <c r="B2524" s="4" t="s">
        <v>6833</v>
      </c>
      <c r="C2524" s="1" t="s">
        <v>6834</v>
      </c>
      <c r="D2524" s="1" t="s">
        <v>6835</v>
      </c>
      <c r="E2524" s="6">
        <v>148</v>
      </c>
    </row>
    <row r="2525" spans="1:5" x14ac:dyDescent="0.25">
      <c r="A2525" s="4" t="s">
        <v>7</v>
      </c>
      <c r="B2525" s="4" t="s">
        <v>6836</v>
      </c>
      <c r="C2525" s="1" t="s">
        <v>6837</v>
      </c>
      <c r="D2525" s="1" t="s">
        <v>6838</v>
      </c>
      <c r="E2525" s="6">
        <v>117</v>
      </c>
    </row>
    <row r="2526" spans="1:5" x14ac:dyDescent="0.25">
      <c r="A2526" s="4" t="s">
        <v>7</v>
      </c>
      <c r="B2526" s="4" t="s">
        <v>6839</v>
      </c>
      <c r="C2526" s="1" t="s">
        <v>6840</v>
      </c>
      <c r="D2526" s="1" t="s">
        <v>6841</v>
      </c>
      <c r="E2526" s="6">
        <v>6</v>
      </c>
    </row>
    <row r="2527" spans="1:5" x14ac:dyDescent="0.25">
      <c r="A2527" s="4" t="s">
        <v>7</v>
      </c>
      <c r="B2527" s="4" t="s">
        <v>6842</v>
      </c>
      <c r="C2527" s="1" t="s">
        <v>6843</v>
      </c>
      <c r="D2527" s="1" t="s">
        <v>6844</v>
      </c>
      <c r="E2527" s="6">
        <v>21</v>
      </c>
    </row>
    <row r="2528" spans="1:5" x14ac:dyDescent="0.25">
      <c r="A2528" s="4" t="s">
        <v>7</v>
      </c>
      <c r="B2528" s="4" t="s">
        <v>6845</v>
      </c>
      <c r="C2528" s="1" t="s">
        <v>6846</v>
      </c>
      <c r="D2528" s="1" t="s">
        <v>6847</v>
      </c>
      <c r="E2528" s="6">
        <v>31</v>
      </c>
    </row>
    <row r="2529" spans="1:5" x14ac:dyDescent="0.25">
      <c r="A2529" s="4" t="s">
        <v>7</v>
      </c>
      <c r="B2529" s="4" t="s">
        <v>6848</v>
      </c>
      <c r="C2529" s="1" t="s">
        <v>6849</v>
      </c>
      <c r="D2529" s="1" t="s">
        <v>6850</v>
      </c>
      <c r="E2529" s="6">
        <v>241</v>
      </c>
    </row>
    <row r="2530" spans="1:5" x14ac:dyDescent="0.25">
      <c r="A2530" s="4" t="s">
        <v>7</v>
      </c>
      <c r="B2530" s="4" t="s">
        <v>6851</v>
      </c>
      <c r="C2530" s="1" t="s">
        <v>6852</v>
      </c>
      <c r="D2530" s="1" t="s">
        <v>6853</v>
      </c>
      <c r="E2530" s="6">
        <v>264</v>
      </c>
    </row>
    <row r="2531" spans="1:5" x14ac:dyDescent="0.25">
      <c r="A2531" s="4" t="s">
        <v>7</v>
      </c>
      <c r="B2531" s="4" t="s">
        <v>6854</v>
      </c>
      <c r="C2531" s="1" t="s">
        <v>6855</v>
      </c>
      <c r="D2531" s="1" t="s">
        <v>6856</v>
      </c>
      <c r="E2531" s="6">
        <v>22</v>
      </c>
    </row>
    <row r="2532" spans="1:5" x14ac:dyDescent="0.25">
      <c r="A2532" s="4" t="s">
        <v>7</v>
      </c>
      <c r="B2532" s="4" t="s">
        <v>6857</v>
      </c>
      <c r="C2532" s="1" t="s">
        <v>6858</v>
      </c>
      <c r="D2532" s="1" t="s">
        <v>6859</v>
      </c>
      <c r="E2532" s="6">
        <v>30.52</v>
      </c>
    </row>
    <row r="2533" spans="1:5" x14ac:dyDescent="0.25">
      <c r="A2533" s="4" t="s">
        <v>7</v>
      </c>
      <c r="B2533" s="4" t="s">
        <v>6860</v>
      </c>
      <c r="C2533" s="1" t="s">
        <v>6861</v>
      </c>
      <c r="D2533" s="1" t="s">
        <v>6862</v>
      </c>
      <c r="E2533" s="6">
        <v>39</v>
      </c>
    </row>
    <row r="2534" spans="1:5" x14ac:dyDescent="0.25">
      <c r="A2534" s="4" t="s">
        <v>7</v>
      </c>
      <c r="B2534" s="4" t="s">
        <v>6863</v>
      </c>
      <c r="C2534" s="1" t="s">
        <v>6864</v>
      </c>
      <c r="D2534" s="1" t="s">
        <v>6865</v>
      </c>
      <c r="E2534" s="6">
        <v>38</v>
      </c>
    </row>
    <row r="2535" spans="1:5" x14ac:dyDescent="0.25">
      <c r="A2535" s="4" t="s">
        <v>7</v>
      </c>
      <c r="B2535" s="4" t="s">
        <v>6866</v>
      </c>
      <c r="C2535" s="1" t="s">
        <v>6867</v>
      </c>
      <c r="D2535" s="1" t="s">
        <v>6868</v>
      </c>
      <c r="E2535" s="6">
        <v>13</v>
      </c>
    </row>
    <row r="2536" spans="1:5" x14ac:dyDescent="0.25">
      <c r="A2536" s="4" t="s">
        <v>7</v>
      </c>
      <c r="B2536" s="4" t="s">
        <v>6869</v>
      </c>
      <c r="C2536" s="1" t="s">
        <v>6870</v>
      </c>
      <c r="D2536" s="1" t="s">
        <v>6871</v>
      </c>
      <c r="E2536" s="6">
        <v>14</v>
      </c>
    </row>
    <row r="2537" spans="1:5" x14ac:dyDescent="0.25">
      <c r="A2537" s="4" t="s">
        <v>7</v>
      </c>
      <c r="B2537" s="4" t="s">
        <v>6872</v>
      </c>
      <c r="C2537" s="1" t="s">
        <v>6873</v>
      </c>
      <c r="D2537" s="1" t="s">
        <v>6874</v>
      </c>
      <c r="E2537" s="6">
        <v>308</v>
      </c>
    </row>
    <row r="2538" spans="1:5" x14ac:dyDescent="0.25">
      <c r="A2538" s="4" t="s">
        <v>7</v>
      </c>
      <c r="B2538" s="4" t="s">
        <v>6875</v>
      </c>
      <c r="C2538" s="1" t="s">
        <v>6876</v>
      </c>
      <c r="D2538" s="1" t="s">
        <v>6877</v>
      </c>
      <c r="E2538" s="6">
        <v>5</v>
      </c>
    </row>
    <row r="2539" spans="1:5" x14ac:dyDescent="0.25">
      <c r="A2539" s="4" t="s">
        <v>7</v>
      </c>
      <c r="B2539" s="4" t="s">
        <v>6878</v>
      </c>
      <c r="C2539" s="1" t="s">
        <v>6879</v>
      </c>
      <c r="D2539" s="1" t="s">
        <v>6880</v>
      </c>
      <c r="E2539" s="6">
        <v>54</v>
      </c>
    </row>
    <row r="2540" spans="1:5" x14ac:dyDescent="0.25">
      <c r="A2540" s="4" t="s">
        <v>7</v>
      </c>
      <c r="B2540" s="4" t="s">
        <v>6881</v>
      </c>
      <c r="C2540" s="1" t="s">
        <v>6882</v>
      </c>
      <c r="D2540" s="1" t="s">
        <v>6883</v>
      </c>
      <c r="E2540" s="6">
        <v>140</v>
      </c>
    </row>
    <row r="2541" spans="1:5" x14ac:dyDescent="0.25">
      <c r="A2541" s="4" t="s">
        <v>7</v>
      </c>
      <c r="B2541" s="4" t="s">
        <v>6884</v>
      </c>
      <c r="C2541" s="1" t="s">
        <v>6885</v>
      </c>
      <c r="D2541" s="1" t="s">
        <v>6886</v>
      </c>
      <c r="E2541" s="6">
        <v>1</v>
      </c>
    </row>
    <row r="2542" spans="1:5" x14ac:dyDescent="0.25">
      <c r="A2542" s="4" t="s">
        <v>7</v>
      </c>
      <c r="B2542" s="4" t="s">
        <v>6887</v>
      </c>
      <c r="C2542" s="1" t="s">
        <v>6888</v>
      </c>
      <c r="D2542" s="1" t="s">
        <v>6889</v>
      </c>
      <c r="E2542" s="6">
        <v>5</v>
      </c>
    </row>
    <row r="2543" spans="1:5" x14ac:dyDescent="0.25">
      <c r="A2543" s="4" t="s">
        <v>7</v>
      </c>
      <c r="B2543" s="4" t="s">
        <v>6890</v>
      </c>
      <c r="C2543" s="1" t="s">
        <v>6891</v>
      </c>
      <c r="D2543" s="1" t="s">
        <v>6892</v>
      </c>
      <c r="E2543" s="6">
        <v>288</v>
      </c>
    </row>
    <row r="2544" spans="1:5" x14ac:dyDescent="0.25">
      <c r="A2544" s="4" t="s">
        <v>7</v>
      </c>
      <c r="B2544" s="4" t="s">
        <v>6893</v>
      </c>
      <c r="C2544" s="1" t="s">
        <v>6894</v>
      </c>
      <c r="D2544" s="1" t="s">
        <v>6895</v>
      </c>
      <c r="E2544" s="6">
        <v>310</v>
      </c>
    </row>
    <row r="2545" spans="1:5" x14ac:dyDescent="0.25">
      <c r="A2545" s="4" t="s">
        <v>7</v>
      </c>
      <c r="B2545" s="4" t="s">
        <v>6896</v>
      </c>
      <c r="C2545" s="1" t="s">
        <v>6897</v>
      </c>
      <c r="D2545" s="1" t="s">
        <v>6898</v>
      </c>
      <c r="E2545" s="6">
        <v>133</v>
      </c>
    </row>
    <row r="2546" spans="1:5" x14ac:dyDescent="0.25">
      <c r="A2546" s="4" t="s">
        <v>7</v>
      </c>
      <c r="B2546" s="4" t="s">
        <v>6899</v>
      </c>
      <c r="C2546" s="1" t="s">
        <v>6900</v>
      </c>
      <c r="D2546" s="1" t="s">
        <v>6901</v>
      </c>
      <c r="E2546" s="6">
        <v>352</v>
      </c>
    </row>
    <row r="2547" spans="1:5" x14ac:dyDescent="0.25">
      <c r="A2547" s="4" t="s">
        <v>7</v>
      </c>
      <c r="B2547" s="4" t="s">
        <v>6902</v>
      </c>
      <c r="C2547" s="1" t="s">
        <v>6903</v>
      </c>
      <c r="D2547" s="1" t="s">
        <v>6904</v>
      </c>
      <c r="E2547" s="6">
        <v>4881</v>
      </c>
    </row>
    <row r="2548" spans="1:5" x14ac:dyDescent="0.25">
      <c r="A2548" s="4" t="s">
        <v>7</v>
      </c>
      <c r="B2548" s="4" t="s">
        <v>6905</v>
      </c>
      <c r="C2548" s="1" t="s">
        <v>6906</v>
      </c>
      <c r="D2548" s="1" t="s">
        <v>6907</v>
      </c>
      <c r="E2548" s="6">
        <v>295</v>
      </c>
    </row>
    <row r="2549" spans="1:5" x14ac:dyDescent="0.25">
      <c r="A2549" s="4" t="s">
        <v>7</v>
      </c>
      <c r="B2549" s="4" t="s">
        <v>6908</v>
      </c>
      <c r="C2549" s="1" t="s">
        <v>6909</v>
      </c>
      <c r="D2549" s="1" t="s">
        <v>6910</v>
      </c>
      <c r="E2549" s="6">
        <v>12</v>
      </c>
    </row>
    <row r="2550" spans="1:5" x14ac:dyDescent="0.25">
      <c r="A2550" s="4" t="s">
        <v>7</v>
      </c>
      <c r="B2550" s="4" t="s">
        <v>6911</v>
      </c>
      <c r="C2550" s="1" t="s">
        <v>6912</v>
      </c>
      <c r="D2550" s="1" t="s">
        <v>6913</v>
      </c>
      <c r="E2550" s="6">
        <v>15</v>
      </c>
    </row>
    <row r="2551" spans="1:5" x14ac:dyDescent="0.25">
      <c r="A2551" s="4" t="s">
        <v>7</v>
      </c>
      <c r="B2551" s="4" t="s">
        <v>6914</v>
      </c>
      <c r="C2551" s="1" t="s">
        <v>6915</v>
      </c>
      <c r="D2551" s="1" t="s">
        <v>6916</v>
      </c>
      <c r="E2551" s="6">
        <v>45</v>
      </c>
    </row>
    <row r="2552" spans="1:5" x14ac:dyDescent="0.25">
      <c r="A2552" s="4" t="s">
        <v>7</v>
      </c>
      <c r="B2552" s="4" t="s">
        <v>6917</v>
      </c>
      <c r="C2552" s="1" t="s">
        <v>6918</v>
      </c>
      <c r="D2552" s="1" t="s">
        <v>6919</v>
      </c>
      <c r="E2552" s="6">
        <v>2</v>
      </c>
    </row>
    <row r="2553" spans="1:5" x14ac:dyDescent="0.25">
      <c r="A2553" s="4" t="s">
        <v>7</v>
      </c>
      <c r="B2553" s="4" t="s">
        <v>6920</v>
      </c>
      <c r="C2553" s="1" t="s">
        <v>6921</v>
      </c>
      <c r="D2553" s="1" t="s">
        <v>6922</v>
      </c>
      <c r="E2553" s="6">
        <v>40</v>
      </c>
    </row>
    <row r="2554" spans="1:5" x14ac:dyDescent="0.25">
      <c r="A2554" s="4" t="s">
        <v>7</v>
      </c>
      <c r="B2554" s="4" t="s">
        <v>6923</v>
      </c>
      <c r="C2554" s="1" t="s">
        <v>6924</v>
      </c>
      <c r="D2554" s="1" t="s">
        <v>6925</v>
      </c>
      <c r="E2554" s="6">
        <v>17</v>
      </c>
    </row>
    <row r="2555" spans="1:5" x14ac:dyDescent="0.25">
      <c r="A2555" s="4" t="s">
        <v>7</v>
      </c>
      <c r="B2555" s="4" t="s">
        <v>6926</v>
      </c>
      <c r="C2555" s="1" t="s">
        <v>6927</v>
      </c>
      <c r="D2555" s="1" t="s">
        <v>6928</v>
      </c>
      <c r="E2555" s="6">
        <v>70</v>
      </c>
    </row>
    <row r="2556" spans="1:5" x14ac:dyDescent="0.25">
      <c r="A2556" s="4" t="s">
        <v>7</v>
      </c>
      <c r="B2556" s="4" t="s">
        <v>6929</v>
      </c>
      <c r="C2556" s="1" t="s">
        <v>6930</v>
      </c>
      <c r="D2556" s="1" t="s">
        <v>6931</v>
      </c>
      <c r="E2556" s="6">
        <v>47</v>
      </c>
    </row>
    <row r="2557" spans="1:5" x14ac:dyDescent="0.25">
      <c r="A2557" s="4" t="s">
        <v>7</v>
      </c>
      <c r="B2557" s="4" t="s">
        <v>6932</v>
      </c>
      <c r="C2557" s="1" t="s">
        <v>6933</v>
      </c>
      <c r="D2557" s="1" t="s">
        <v>6934</v>
      </c>
      <c r="E2557" s="6">
        <v>72</v>
      </c>
    </row>
    <row r="2558" spans="1:5" x14ac:dyDescent="0.25">
      <c r="A2558" s="4" t="s">
        <v>7</v>
      </c>
      <c r="B2558" s="4" t="s">
        <v>6935</v>
      </c>
      <c r="C2558" s="1" t="s">
        <v>6936</v>
      </c>
      <c r="D2558" s="1" t="s">
        <v>6937</v>
      </c>
      <c r="E2558" s="6">
        <v>22</v>
      </c>
    </row>
    <row r="2559" spans="1:5" x14ac:dyDescent="0.25">
      <c r="A2559" s="4" t="s">
        <v>7</v>
      </c>
      <c r="B2559" s="4" t="s">
        <v>6938</v>
      </c>
      <c r="C2559" s="1" t="s">
        <v>6939</v>
      </c>
      <c r="D2559" s="1" t="s">
        <v>6940</v>
      </c>
      <c r="E2559" s="6">
        <v>16</v>
      </c>
    </row>
    <row r="2560" spans="1:5" x14ac:dyDescent="0.25">
      <c r="A2560" s="4" t="s">
        <v>7</v>
      </c>
      <c r="B2560" s="4" t="s">
        <v>6941</v>
      </c>
      <c r="C2560" s="1" t="s">
        <v>6942</v>
      </c>
      <c r="D2560" s="1" t="s">
        <v>6943</v>
      </c>
      <c r="E2560" s="6">
        <v>1</v>
      </c>
    </row>
    <row r="2561" spans="1:5" x14ac:dyDescent="0.25">
      <c r="A2561" s="4" t="s">
        <v>7</v>
      </c>
      <c r="B2561" s="4" t="s">
        <v>6944</v>
      </c>
      <c r="C2561" s="1" t="s">
        <v>6945</v>
      </c>
      <c r="D2561" s="1" t="s">
        <v>6946</v>
      </c>
      <c r="E2561" s="6">
        <v>1</v>
      </c>
    </row>
    <row r="2562" spans="1:5" x14ac:dyDescent="0.25">
      <c r="A2562" s="4" t="s">
        <v>7</v>
      </c>
      <c r="B2562" s="4" t="s">
        <v>6947</v>
      </c>
      <c r="C2562" s="1" t="s">
        <v>6948</v>
      </c>
      <c r="D2562" s="1" t="s">
        <v>6949</v>
      </c>
      <c r="E2562" s="6">
        <v>22</v>
      </c>
    </row>
    <row r="2563" spans="1:5" x14ac:dyDescent="0.25">
      <c r="A2563" s="4" t="s">
        <v>7</v>
      </c>
      <c r="B2563" s="4" t="s">
        <v>6950</v>
      </c>
      <c r="C2563" s="1" t="s">
        <v>6951</v>
      </c>
      <c r="D2563" s="1" t="s">
        <v>6952</v>
      </c>
      <c r="E2563" s="6">
        <v>27</v>
      </c>
    </row>
    <row r="2564" spans="1:5" x14ac:dyDescent="0.25">
      <c r="A2564" s="4" t="s">
        <v>7</v>
      </c>
      <c r="B2564" s="4" t="s">
        <v>6953</v>
      </c>
      <c r="C2564" s="1" t="s">
        <v>6954</v>
      </c>
      <c r="D2564" s="1" t="s">
        <v>6955</v>
      </c>
      <c r="E2564" s="6">
        <v>705</v>
      </c>
    </row>
    <row r="2565" spans="1:5" x14ac:dyDescent="0.25">
      <c r="A2565" s="4" t="s">
        <v>7</v>
      </c>
      <c r="B2565" s="4" t="s">
        <v>6956</v>
      </c>
      <c r="C2565" s="1" t="s">
        <v>6957</v>
      </c>
      <c r="D2565" s="1" t="s">
        <v>6958</v>
      </c>
      <c r="E2565" s="6">
        <v>251</v>
      </c>
    </row>
    <row r="2566" spans="1:5" x14ac:dyDescent="0.25">
      <c r="A2566" s="4" t="s">
        <v>7</v>
      </c>
      <c r="B2566" s="4" t="s">
        <v>6959</v>
      </c>
      <c r="C2566" s="1" t="s">
        <v>6960</v>
      </c>
      <c r="D2566" s="1" t="s">
        <v>6961</v>
      </c>
      <c r="E2566" s="6">
        <v>108</v>
      </c>
    </row>
    <row r="2567" spans="1:5" x14ac:dyDescent="0.25">
      <c r="A2567" s="4" t="s">
        <v>7</v>
      </c>
      <c r="B2567" s="4" t="s">
        <v>6962</v>
      </c>
      <c r="C2567" s="1" t="s">
        <v>6963</v>
      </c>
      <c r="D2567" s="1" t="s">
        <v>6964</v>
      </c>
      <c r="E2567" s="6">
        <v>2</v>
      </c>
    </row>
    <row r="2568" spans="1:5" x14ac:dyDescent="0.25">
      <c r="A2568" s="4" t="s">
        <v>7</v>
      </c>
      <c r="B2568" s="4" t="s">
        <v>6965</v>
      </c>
      <c r="C2568" s="1" t="s">
        <v>6966</v>
      </c>
      <c r="D2568" s="1" t="s">
        <v>6967</v>
      </c>
      <c r="E2568" s="6">
        <v>869</v>
      </c>
    </row>
    <row r="2569" spans="1:5" x14ac:dyDescent="0.25">
      <c r="A2569" s="4" t="s">
        <v>7</v>
      </c>
      <c r="B2569" s="4" t="s">
        <v>6968</v>
      </c>
      <c r="C2569" s="1" t="s">
        <v>6969</v>
      </c>
      <c r="D2569" s="1" t="s">
        <v>6970</v>
      </c>
      <c r="E2569" s="6">
        <v>20</v>
      </c>
    </row>
    <row r="2570" spans="1:5" x14ac:dyDescent="0.25">
      <c r="A2570" s="4" t="s">
        <v>7</v>
      </c>
      <c r="B2570" s="4" t="s">
        <v>6971</v>
      </c>
      <c r="C2570" s="1" t="s">
        <v>6972</v>
      </c>
      <c r="D2570" s="1" t="s">
        <v>6973</v>
      </c>
      <c r="E2570" s="6">
        <v>240</v>
      </c>
    </row>
    <row r="2571" spans="1:5" x14ac:dyDescent="0.25">
      <c r="A2571" s="4" t="s">
        <v>7</v>
      </c>
      <c r="B2571" s="4" t="s">
        <v>6974</v>
      </c>
      <c r="C2571" s="1" t="s">
        <v>6975</v>
      </c>
      <c r="D2571" s="1" t="s">
        <v>6976</v>
      </c>
      <c r="E2571" s="6">
        <v>7</v>
      </c>
    </row>
    <row r="2572" spans="1:5" x14ac:dyDescent="0.25">
      <c r="A2572" s="4" t="s">
        <v>7</v>
      </c>
      <c r="B2572" s="4" t="s">
        <v>6977</v>
      </c>
      <c r="C2572" s="1" t="s">
        <v>6978</v>
      </c>
      <c r="D2572" s="1" t="s">
        <v>6979</v>
      </c>
      <c r="E2572" s="6">
        <v>199</v>
      </c>
    </row>
    <row r="2573" spans="1:5" x14ac:dyDescent="0.25">
      <c r="A2573" s="4" t="s">
        <v>7</v>
      </c>
      <c r="B2573" s="4" t="s">
        <v>6980</v>
      </c>
      <c r="C2573" s="1" t="s">
        <v>6981</v>
      </c>
      <c r="D2573" s="1" t="s">
        <v>6982</v>
      </c>
      <c r="E2573" s="6">
        <v>2</v>
      </c>
    </row>
    <row r="2574" spans="1:5" x14ac:dyDescent="0.25">
      <c r="A2574" s="4" t="s">
        <v>7</v>
      </c>
      <c r="B2574" s="4" t="s">
        <v>6983</v>
      </c>
      <c r="C2574" s="1" t="s">
        <v>6984</v>
      </c>
      <c r="D2574" s="1" t="s">
        <v>6985</v>
      </c>
      <c r="E2574" s="6">
        <v>2</v>
      </c>
    </row>
    <row r="2575" spans="1:5" x14ac:dyDescent="0.25">
      <c r="A2575" s="4" t="s">
        <v>7</v>
      </c>
      <c r="B2575" s="4" t="s">
        <v>6986</v>
      </c>
      <c r="C2575" s="1" t="s">
        <v>6987</v>
      </c>
      <c r="D2575" s="1" t="s">
        <v>6988</v>
      </c>
      <c r="E2575" s="6">
        <v>2</v>
      </c>
    </row>
    <row r="2576" spans="1:5" x14ac:dyDescent="0.25">
      <c r="A2576" s="4" t="s">
        <v>7</v>
      </c>
      <c r="B2576" s="4" t="s">
        <v>6989</v>
      </c>
      <c r="C2576" s="1" t="s">
        <v>6990</v>
      </c>
      <c r="D2576" s="1" t="s">
        <v>6991</v>
      </c>
      <c r="E2576" s="6">
        <v>2</v>
      </c>
    </row>
    <row r="2577" spans="1:5" x14ac:dyDescent="0.25">
      <c r="A2577" s="4" t="s">
        <v>7</v>
      </c>
      <c r="B2577" s="4" t="s">
        <v>6992</v>
      </c>
      <c r="C2577" s="1" t="s">
        <v>6993</v>
      </c>
      <c r="D2577" s="1" t="s">
        <v>6994</v>
      </c>
      <c r="E2577" s="6">
        <v>8079</v>
      </c>
    </row>
    <row r="2578" spans="1:5" x14ac:dyDescent="0.25">
      <c r="A2578" s="4" t="s">
        <v>7</v>
      </c>
      <c r="B2578" s="4" t="s">
        <v>6995</v>
      </c>
      <c r="C2578" s="1" t="s">
        <v>6996</v>
      </c>
      <c r="D2578" s="1" t="s">
        <v>6997</v>
      </c>
      <c r="E2578" s="6">
        <v>102</v>
      </c>
    </row>
    <row r="2579" spans="1:5" x14ac:dyDescent="0.25">
      <c r="A2579" s="4" t="s">
        <v>7</v>
      </c>
      <c r="B2579" s="4" t="s">
        <v>6998</v>
      </c>
      <c r="C2579" s="1" t="s">
        <v>6999</v>
      </c>
      <c r="D2579" s="1" t="s">
        <v>7000</v>
      </c>
      <c r="E2579" s="6">
        <v>85</v>
      </c>
    </row>
    <row r="2580" spans="1:5" x14ac:dyDescent="0.25">
      <c r="A2580" s="4" t="s">
        <v>7</v>
      </c>
      <c r="B2580" s="4" t="s">
        <v>7001</v>
      </c>
      <c r="C2580" s="1" t="s">
        <v>7002</v>
      </c>
      <c r="D2580" s="1" t="s">
        <v>7003</v>
      </c>
      <c r="E2580" s="6">
        <v>10</v>
      </c>
    </row>
    <row r="2581" spans="1:5" x14ac:dyDescent="0.25">
      <c r="A2581" s="4" t="s">
        <v>7</v>
      </c>
      <c r="B2581" s="4" t="s">
        <v>7004</v>
      </c>
      <c r="C2581" s="1" t="s">
        <v>7005</v>
      </c>
      <c r="D2581" s="1" t="s">
        <v>7006</v>
      </c>
      <c r="E2581" s="6">
        <v>1</v>
      </c>
    </row>
    <row r="2582" spans="1:5" x14ac:dyDescent="0.25">
      <c r="A2582" s="4" t="s">
        <v>7</v>
      </c>
      <c r="B2582" s="4" t="s">
        <v>7007</v>
      </c>
      <c r="C2582" s="1" t="s">
        <v>7008</v>
      </c>
      <c r="D2582" s="1" t="s">
        <v>7009</v>
      </c>
      <c r="E2582" s="6">
        <v>133</v>
      </c>
    </row>
    <row r="2583" spans="1:5" x14ac:dyDescent="0.25">
      <c r="A2583" s="4" t="s">
        <v>7</v>
      </c>
      <c r="B2583" s="4" t="s">
        <v>7010</v>
      </c>
      <c r="C2583" s="1" t="s">
        <v>7011</v>
      </c>
      <c r="D2583" s="1" t="s">
        <v>7012</v>
      </c>
      <c r="E2583" s="6">
        <v>111</v>
      </c>
    </row>
    <row r="2584" spans="1:5" x14ac:dyDescent="0.25">
      <c r="A2584" s="4" t="s">
        <v>7</v>
      </c>
      <c r="B2584" s="4" t="s">
        <v>7013</v>
      </c>
      <c r="C2584" s="1" t="s">
        <v>7014</v>
      </c>
      <c r="D2584" s="1" t="s">
        <v>7015</v>
      </c>
      <c r="E2584" s="6">
        <v>9</v>
      </c>
    </row>
    <row r="2585" spans="1:5" x14ac:dyDescent="0.25">
      <c r="A2585" s="4" t="s">
        <v>7</v>
      </c>
      <c r="B2585" s="4" t="s">
        <v>7016</v>
      </c>
      <c r="C2585" s="1" t="s">
        <v>7017</v>
      </c>
      <c r="D2585" s="1" t="s">
        <v>7018</v>
      </c>
      <c r="E2585" s="6">
        <v>9</v>
      </c>
    </row>
    <row r="2586" spans="1:5" x14ac:dyDescent="0.25">
      <c r="A2586" s="4" t="s">
        <v>7</v>
      </c>
      <c r="B2586" s="4" t="s">
        <v>7019</v>
      </c>
      <c r="C2586" s="1" t="s">
        <v>7020</v>
      </c>
      <c r="D2586" s="1" t="s">
        <v>7021</v>
      </c>
      <c r="E2586" s="6">
        <v>14</v>
      </c>
    </row>
    <row r="2587" spans="1:5" x14ac:dyDescent="0.25">
      <c r="A2587" s="4" t="s">
        <v>7</v>
      </c>
      <c r="B2587" s="4" t="s">
        <v>7022</v>
      </c>
      <c r="C2587" s="1" t="s">
        <v>7023</v>
      </c>
      <c r="D2587" s="1" t="s">
        <v>7024</v>
      </c>
      <c r="E2587" s="6">
        <v>30</v>
      </c>
    </row>
    <row r="2588" spans="1:5" x14ac:dyDescent="0.25">
      <c r="A2588" s="4" t="s">
        <v>7</v>
      </c>
      <c r="B2588" s="4" t="s">
        <v>7025</v>
      </c>
      <c r="C2588" s="1" t="s">
        <v>7026</v>
      </c>
      <c r="D2588" s="1" t="s">
        <v>7027</v>
      </c>
      <c r="E2588" s="6">
        <v>875</v>
      </c>
    </row>
    <row r="2589" spans="1:5" x14ac:dyDescent="0.25">
      <c r="A2589" s="4" t="s">
        <v>7</v>
      </c>
      <c r="B2589" s="4" t="s">
        <v>7028</v>
      </c>
      <c r="C2589" s="1" t="s">
        <v>7029</v>
      </c>
      <c r="D2589" s="1" t="s">
        <v>7030</v>
      </c>
      <c r="E2589" s="6">
        <v>25</v>
      </c>
    </row>
    <row r="2590" spans="1:5" x14ac:dyDescent="0.25">
      <c r="A2590" s="4" t="s">
        <v>7</v>
      </c>
      <c r="B2590" s="4" t="s">
        <v>7031</v>
      </c>
      <c r="C2590" s="1" t="s">
        <v>7032</v>
      </c>
      <c r="D2590" s="1" t="s">
        <v>7033</v>
      </c>
      <c r="E2590" s="6">
        <v>69</v>
      </c>
    </row>
    <row r="2591" spans="1:5" x14ac:dyDescent="0.25">
      <c r="A2591" s="4" t="s">
        <v>7</v>
      </c>
      <c r="B2591" s="4" t="s">
        <v>7034</v>
      </c>
      <c r="C2591" s="1" t="s">
        <v>7035</v>
      </c>
      <c r="D2591" s="1" t="s">
        <v>7036</v>
      </c>
      <c r="E2591" s="6">
        <v>591</v>
      </c>
    </row>
    <row r="2592" spans="1:5" x14ac:dyDescent="0.25">
      <c r="A2592" s="4" t="s">
        <v>7</v>
      </c>
      <c r="B2592" s="4" t="s">
        <v>7037</v>
      </c>
      <c r="C2592" s="1" t="s">
        <v>7038</v>
      </c>
      <c r="D2592" s="1" t="s">
        <v>7039</v>
      </c>
      <c r="E2592" s="6">
        <v>30</v>
      </c>
    </row>
    <row r="2593" spans="1:5" x14ac:dyDescent="0.25">
      <c r="A2593" s="4" t="s">
        <v>7</v>
      </c>
      <c r="B2593" s="4" t="s">
        <v>7040</v>
      </c>
      <c r="C2593" s="1" t="s">
        <v>7041</v>
      </c>
      <c r="D2593" s="1" t="s">
        <v>7042</v>
      </c>
      <c r="E2593" s="6">
        <v>16</v>
      </c>
    </row>
    <row r="2594" spans="1:5" x14ac:dyDescent="0.25">
      <c r="A2594" s="4" t="s">
        <v>7</v>
      </c>
      <c r="B2594" s="4" t="s">
        <v>7043</v>
      </c>
      <c r="C2594" s="1" t="s">
        <v>7044</v>
      </c>
      <c r="D2594" s="1" t="s">
        <v>7045</v>
      </c>
      <c r="E2594" s="6">
        <v>90</v>
      </c>
    </row>
    <row r="2595" spans="1:5" x14ac:dyDescent="0.25">
      <c r="A2595" s="4" t="s">
        <v>7</v>
      </c>
      <c r="B2595" s="4" t="s">
        <v>7046</v>
      </c>
      <c r="C2595" s="1" t="s">
        <v>7047</v>
      </c>
      <c r="D2595" s="1" t="s">
        <v>7048</v>
      </c>
      <c r="E2595" s="6">
        <v>677</v>
      </c>
    </row>
    <row r="2596" spans="1:5" x14ac:dyDescent="0.25">
      <c r="A2596" s="4" t="s">
        <v>7</v>
      </c>
      <c r="B2596" s="4" t="s">
        <v>7049</v>
      </c>
      <c r="C2596" s="1" t="s">
        <v>7050</v>
      </c>
      <c r="D2596" s="1" t="s">
        <v>7051</v>
      </c>
      <c r="E2596" s="6">
        <v>238</v>
      </c>
    </row>
    <row r="2597" spans="1:5" x14ac:dyDescent="0.25">
      <c r="A2597" s="4" t="s">
        <v>7</v>
      </c>
      <c r="B2597" s="4" t="s">
        <v>7052</v>
      </c>
      <c r="C2597" s="1" t="s">
        <v>7053</v>
      </c>
      <c r="D2597" s="1" t="s">
        <v>7054</v>
      </c>
      <c r="E2597" s="6">
        <v>1054</v>
      </c>
    </row>
    <row r="2598" spans="1:5" x14ac:dyDescent="0.25">
      <c r="A2598" s="4" t="s">
        <v>7</v>
      </c>
      <c r="B2598" s="4" t="s">
        <v>7055</v>
      </c>
      <c r="C2598" s="1" t="s">
        <v>7056</v>
      </c>
      <c r="D2598" s="1" t="s">
        <v>7057</v>
      </c>
      <c r="E2598" s="6">
        <v>25</v>
      </c>
    </row>
    <row r="2599" spans="1:5" x14ac:dyDescent="0.25">
      <c r="A2599" s="4" t="s">
        <v>7</v>
      </c>
      <c r="B2599" s="4" t="s">
        <v>7058</v>
      </c>
      <c r="C2599" s="1" t="s">
        <v>7059</v>
      </c>
      <c r="D2599" s="1" t="s">
        <v>7060</v>
      </c>
      <c r="E2599" s="6">
        <v>21</v>
      </c>
    </row>
    <row r="2600" spans="1:5" x14ac:dyDescent="0.25">
      <c r="A2600" s="4" t="s">
        <v>7</v>
      </c>
      <c r="B2600" s="4" t="s">
        <v>7061</v>
      </c>
      <c r="C2600" s="1" t="s">
        <v>7062</v>
      </c>
      <c r="D2600" s="1" t="s">
        <v>7063</v>
      </c>
      <c r="E2600" s="6">
        <v>42</v>
      </c>
    </row>
    <row r="2601" spans="1:5" x14ac:dyDescent="0.25">
      <c r="A2601" s="4" t="s">
        <v>7</v>
      </c>
      <c r="B2601" s="4" t="s">
        <v>7064</v>
      </c>
      <c r="C2601" s="1" t="s">
        <v>7065</v>
      </c>
      <c r="D2601" s="1" t="s">
        <v>7066</v>
      </c>
      <c r="E2601" s="6">
        <v>34</v>
      </c>
    </row>
    <row r="2602" spans="1:5" x14ac:dyDescent="0.25">
      <c r="A2602" s="4" t="s">
        <v>7</v>
      </c>
      <c r="B2602" s="4" t="s">
        <v>7067</v>
      </c>
      <c r="C2602" s="1" t="s">
        <v>7068</v>
      </c>
      <c r="D2602" s="1" t="s">
        <v>7069</v>
      </c>
      <c r="E2602" s="6">
        <v>4</v>
      </c>
    </row>
    <row r="2603" spans="1:5" x14ac:dyDescent="0.25">
      <c r="A2603" s="4" t="s">
        <v>7</v>
      </c>
      <c r="B2603" s="4" t="s">
        <v>7070</v>
      </c>
      <c r="C2603" s="1" t="s">
        <v>7071</v>
      </c>
      <c r="D2603" s="1" t="s">
        <v>7072</v>
      </c>
      <c r="E2603" s="6">
        <v>4</v>
      </c>
    </row>
    <row r="2604" spans="1:5" x14ac:dyDescent="0.25">
      <c r="A2604" s="4" t="s">
        <v>7</v>
      </c>
      <c r="B2604" s="4" t="s">
        <v>7073</v>
      </c>
      <c r="C2604" s="1" t="s">
        <v>7074</v>
      </c>
      <c r="D2604" s="1" t="s">
        <v>7075</v>
      </c>
      <c r="E2604" s="6">
        <v>1150</v>
      </c>
    </row>
    <row r="2605" spans="1:5" x14ac:dyDescent="0.25">
      <c r="A2605" s="4" t="s">
        <v>7</v>
      </c>
      <c r="B2605" s="4" t="s">
        <v>7076</v>
      </c>
      <c r="C2605" s="1" t="s">
        <v>7077</v>
      </c>
      <c r="D2605" s="1" t="s">
        <v>7078</v>
      </c>
      <c r="E2605" s="6">
        <v>8910</v>
      </c>
    </row>
    <row r="2606" spans="1:5" x14ac:dyDescent="0.25">
      <c r="A2606" s="4" t="s">
        <v>7</v>
      </c>
      <c r="B2606" s="4" t="s">
        <v>7079</v>
      </c>
      <c r="C2606" s="1" t="s">
        <v>7080</v>
      </c>
      <c r="D2606" s="1" t="s">
        <v>7081</v>
      </c>
      <c r="E2606" s="6">
        <v>8045</v>
      </c>
    </row>
    <row r="2607" spans="1:5" x14ac:dyDescent="0.25">
      <c r="A2607" s="4" t="s">
        <v>7</v>
      </c>
      <c r="B2607" s="4" t="s">
        <v>7082</v>
      </c>
      <c r="C2607" s="1" t="s">
        <v>7083</v>
      </c>
      <c r="D2607" s="1" t="s">
        <v>7084</v>
      </c>
      <c r="E2607" s="6">
        <v>9</v>
      </c>
    </row>
    <row r="2608" spans="1:5" x14ac:dyDescent="0.25">
      <c r="A2608" s="4" t="s">
        <v>7</v>
      </c>
      <c r="B2608" s="4" t="s">
        <v>7085</v>
      </c>
      <c r="C2608" s="1" t="s">
        <v>7086</v>
      </c>
      <c r="D2608" s="1" t="s">
        <v>7087</v>
      </c>
      <c r="E2608" s="6">
        <v>106</v>
      </c>
    </row>
    <row r="2609" spans="1:5" x14ac:dyDescent="0.25">
      <c r="A2609" s="4" t="s">
        <v>7</v>
      </c>
      <c r="B2609" s="4" t="s">
        <v>7088</v>
      </c>
      <c r="C2609" s="1" t="s">
        <v>7089</v>
      </c>
      <c r="D2609" s="1" t="s">
        <v>7090</v>
      </c>
      <c r="E2609" s="6">
        <v>2170</v>
      </c>
    </row>
    <row r="2610" spans="1:5" x14ac:dyDescent="0.25">
      <c r="A2610" s="4" t="s">
        <v>7</v>
      </c>
      <c r="B2610" s="4" t="s">
        <v>7091</v>
      </c>
      <c r="C2610" s="1" t="s">
        <v>7092</v>
      </c>
      <c r="D2610" s="1" t="s">
        <v>7093</v>
      </c>
      <c r="E2610" s="6">
        <v>1</v>
      </c>
    </row>
    <row r="2611" spans="1:5" x14ac:dyDescent="0.25">
      <c r="A2611" s="4" t="s">
        <v>7</v>
      </c>
      <c r="B2611" s="4" t="s">
        <v>7094</v>
      </c>
      <c r="C2611" s="1" t="s">
        <v>7095</v>
      </c>
      <c r="D2611" s="1" t="s">
        <v>7096</v>
      </c>
      <c r="E2611" s="6">
        <v>121</v>
      </c>
    </row>
    <row r="2612" spans="1:5" x14ac:dyDescent="0.25">
      <c r="A2612" s="4" t="s">
        <v>7</v>
      </c>
      <c r="B2612" s="4" t="s">
        <v>7097</v>
      </c>
      <c r="C2612" s="1" t="s">
        <v>7098</v>
      </c>
      <c r="D2612" s="1" t="s">
        <v>7099</v>
      </c>
      <c r="E2612" s="6">
        <v>33</v>
      </c>
    </row>
    <row r="2613" spans="1:5" x14ac:dyDescent="0.25">
      <c r="A2613" s="4" t="s">
        <v>7</v>
      </c>
      <c r="B2613" s="4" t="s">
        <v>7100</v>
      </c>
      <c r="C2613" s="1" t="s">
        <v>7101</v>
      </c>
      <c r="D2613" s="1" t="s">
        <v>7102</v>
      </c>
      <c r="E2613" s="6">
        <v>2</v>
      </c>
    </row>
    <row r="2614" spans="1:5" x14ac:dyDescent="0.25">
      <c r="A2614" s="4" t="s">
        <v>7</v>
      </c>
      <c r="B2614" s="4" t="s">
        <v>7103</v>
      </c>
      <c r="C2614" s="1" t="s">
        <v>7104</v>
      </c>
      <c r="D2614" s="1" t="s">
        <v>7105</v>
      </c>
      <c r="E2614" s="6">
        <v>14</v>
      </c>
    </row>
    <row r="2615" spans="1:5" x14ac:dyDescent="0.25">
      <c r="A2615" s="4" t="s">
        <v>7</v>
      </c>
      <c r="B2615" s="4" t="s">
        <v>7106</v>
      </c>
      <c r="C2615" s="1" t="s">
        <v>7107</v>
      </c>
      <c r="D2615" s="1" t="s">
        <v>7108</v>
      </c>
      <c r="E2615" s="6">
        <v>496</v>
      </c>
    </row>
    <row r="2616" spans="1:5" x14ac:dyDescent="0.25">
      <c r="A2616" s="4" t="s">
        <v>7</v>
      </c>
      <c r="B2616" s="4" t="s">
        <v>7109</v>
      </c>
      <c r="C2616" s="1" t="s">
        <v>7110</v>
      </c>
      <c r="D2616" s="1" t="s">
        <v>7111</v>
      </c>
      <c r="E2616" s="6">
        <v>48</v>
      </c>
    </row>
    <row r="2617" spans="1:5" x14ac:dyDescent="0.25">
      <c r="A2617" s="4" t="s">
        <v>7</v>
      </c>
      <c r="B2617" s="4" t="s">
        <v>7112</v>
      </c>
      <c r="C2617" s="1" t="s">
        <v>7113</v>
      </c>
      <c r="D2617" s="1" t="s">
        <v>7114</v>
      </c>
      <c r="E2617" s="6">
        <v>189</v>
      </c>
    </row>
    <row r="2618" spans="1:5" x14ac:dyDescent="0.25">
      <c r="A2618" s="4" t="s">
        <v>7</v>
      </c>
      <c r="B2618" s="4" t="s">
        <v>7115</v>
      </c>
      <c r="C2618" s="1" t="s">
        <v>7116</v>
      </c>
      <c r="D2618" s="1" t="s">
        <v>7117</v>
      </c>
      <c r="E2618" s="6">
        <v>40</v>
      </c>
    </row>
    <row r="2619" spans="1:5" x14ac:dyDescent="0.25">
      <c r="A2619" s="4" t="s">
        <v>7</v>
      </c>
      <c r="B2619" s="4" t="s">
        <v>7118</v>
      </c>
      <c r="C2619" s="1" t="s">
        <v>7119</v>
      </c>
      <c r="D2619" s="1" t="s">
        <v>7120</v>
      </c>
      <c r="E2619" s="6">
        <v>86</v>
      </c>
    </row>
    <row r="2620" spans="1:5" x14ac:dyDescent="0.25">
      <c r="A2620" s="4" t="s">
        <v>7</v>
      </c>
      <c r="B2620" s="4" t="s">
        <v>7121</v>
      </c>
      <c r="C2620" s="1" t="s">
        <v>7122</v>
      </c>
      <c r="D2620" s="1" t="s">
        <v>7123</v>
      </c>
      <c r="E2620" s="6">
        <v>30</v>
      </c>
    </row>
    <row r="2621" spans="1:5" x14ac:dyDescent="0.25">
      <c r="A2621" s="4" t="s">
        <v>7</v>
      </c>
      <c r="B2621" s="4" t="s">
        <v>7124</v>
      </c>
      <c r="C2621" s="1" t="s">
        <v>7125</v>
      </c>
      <c r="D2621" s="1" t="s">
        <v>7126</v>
      </c>
      <c r="E2621" s="6">
        <v>11462</v>
      </c>
    </row>
    <row r="2622" spans="1:5" x14ac:dyDescent="0.25">
      <c r="A2622" s="4" t="s">
        <v>7</v>
      </c>
      <c r="B2622" s="4" t="s">
        <v>7127</v>
      </c>
      <c r="C2622" s="1" t="s">
        <v>7128</v>
      </c>
      <c r="D2622" s="1" t="s">
        <v>7129</v>
      </c>
      <c r="E2622" s="6">
        <v>369</v>
      </c>
    </row>
    <row r="2623" spans="1:5" x14ac:dyDescent="0.25">
      <c r="A2623" s="4" t="s">
        <v>7</v>
      </c>
      <c r="B2623" s="4" t="s">
        <v>7130</v>
      </c>
      <c r="C2623" s="1" t="s">
        <v>7131</v>
      </c>
      <c r="D2623" s="1" t="s">
        <v>7132</v>
      </c>
      <c r="E2623" s="6">
        <v>34</v>
      </c>
    </row>
    <row r="2624" spans="1:5" x14ac:dyDescent="0.25">
      <c r="A2624" s="4" t="s">
        <v>7</v>
      </c>
      <c r="B2624" s="4" t="s">
        <v>7133</v>
      </c>
      <c r="C2624" s="1" t="s">
        <v>7134</v>
      </c>
      <c r="D2624" s="1" t="s">
        <v>7135</v>
      </c>
      <c r="E2624" s="6">
        <v>88</v>
      </c>
    </row>
    <row r="2625" spans="1:5" x14ac:dyDescent="0.25">
      <c r="A2625" s="4" t="s">
        <v>7</v>
      </c>
      <c r="B2625" s="4" t="s">
        <v>7136</v>
      </c>
      <c r="C2625" s="1" t="s">
        <v>7137</v>
      </c>
      <c r="D2625" s="1" t="s">
        <v>7138</v>
      </c>
      <c r="E2625" s="6">
        <v>9</v>
      </c>
    </row>
    <row r="2626" spans="1:5" x14ac:dyDescent="0.25">
      <c r="A2626" s="4" t="s">
        <v>7</v>
      </c>
      <c r="B2626" s="4" t="s">
        <v>7139</v>
      </c>
      <c r="C2626" s="1" t="s">
        <v>7140</v>
      </c>
      <c r="D2626" s="1" t="s">
        <v>7141</v>
      </c>
      <c r="E2626" s="6">
        <v>261</v>
      </c>
    </row>
    <row r="2627" spans="1:5" x14ac:dyDescent="0.25">
      <c r="A2627" s="4" t="s">
        <v>7</v>
      </c>
      <c r="B2627" s="4" t="s">
        <v>7142</v>
      </c>
      <c r="C2627" s="1" t="s">
        <v>7143</v>
      </c>
      <c r="D2627" s="1" t="s">
        <v>7144</v>
      </c>
      <c r="E2627" s="6">
        <v>87</v>
      </c>
    </row>
    <row r="2628" spans="1:5" x14ac:dyDescent="0.25">
      <c r="A2628" s="4" t="s">
        <v>7</v>
      </c>
      <c r="B2628" s="4" t="s">
        <v>7145</v>
      </c>
      <c r="C2628" s="1" t="s">
        <v>7146</v>
      </c>
      <c r="D2628" s="1" t="s">
        <v>7147</v>
      </c>
      <c r="E2628" s="6">
        <v>1229</v>
      </c>
    </row>
    <row r="2629" spans="1:5" x14ac:dyDescent="0.25">
      <c r="A2629" s="4" t="s">
        <v>7</v>
      </c>
      <c r="B2629" s="4" t="s">
        <v>7148</v>
      </c>
      <c r="C2629" s="1" t="s">
        <v>7149</v>
      </c>
      <c r="D2629" s="1" t="s">
        <v>7150</v>
      </c>
      <c r="E2629" s="6">
        <v>104</v>
      </c>
    </row>
    <row r="2630" spans="1:5" x14ac:dyDescent="0.25">
      <c r="A2630" s="4" t="s">
        <v>7</v>
      </c>
      <c r="B2630" s="4" t="s">
        <v>7151</v>
      </c>
      <c r="C2630" s="1" t="s">
        <v>7152</v>
      </c>
      <c r="D2630" s="1" t="s">
        <v>7153</v>
      </c>
      <c r="E2630" s="6">
        <v>12</v>
      </c>
    </row>
    <row r="2631" spans="1:5" x14ac:dyDescent="0.25">
      <c r="A2631" s="4" t="s">
        <v>7</v>
      </c>
      <c r="B2631" s="4" t="s">
        <v>7154</v>
      </c>
      <c r="C2631" s="1" t="s">
        <v>7155</v>
      </c>
      <c r="D2631" s="1" t="s">
        <v>7156</v>
      </c>
      <c r="E2631" s="6">
        <v>11</v>
      </c>
    </row>
    <row r="2632" spans="1:5" x14ac:dyDescent="0.25">
      <c r="A2632" s="4" t="s">
        <v>7</v>
      </c>
      <c r="B2632" s="4" t="s">
        <v>7157</v>
      </c>
      <c r="C2632" s="1" t="s">
        <v>7158</v>
      </c>
      <c r="D2632" s="1" t="s">
        <v>7159</v>
      </c>
      <c r="E2632" s="6">
        <v>2</v>
      </c>
    </row>
    <row r="2633" spans="1:5" x14ac:dyDescent="0.25">
      <c r="A2633" s="4" t="s">
        <v>7</v>
      </c>
      <c r="B2633" s="4" t="s">
        <v>7160</v>
      </c>
      <c r="C2633" s="1" t="s">
        <v>7161</v>
      </c>
      <c r="D2633" s="1" t="s">
        <v>7162</v>
      </c>
      <c r="E2633" s="6">
        <v>27</v>
      </c>
    </row>
    <row r="2634" spans="1:5" x14ac:dyDescent="0.25">
      <c r="A2634" s="4" t="s">
        <v>7</v>
      </c>
      <c r="B2634" s="4" t="s">
        <v>7163</v>
      </c>
      <c r="C2634" s="1" t="s">
        <v>7164</v>
      </c>
      <c r="D2634" s="1" t="s">
        <v>7165</v>
      </c>
      <c r="E2634" s="6">
        <v>43</v>
      </c>
    </row>
    <row r="2635" spans="1:5" x14ac:dyDescent="0.25">
      <c r="A2635" s="4" t="s">
        <v>7</v>
      </c>
      <c r="B2635" s="4" t="s">
        <v>7166</v>
      </c>
      <c r="C2635" s="1" t="s">
        <v>7167</v>
      </c>
      <c r="D2635" s="1" t="s">
        <v>7168</v>
      </c>
      <c r="E2635" s="6">
        <v>71</v>
      </c>
    </row>
    <row r="2636" spans="1:5" x14ac:dyDescent="0.25">
      <c r="A2636" s="4" t="s">
        <v>7</v>
      </c>
      <c r="B2636" s="4" t="s">
        <v>7169</v>
      </c>
      <c r="C2636" s="1" t="s">
        <v>7170</v>
      </c>
      <c r="D2636" s="1" t="s">
        <v>7171</v>
      </c>
      <c r="E2636" s="6">
        <v>55</v>
      </c>
    </row>
    <row r="2637" spans="1:5" x14ac:dyDescent="0.25">
      <c r="A2637" s="4" t="s">
        <v>7</v>
      </c>
      <c r="B2637" s="4" t="s">
        <v>7172</v>
      </c>
      <c r="C2637" s="1" t="s">
        <v>7173</v>
      </c>
      <c r="D2637" s="1" t="s">
        <v>7174</v>
      </c>
      <c r="E2637" s="6">
        <v>19</v>
      </c>
    </row>
    <row r="2638" spans="1:5" x14ac:dyDescent="0.25">
      <c r="A2638" s="4" t="s">
        <v>7</v>
      </c>
      <c r="B2638" s="4" t="s">
        <v>7175</v>
      </c>
      <c r="C2638" s="1" t="s">
        <v>7176</v>
      </c>
      <c r="D2638" s="1" t="s">
        <v>7177</v>
      </c>
      <c r="E2638" s="6">
        <v>1277</v>
      </c>
    </row>
    <row r="2639" spans="1:5" x14ac:dyDescent="0.25">
      <c r="A2639" s="4" t="s">
        <v>7</v>
      </c>
      <c r="B2639" s="4" t="s">
        <v>7178</v>
      </c>
      <c r="C2639" s="1" t="s">
        <v>7179</v>
      </c>
      <c r="D2639" s="1" t="s">
        <v>7180</v>
      </c>
      <c r="E2639" s="6">
        <v>343</v>
      </c>
    </row>
    <row r="2640" spans="1:5" x14ac:dyDescent="0.25">
      <c r="A2640" s="4" t="s">
        <v>7</v>
      </c>
      <c r="B2640" s="4" t="s">
        <v>7181</v>
      </c>
      <c r="C2640" s="1" t="s">
        <v>7182</v>
      </c>
      <c r="D2640" s="1" t="s">
        <v>7183</v>
      </c>
      <c r="E2640" s="6">
        <v>152</v>
      </c>
    </row>
    <row r="2641" spans="1:5" x14ac:dyDescent="0.25">
      <c r="A2641" s="4" t="s">
        <v>7</v>
      </c>
      <c r="B2641" s="4" t="s">
        <v>7184</v>
      </c>
      <c r="C2641" s="1" t="s">
        <v>7185</v>
      </c>
      <c r="D2641" s="1" t="s">
        <v>7186</v>
      </c>
      <c r="E2641" s="6">
        <v>1</v>
      </c>
    </row>
    <row r="2642" spans="1:5" x14ac:dyDescent="0.25">
      <c r="A2642" s="4" t="s">
        <v>7</v>
      </c>
      <c r="B2642" s="4" t="s">
        <v>7187</v>
      </c>
      <c r="C2642" s="1" t="s">
        <v>7188</v>
      </c>
      <c r="D2642" s="1" t="s">
        <v>7189</v>
      </c>
      <c r="E2642" s="6">
        <v>11</v>
      </c>
    </row>
    <row r="2643" spans="1:5" x14ac:dyDescent="0.25">
      <c r="A2643" s="4" t="s">
        <v>7</v>
      </c>
      <c r="B2643" s="4" t="s">
        <v>7190</v>
      </c>
      <c r="C2643" s="1" t="s">
        <v>7191</v>
      </c>
      <c r="D2643" s="1" t="s">
        <v>7192</v>
      </c>
      <c r="E2643" s="6">
        <v>106</v>
      </c>
    </row>
    <row r="2644" spans="1:5" x14ac:dyDescent="0.25">
      <c r="A2644" s="4" t="s">
        <v>7</v>
      </c>
      <c r="B2644" s="4" t="s">
        <v>7193</v>
      </c>
      <c r="C2644" s="1" t="s">
        <v>7194</v>
      </c>
      <c r="D2644" s="1" t="s">
        <v>7195</v>
      </c>
      <c r="E2644" s="6">
        <v>389</v>
      </c>
    </row>
    <row r="2645" spans="1:5" x14ac:dyDescent="0.25">
      <c r="A2645" s="4" t="s">
        <v>7</v>
      </c>
      <c r="B2645" s="4" t="s">
        <v>7196</v>
      </c>
      <c r="C2645" s="1" t="s">
        <v>7197</v>
      </c>
      <c r="D2645" s="1" t="s">
        <v>7198</v>
      </c>
      <c r="E2645" s="6">
        <v>648</v>
      </c>
    </row>
    <row r="2646" spans="1:5" x14ac:dyDescent="0.25">
      <c r="A2646" s="4" t="s">
        <v>7</v>
      </c>
      <c r="B2646" s="4" t="s">
        <v>7199</v>
      </c>
      <c r="C2646" s="1" t="s">
        <v>7200</v>
      </c>
      <c r="D2646" s="1" t="s">
        <v>7201</v>
      </c>
      <c r="E2646" s="6">
        <v>3</v>
      </c>
    </row>
    <row r="2647" spans="1:5" x14ac:dyDescent="0.25">
      <c r="A2647" s="4" t="s">
        <v>7</v>
      </c>
      <c r="B2647" s="4" t="s">
        <v>7202</v>
      </c>
      <c r="C2647" s="1" t="s">
        <v>7203</v>
      </c>
      <c r="D2647" s="1" t="s">
        <v>7201</v>
      </c>
      <c r="E2647" s="6">
        <v>4</v>
      </c>
    </row>
    <row r="2648" spans="1:5" x14ac:dyDescent="0.25">
      <c r="A2648" s="4" t="s">
        <v>7</v>
      </c>
      <c r="B2648" s="4" t="s">
        <v>7204</v>
      </c>
      <c r="C2648" s="1" t="s">
        <v>7205</v>
      </c>
      <c r="D2648" s="1" t="s">
        <v>7206</v>
      </c>
      <c r="E2648" s="6">
        <v>4043</v>
      </c>
    </row>
    <row r="2649" spans="1:5" x14ac:dyDescent="0.25">
      <c r="A2649" s="4" t="s">
        <v>7</v>
      </c>
      <c r="B2649" s="4" t="s">
        <v>7207</v>
      </c>
      <c r="C2649" s="1" t="s">
        <v>7208</v>
      </c>
      <c r="D2649" s="1" t="s">
        <v>7209</v>
      </c>
      <c r="E2649" s="6">
        <v>1</v>
      </c>
    </row>
    <row r="2650" spans="1:5" x14ac:dyDescent="0.25">
      <c r="A2650" s="4" t="s">
        <v>7</v>
      </c>
      <c r="B2650" s="4" t="s">
        <v>7210</v>
      </c>
      <c r="C2650" s="1" t="s">
        <v>7211</v>
      </c>
      <c r="D2650" s="1" t="s">
        <v>7212</v>
      </c>
      <c r="E2650" s="6">
        <v>24</v>
      </c>
    </row>
    <row r="2651" spans="1:5" x14ac:dyDescent="0.25">
      <c r="A2651" s="4" t="s">
        <v>7</v>
      </c>
      <c r="B2651" s="4" t="s">
        <v>7213</v>
      </c>
      <c r="C2651" s="1" t="s">
        <v>7214</v>
      </c>
      <c r="D2651" s="1" t="s">
        <v>7215</v>
      </c>
      <c r="E2651" s="6">
        <v>38</v>
      </c>
    </row>
    <row r="2652" spans="1:5" x14ac:dyDescent="0.25">
      <c r="A2652" s="4" t="s">
        <v>7</v>
      </c>
      <c r="B2652" s="4" t="s">
        <v>7216</v>
      </c>
      <c r="C2652" s="1" t="s">
        <v>7217</v>
      </c>
      <c r="D2652" s="1" t="s">
        <v>7218</v>
      </c>
      <c r="E2652" s="6">
        <v>38</v>
      </c>
    </row>
    <row r="2653" spans="1:5" x14ac:dyDescent="0.25">
      <c r="A2653" s="4" t="s">
        <v>7</v>
      </c>
      <c r="B2653" s="4" t="s">
        <v>7219</v>
      </c>
      <c r="C2653" s="1" t="s">
        <v>7220</v>
      </c>
      <c r="D2653" s="1" t="s">
        <v>7221</v>
      </c>
      <c r="E2653" s="6">
        <v>35</v>
      </c>
    </row>
    <row r="2654" spans="1:5" x14ac:dyDescent="0.25">
      <c r="A2654" s="4" t="s">
        <v>7</v>
      </c>
      <c r="B2654" s="4" t="s">
        <v>7222</v>
      </c>
      <c r="C2654" s="1" t="s">
        <v>7223</v>
      </c>
      <c r="D2654" s="1" t="s">
        <v>7224</v>
      </c>
      <c r="E2654" s="6">
        <v>23</v>
      </c>
    </row>
    <row r="2655" spans="1:5" x14ac:dyDescent="0.25">
      <c r="A2655" s="4" t="s">
        <v>7</v>
      </c>
      <c r="B2655" s="4" t="s">
        <v>7225</v>
      </c>
      <c r="C2655" s="1" t="s">
        <v>7226</v>
      </c>
      <c r="D2655" s="1" t="s">
        <v>7227</v>
      </c>
      <c r="E2655" s="6">
        <v>611</v>
      </c>
    </row>
    <row r="2656" spans="1:5" x14ac:dyDescent="0.25">
      <c r="A2656" s="4" t="s">
        <v>7</v>
      </c>
      <c r="B2656" s="4" t="s">
        <v>7228</v>
      </c>
      <c r="C2656" s="1" t="s">
        <v>7229</v>
      </c>
      <c r="D2656" s="1" t="s">
        <v>7230</v>
      </c>
      <c r="E2656" s="6">
        <v>15</v>
      </c>
    </row>
    <row r="2657" spans="1:5" x14ac:dyDescent="0.25">
      <c r="A2657" s="4" t="s">
        <v>7</v>
      </c>
      <c r="B2657" s="4" t="s">
        <v>7231</v>
      </c>
      <c r="C2657" s="1" t="s">
        <v>7232</v>
      </c>
      <c r="D2657" s="1" t="s">
        <v>7233</v>
      </c>
      <c r="E2657" s="6">
        <v>15</v>
      </c>
    </row>
    <row r="2658" spans="1:5" x14ac:dyDescent="0.25">
      <c r="A2658" s="4" t="s">
        <v>7</v>
      </c>
      <c r="B2658" s="4" t="s">
        <v>7234</v>
      </c>
      <c r="C2658" s="1" t="s">
        <v>7235</v>
      </c>
      <c r="D2658" s="1" t="s">
        <v>7236</v>
      </c>
      <c r="E2658" s="6">
        <v>121</v>
      </c>
    </row>
    <row r="2659" spans="1:5" x14ac:dyDescent="0.25">
      <c r="A2659" s="4" t="s">
        <v>7</v>
      </c>
      <c r="B2659" s="4" t="s">
        <v>7237</v>
      </c>
      <c r="C2659" s="1" t="s">
        <v>7238</v>
      </c>
      <c r="D2659" s="1" t="s">
        <v>7239</v>
      </c>
      <c r="E2659" s="6">
        <v>170</v>
      </c>
    </row>
    <row r="2660" spans="1:5" x14ac:dyDescent="0.25">
      <c r="A2660" s="4" t="s">
        <v>7</v>
      </c>
      <c r="B2660" s="4" t="s">
        <v>7240</v>
      </c>
      <c r="C2660" s="1" t="s">
        <v>7241</v>
      </c>
      <c r="D2660" s="1" t="s">
        <v>7242</v>
      </c>
      <c r="E2660" s="6">
        <v>11</v>
      </c>
    </row>
    <row r="2661" spans="1:5" x14ac:dyDescent="0.25">
      <c r="A2661" s="4" t="s">
        <v>7</v>
      </c>
      <c r="B2661" s="4" t="s">
        <v>7243</v>
      </c>
      <c r="C2661" s="1" t="s">
        <v>7244</v>
      </c>
      <c r="D2661" s="1" t="s">
        <v>7245</v>
      </c>
      <c r="E2661" s="6">
        <v>20</v>
      </c>
    </row>
    <row r="2662" spans="1:5" x14ac:dyDescent="0.25">
      <c r="A2662" s="4" t="s">
        <v>7</v>
      </c>
      <c r="B2662" s="4" t="s">
        <v>7246</v>
      </c>
      <c r="C2662" s="1" t="s">
        <v>7247</v>
      </c>
      <c r="D2662" s="1" t="s">
        <v>7224</v>
      </c>
      <c r="E2662" s="6">
        <v>165</v>
      </c>
    </row>
    <row r="2663" spans="1:5" x14ac:dyDescent="0.25">
      <c r="A2663" s="4" t="s">
        <v>7</v>
      </c>
      <c r="B2663" s="4" t="s">
        <v>7248</v>
      </c>
      <c r="C2663" s="1" t="s">
        <v>7249</v>
      </c>
      <c r="D2663" s="1" t="s">
        <v>7250</v>
      </c>
      <c r="E2663" s="6">
        <v>5</v>
      </c>
    </row>
    <row r="2664" spans="1:5" x14ac:dyDescent="0.25">
      <c r="A2664" s="4" t="s">
        <v>7</v>
      </c>
      <c r="B2664" s="4" t="s">
        <v>7251</v>
      </c>
      <c r="C2664" s="1" t="s">
        <v>7252</v>
      </c>
      <c r="D2664" s="1" t="s">
        <v>7253</v>
      </c>
      <c r="E2664" s="6">
        <v>2</v>
      </c>
    </row>
    <row r="2665" spans="1:5" x14ac:dyDescent="0.25">
      <c r="A2665" s="4" t="s">
        <v>7</v>
      </c>
      <c r="B2665" s="4" t="s">
        <v>7254</v>
      </c>
      <c r="C2665" s="1" t="s">
        <v>7255</v>
      </c>
      <c r="D2665" s="1" t="s">
        <v>7256</v>
      </c>
      <c r="E2665" s="6">
        <v>1</v>
      </c>
    </row>
    <row r="2666" spans="1:5" x14ac:dyDescent="0.25">
      <c r="A2666" s="4" t="s">
        <v>7</v>
      </c>
      <c r="B2666" s="4" t="s">
        <v>7257</v>
      </c>
      <c r="C2666" s="1" t="s">
        <v>7258</v>
      </c>
      <c r="D2666" s="1" t="s">
        <v>7259</v>
      </c>
      <c r="E2666" s="6">
        <v>215</v>
      </c>
    </row>
    <row r="2667" spans="1:5" x14ac:dyDescent="0.25">
      <c r="A2667" s="4" t="s">
        <v>7</v>
      </c>
      <c r="B2667" s="4" t="s">
        <v>7260</v>
      </c>
      <c r="C2667" s="1" t="s">
        <v>7261</v>
      </c>
      <c r="D2667" s="1" t="s">
        <v>7262</v>
      </c>
      <c r="E2667" s="6">
        <v>21</v>
      </c>
    </row>
    <row r="2668" spans="1:5" x14ac:dyDescent="0.25">
      <c r="A2668" s="4" t="s">
        <v>7</v>
      </c>
      <c r="B2668" s="4" t="s">
        <v>7263</v>
      </c>
      <c r="C2668" s="1" t="s">
        <v>7264</v>
      </c>
      <c r="D2668" s="1" t="s">
        <v>7265</v>
      </c>
      <c r="E2668" s="6">
        <v>11</v>
      </c>
    </row>
    <row r="2669" spans="1:5" x14ac:dyDescent="0.25">
      <c r="A2669" s="4" t="s">
        <v>7</v>
      </c>
      <c r="B2669" s="4" t="s">
        <v>7266</v>
      </c>
      <c r="C2669" s="1" t="s">
        <v>7267</v>
      </c>
      <c r="D2669" s="1" t="s">
        <v>7268</v>
      </c>
      <c r="E2669" s="6">
        <v>11</v>
      </c>
    </row>
    <row r="2670" spans="1:5" x14ac:dyDescent="0.25">
      <c r="A2670" s="4" t="s">
        <v>7</v>
      </c>
      <c r="B2670" s="4" t="s">
        <v>7269</v>
      </c>
      <c r="C2670" s="1" t="s">
        <v>7270</v>
      </c>
      <c r="D2670" s="1" t="s">
        <v>7271</v>
      </c>
      <c r="E2670" s="6">
        <v>455</v>
      </c>
    </row>
    <row r="2671" spans="1:5" x14ac:dyDescent="0.25">
      <c r="A2671" s="4" t="s">
        <v>7</v>
      </c>
      <c r="B2671" s="4" t="s">
        <v>7272</v>
      </c>
      <c r="C2671" s="1" t="s">
        <v>7273</v>
      </c>
      <c r="D2671" s="1" t="s">
        <v>7274</v>
      </c>
      <c r="E2671" s="6">
        <v>4</v>
      </c>
    </row>
    <row r="2672" spans="1:5" x14ac:dyDescent="0.25">
      <c r="A2672" s="4" t="s">
        <v>7</v>
      </c>
      <c r="B2672" s="4" t="s">
        <v>7275</v>
      </c>
      <c r="C2672" s="1" t="s">
        <v>7276</v>
      </c>
      <c r="D2672" s="1" t="s">
        <v>7277</v>
      </c>
      <c r="E2672" s="6">
        <v>75</v>
      </c>
    </row>
    <row r="2673" spans="1:5" x14ac:dyDescent="0.25">
      <c r="A2673" s="4" t="s">
        <v>7</v>
      </c>
      <c r="B2673" s="4" t="s">
        <v>7278</v>
      </c>
      <c r="C2673" s="1" t="s">
        <v>7279</v>
      </c>
      <c r="D2673" s="1" t="s">
        <v>7280</v>
      </c>
      <c r="E2673" s="6">
        <v>9</v>
      </c>
    </row>
    <row r="2674" spans="1:5" x14ac:dyDescent="0.25">
      <c r="A2674" s="4" t="s">
        <v>7</v>
      </c>
      <c r="B2674" s="4" t="s">
        <v>7281</v>
      </c>
      <c r="C2674" s="1" t="s">
        <v>7282</v>
      </c>
      <c r="D2674" s="1" t="s">
        <v>7283</v>
      </c>
      <c r="E2674" s="6">
        <v>8</v>
      </c>
    </row>
    <row r="2675" spans="1:5" x14ac:dyDescent="0.25">
      <c r="A2675" s="4" t="s">
        <v>7</v>
      </c>
      <c r="B2675" s="4" t="s">
        <v>7284</v>
      </c>
      <c r="C2675" s="1" t="s">
        <v>7285</v>
      </c>
      <c r="D2675" s="1" t="s">
        <v>7286</v>
      </c>
      <c r="E2675" s="6">
        <v>8</v>
      </c>
    </row>
    <row r="2676" spans="1:5" x14ac:dyDescent="0.25">
      <c r="A2676" s="4" t="s">
        <v>7</v>
      </c>
      <c r="B2676" s="4" t="s">
        <v>7287</v>
      </c>
      <c r="C2676" s="1" t="s">
        <v>7288</v>
      </c>
      <c r="D2676" s="1" t="s">
        <v>7289</v>
      </c>
      <c r="E2676" s="6">
        <v>15</v>
      </c>
    </row>
    <row r="2677" spans="1:5" x14ac:dyDescent="0.25">
      <c r="A2677" s="4" t="s">
        <v>7</v>
      </c>
      <c r="B2677" s="4" t="s">
        <v>7290</v>
      </c>
      <c r="C2677" s="1" t="s">
        <v>7291</v>
      </c>
      <c r="D2677" s="1" t="s">
        <v>7292</v>
      </c>
      <c r="E2677" s="6">
        <v>15</v>
      </c>
    </row>
    <row r="2678" spans="1:5" x14ac:dyDescent="0.25">
      <c r="A2678" s="4" t="s">
        <v>7</v>
      </c>
      <c r="B2678" s="4" t="s">
        <v>7293</v>
      </c>
      <c r="C2678" s="1" t="s">
        <v>7294</v>
      </c>
      <c r="D2678" s="1" t="s">
        <v>7295</v>
      </c>
      <c r="E2678" s="6">
        <v>77</v>
      </c>
    </row>
    <row r="2679" spans="1:5" x14ac:dyDescent="0.25">
      <c r="A2679" s="4" t="s">
        <v>7</v>
      </c>
      <c r="B2679" s="4" t="s">
        <v>7296</v>
      </c>
      <c r="C2679" s="1" t="s">
        <v>7297</v>
      </c>
      <c r="D2679" s="1" t="s">
        <v>7298</v>
      </c>
      <c r="E2679" s="6">
        <v>184</v>
      </c>
    </row>
    <row r="2680" spans="1:5" x14ac:dyDescent="0.25">
      <c r="A2680" s="4" t="s">
        <v>7</v>
      </c>
      <c r="B2680" s="4" t="s">
        <v>7299</v>
      </c>
      <c r="C2680" s="1" t="s">
        <v>7300</v>
      </c>
      <c r="D2680" s="1" t="s">
        <v>7301</v>
      </c>
      <c r="E2680" s="6">
        <v>361</v>
      </c>
    </row>
    <row r="2681" spans="1:5" x14ac:dyDescent="0.25">
      <c r="A2681" s="4" t="s">
        <v>7</v>
      </c>
      <c r="B2681" s="4" t="s">
        <v>7302</v>
      </c>
      <c r="C2681" s="1" t="s">
        <v>7303</v>
      </c>
      <c r="D2681" s="1" t="s">
        <v>7304</v>
      </c>
      <c r="E2681" s="6">
        <v>60</v>
      </c>
    </row>
    <row r="2682" spans="1:5" x14ac:dyDescent="0.25">
      <c r="A2682" s="4" t="s">
        <v>7</v>
      </c>
      <c r="B2682" s="4" t="s">
        <v>7305</v>
      </c>
      <c r="C2682" s="1" t="s">
        <v>7306</v>
      </c>
      <c r="D2682" s="1" t="s">
        <v>7307</v>
      </c>
      <c r="E2682" s="6">
        <v>113</v>
      </c>
    </row>
    <row r="2683" spans="1:5" x14ac:dyDescent="0.25">
      <c r="A2683" s="4" t="s">
        <v>7</v>
      </c>
      <c r="B2683" s="4" t="s">
        <v>7308</v>
      </c>
      <c r="C2683" s="1" t="s">
        <v>7309</v>
      </c>
      <c r="D2683" s="1" t="s">
        <v>7310</v>
      </c>
      <c r="E2683" s="6">
        <v>240</v>
      </c>
    </row>
    <row r="2684" spans="1:5" x14ac:dyDescent="0.25">
      <c r="A2684" s="4" t="s">
        <v>7</v>
      </c>
      <c r="B2684" s="4" t="s">
        <v>7311</v>
      </c>
      <c r="C2684" s="1" t="s">
        <v>7312</v>
      </c>
      <c r="D2684" s="1" t="s">
        <v>7313</v>
      </c>
      <c r="E2684" s="6">
        <v>4</v>
      </c>
    </row>
    <row r="2685" spans="1:5" x14ac:dyDescent="0.25">
      <c r="A2685" s="4" t="s">
        <v>7</v>
      </c>
      <c r="B2685" s="4" t="s">
        <v>7314</v>
      </c>
      <c r="C2685" s="1" t="s">
        <v>7315</v>
      </c>
      <c r="D2685" s="1" t="s">
        <v>7316</v>
      </c>
      <c r="E2685" s="6">
        <v>2</v>
      </c>
    </row>
    <row r="2686" spans="1:5" x14ac:dyDescent="0.25">
      <c r="A2686" s="4" t="s">
        <v>7</v>
      </c>
      <c r="B2686" s="4" t="s">
        <v>7317</v>
      </c>
      <c r="C2686" s="1" t="s">
        <v>7318</v>
      </c>
      <c r="D2686" s="1" t="s">
        <v>7319</v>
      </c>
      <c r="E2686" s="6">
        <v>1</v>
      </c>
    </row>
    <row r="2687" spans="1:5" x14ac:dyDescent="0.25">
      <c r="A2687" s="4" t="s">
        <v>7</v>
      </c>
      <c r="B2687" s="4" t="s">
        <v>7320</v>
      </c>
      <c r="C2687" s="1" t="s">
        <v>7321</v>
      </c>
      <c r="D2687" s="1" t="s">
        <v>7322</v>
      </c>
      <c r="E2687" s="6">
        <v>12</v>
      </c>
    </row>
    <row r="2688" spans="1:5" x14ac:dyDescent="0.25">
      <c r="A2688" s="4" t="s">
        <v>7</v>
      </c>
      <c r="B2688" s="4" t="s">
        <v>7323</v>
      </c>
      <c r="C2688" s="1" t="s">
        <v>7324</v>
      </c>
      <c r="D2688" s="1" t="s">
        <v>7325</v>
      </c>
      <c r="E2688" s="6">
        <v>50</v>
      </c>
    </row>
    <row r="2689" spans="1:5" x14ac:dyDescent="0.25">
      <c r="A2689" s="4" t="s">
        <v>7</v>
      </c>
      <c r="B2689" s="4" t="s">
        <v>7326</v>
      </c>
      <c r="C2689" s="1" t="s">
        <v>7327</v>
      </c>
      <c r="D2689" s="1" t="s">
        <v>7328</v>
      </c>
      <c r="E2689" s="6">
        <v>34</v>
      </c>
    </row>
    <row r="2690" spans="1:5" x14ac:dyDescent="0.25">
      <c r="A2690" s="4" t="s">
        <v>7</v>
      </c>
      <c r="B2690" s="4" t="s">
        <v>7329</v>
      </c>
      <c r="C2690" s="1" t="s">
        <v>7330</v>
      </c>
      <c r="D2690" s="1" t="s">
        <v>7331</v>
      </c>
      <c r="E2690" s="6">
        <v>677</v>
      </c>
    </row>
    <row r="2691" spans="1:5" x14ac:dyDescent="0.25">
      <c r="A2691" s="4" t="s">
        <v>7</v>
      </c>
      <c r="B2691" s="4" t="s">
        <v>7332</v>
      </c>
      <c r="C2691" s="1" t="s">
        <v>7333</v>
      </c>
      <c r="D2691" s="1" t="s">
        <v>7334</v>
      </c>
      <c r="E2691" s="6">
        <v>1284</v>
      </c>
    </row>
    <row r="2692" spans="1:5" x14ac:dyDescent="0.25">
      <c r="A2692" s="4" t="s">
        <v>7</v>
      </c>
      <c r="B2692" s="4" t="s">
        <v>7335</v>
      </c>
      <c r="C2692" s="1" t="s">
        <v>7336</v>
      </c>
      <c r="D2692" s="1" t="s">
        <v>7337</v>
      </c>
      <c r="E2692" s="6">
        <v>402</v>
      </c>
    </row>
    <row r="2693" spans="1:5" x14ac:dyDescent="0.25">
      <c r="A2693" s="4" t="s">
        <v>7</v>
      </c>
      <c r="B2693" s="4" t="s">
        <v>7338</v>
      </c>
      <c r="C2693" s="1" t="s">
        <v>7339</v>
      </c>
      <c r="D2693" s="1" t="s">
        <v>7340</v>
      </c>
      <c r="E2693" s="6">
        <v>137</v>
      </c>
    </row>
    <row r="2694" spans="1:5" x14ac:dyDescent="0.25">
      <c r="A2694" s="4" t="s">
        <v>7</v>
      </c>
      <c r="B2694" s="4" t="s">
        <v>7341</v>
      </c>
      <c r="C2694" s="1" t="s">
        <v>7342</v>
      </c>
      <c r="D2694" s="1" t="s">
        <v>7343</v>
      </c>
      <c r="E2694" s="6">
        <v>546</v>
      </c>
    </row>
    <row r="2695" spans="1:5" x14ac:dyDescent="0.25">
      <c r="A2695" s="4" t="s">
        <v>7</v>
      </c>
      <c r="B2695" s="4" t="s">
        <v>7344</v>
      </c>
      <c r="C2695" s="1" t="s">
        <v>7345</v>
      </c>
      <c r="D2695" s="1" t="s">
        <v>7346</v>
      </c>
      <c r="E2695" s="6">
        <v>558</v>
      </c>
    </row>
    <row r="2696" spans="1:5" x14ac:dyDescent="0.25">
      <c r="A2696" s="4" t="s">
        <v>7</v>
      </c>
      <c r="B2696" s="4" t="s">
        <v>7347</v>
      </c>
      <c r="C2696" s="1" t="s">
        <v>7348</v>
      </c>
      <c r="D2696" s="1" t="s">
        <v>7349</v>
      </c>
      <c r="E2696" s="6">
        <v>197</v>
      </c>
    </row>
    <row r="2697" spans="1:5" x14ac:dyDescent="0.25">
      <c r="A2697" s="4" t="s">
        <v>7</v>
      </c>
      <c r="B2697" s="4" t="s">
        <v>7350</v>
      </c>
      <c r="C2697" s="1" t="s">
        <v>7351</v>
      </c>
      <c r="D2697" s="1" t="s">
        <v>7352</v>
      </c>
      <c r="E2697" s="6">
        <v>256.23</v>
      </c>
    </row>
    <row r="2698" spans="1:5" x14ac:dyDescent="0.25">
      <c r="A2698" s="4" t="s">
        <v>7</v>
      </c>
      <c r="B2698" s="4" t="s">
        <v>7353</v>
      </c>
      <c r="C2698" s="1" t="s">
        <v>7354</v>
      </c>
      <c r="D2698" s="1" t="s">
        <v>7355</v>
      </c>
      <c r="E2698" s="6">
        <v>755</v>
      </c>
    </row>
    <row r="2699" spans="1:5" x14ac:dyDescent="0.25">
      <c r="A2699" s="4" t="s">
        <v>7</v>
      </c>
      <c r="B2699" s="4" t="s">
        <v>7356</v>
      </c>
      <c r="C2699" s="1" t="s">
        <v>7357</v>
      </c>
      <c r="D2699" s="1" t="s">
        <v>7358</v>
      </c>
      <c r="E2699" s="6">
        <v>627</v>
      </c>
    </row>
    <row r="2700" spans="1:5" x14ac:dyDescent="0.25">
      <c r="A2700" s="4" t="s">
        <v>7</v>
      </c>
      <c r="B2700" s="4" t="s">
        <v>7359</v>
      </c>
      <c r="C2700" s="1" t="s">
        <v>7360</v>
      </c>
      <c r="D2700" s="1" t="s">
        <v>7361</v>
      </c>
      <c r="E2700" s="6">
        <v>555</v>
      </c>
    </row>
    <row r="2701" spans="1:5" x14ac:dyDescent="0.25">
      <c r="A2701" s="4" t="s">
        <v>7</v>
      </c>
      <c r="B2701" s="4" t="s">
        <v>7362</v>
      </c>
      <c r="C2701" s="1" t="s">
        <v>7363</v>
      </c>
      <c r="D2701" s="1" t="s">
        <v>7364</v>
      </c>
      <c r="E2701" s="6">
        <v>159</v>
      </c>
    </row>
    <row r="2702" spans="1:5" x14ac:dyDescent="0.25">
      <c r="A2702" s="4" t="s">
        <v>7</v>
      </c>
      <c r="B2702" s="4" t="s">
        <v>7365</v>
      </c>
      <c r="C2702" s="1" t="s">
        <v>7366</v>
      </c>
      <c r="D2702" s="1" t="s">
        <v>7367</v>
      </c>
      <c r="E2702" s="6">
        <v>203</v>
      </c>
    </row>
    <row r="2703" spans="1:5" x14ac:dyDescent="0.25">
      <c r="A2703" s="4" t="s">
        <v>7</v>
      </c>
      <c r="B2703" s="4" t="s">
        <v>7368</v>
      </c>
      <c r="C2703" s="1" t="s">
        <v>7369</v>
      </c>
      <c r="D2703" s="1" t="s">
        <v>7370</v>
      </c>
      <c r="E2703" s="6">
        <v>52</v>
      </c>
    </row>
    <row r="2704" spans="1:5" x14ac:dyDescent="0.25">
      <c r="A2704" s="4" t="s">
        <v>7</v>
      </c>
      <c r="B2704" s="4" t="s">
        <v>7371</v>
      </c>
      <c r="C2704" s="1" t="s">
        <v>7372</v>
      </c>
      <c r="D2704" s="1" t="s">
        <v>7373</v>
      </c>
      <c r="E2704" s="6">
        <v>16</v>
      </c>
    </row>
    <row r="2705" spans="1:5" x14ac:dyDescent="0.25">
      <c r="A2705" s="4" t="s">
        <v>7</v>
      </c>
      <c r="B2705" s="4" t="s">
        <v>7374</v>
      </c>
      <c r="C2705" s="1" t="s">
        <v>7375</v>
      </c>
      <c r="D2705" s="1" t="s">
        <v>7376</v>
      </c>
      <c r="E2705" s="6">
        <v>406</v>
      </c>
    </row>
    <row r="2706" spans="1:5" x14ac:dyDescent="0.25">
      <c r="A2706" s="4" t="s">
        <v>7</v>
      </c>
      <c r="B2706" s="4" t="s">
        <v>7377</v>
      </c>
      <c r="C2706" s="1" t="s">
        <v>7378</v>
      </c>
      <c r="D2706" s="1" t="s">
        <v>7379</v>
      </c>
      <c r="E2706" s="6">
        <v>297</v>
      </c>
    </row>
    <row r="2707" spans="1:5" x14ac:dyDescent="0.25">
      <c r="A2707" s="4" t="s">
        <v>7</v>
      </c>
      <c r="B2707" s="4" t="s">
        <v>7380</v>
      </c>
      <c r="C2707" s="1" t="s">
        <v>7381</v>
      </c>
      <c r="D2707" s="1" t="s">
        <v>7382</v>
      </c>
      <c r="E2707" s="6">
        <v>282</v>
      </c>
    </row>
    <row r="2708" spans="1:5" x14ac:dyDescent="0.25">
      <c r="A2708" s="4" t="s">
        <v>7</v>
      </c>
      <c r="B2708" s="4" t="s">
        <v>7383</v>
      </c>
      <c r="C2708" s="1" t="s">
        <v>7384</v>
      </c>
      <c r="D2708" s="1" t="s">
        <v>7385</v>
      </c>
      <c r="E2708" s="6">
        <v>297</v>
      </c>
    </row>
    <row r="2709" spans="1:5" x14ac:dyDescent="0.25">
      <c r="A2709" s="4" t="s">
        <v>7</v>
      </c>
      <c r="B2709" s="4" t="s">
        <v>7386</v>
      </c>
      <c r="C2709" s="1" t="s">
        <v>7387</v>
      </c>
      <c r="D2709" s="1" t="s">
        <v>7388</v>
      </c>
      <c r="E2709" s="6">
        <v>2</v>
      </c>
    </row>
    <row r="2710" spans="1:5" x14ac:dyDescent="0.25">
      <c r="A2710" s="4" t="s">
        <v>7</v>
      </c>
      <c r="B2710" s="4" t="s">
        <v>7389</v>
      </c>
      <c r="C2710" s="1" t="s">
        <v>7390</v>
      </c>
      <c r="D2710" s="1" t="s">
        <v>7390</v>
      </c>
      <c r="E2710" s="6">
        <v>1</v>
      </c>
    </row>
    <row r="2711" spans="1:5" x14ac:dyDescent="0.25">
      <c r="A2711" s="4" t="s">
        <v>7</v>
      </c>
      <c r="B2711" s="4" t="s">
        <v>7391</v>
      </c>
      <c r="C2711" s="1" t="s">
        <v>7392</v>
      </c>
      <c r="D2711" s="1" t="s">
        <v>7393</v>
      </c>
      <c r="E2711" s="6">
        <v>70</v>
      </c>
    </row>
    <row r="2712" spans="1:5" x14ac:dyDescent="0.25">
      <c r="A2712" s="4" t="s">
        <v>7</v>
      </c>
      <c r="B2712" s="4" t="s">
        <v>7394</v>
      </c>
      <c r="C2712" s="1" t="s">
        <v>7395</v>
      </c>
      <c r="D2712" s="1" t="s">
        <v>7396</v>
      </c>
      <c r="E2712" s="6">
        <v>4</v>
      </c>
    </row>
    <row r="2713" spans="1:5" x14ac:dyDescent="0.25">
      <c r="A2713" s="4" t="s">
        <v>7</v>
      </c>
      <c r="B2713" s="4" t="s">
        <v>7397</v>
      </c>
      <c r="C2713" s="1" t="s">
        <v>7398</v>
      </c>
      <c r="D2713" s="1" t="s">
        <v>7399</v>
      </c>
      <c r="E2713" s="6">
        <v>86</v>
      </c>
    </row>
    <row r="2714" spans="1:5" x14ac:dyDescent="0.25">
      <c r="A2714" s="4" t="s">
        <v>7</v>
      </c>
      <c r="B2714" s="4" t="s">
        <v>7400</v>
      </c>
      <c r="C2714" s="1" t="s">
        <v>7401</v>
      </c>
      <c r="D2714" s="1" t="s">
        <v>7402</v>
      </c>
      <c r="E2714" s="6">
        <v>1</v>
      </c>
    </row>
    <row r="2715" spans="1:5" x14ac:dyDescent="0.25">
      <c r="A2715" s="4" t="s">
        <v>7</v>
      </c>
      <c r="B2715" s="4" t="s">
        <v>7403</v>
      </c>
      <c r="C2715" s="1" t="s">
        <v>7404</v>
      </c>
      <c r="D2715" s="1" t="s">
        <v>7405</v>
      </c>
      <c r="E2715" s="6">
        <v>1</v>
      </c>
    </row>
    <row r="2716" spans="1:5" x14ac:dyDescent="0.25">
      <c r="A2716" s="4" t="s">
        <v>7</v>
      </c>
      <c r="B2716" s="4" t="s">
        <v>7406</v>
      </c>
      <c r="C2716" s="1" t="s">
        <v>7407</v>
      </c>
      <c r="D2716" s="1" t="s">
        <v>7408</v>
      </c>
      <c r="E2716" s="6">
        <v>54</v>
      </c>
    </row>
    <row r="2717" spans="1:5" x14ac:dyDescent="0.25">
      <c r="A2717" s="4" t="s">
        <v>7</v>
      </c>
      <c r="B2717" s="4" t="s">
        <v>7409</v>
      </c>
      <c r="C2717" s="1" t="s">
        <v>7410</v>
      </c>
      <c r="D2717" s="1" t="s">
        <v>7411</v>
      </c>
      <c r="E2717" s="6">
        <v>1</v>
      </c>
    </row>
    <row r="2718" spans="1:5" x14ac:dyDescent="0.25">
      <c r="A2718" s="4" t="s">
        <v>7</v>
      </c>
      <c r="B2718" s="4" t="s">
        <v>7412</v>
      </c>
      <c r="C2718" s="1" t="s">
        <v>7413</v>
      </c>
      <c r="D2718" s="1" t="s">
        <v>7414</v>
      </c>
      <c r="E2718" s="6">
        <v>1</v>
      </c>
    </row>
    <row r="2719" spans="1:5" x14ac:dyDescent="0.25">
      <c r="A2719" s="4" t="s">
        <v>7</v>
      </c>
      <c r="B2719" s="4" t="s">
        <v>7415</v>
      </c>
      <c r="C2719" s="1" t="s">
        <v>7416</v>
      </c>
      <c r="D2719" s="1" t="s">
        <v>7417</v>
      </c>
      <c r="E2719" s="6">
        <v>24</v>
      </c>
    </row>
    <row r="2720" spans="1:5" x14ac:dyDescent="0.25">
      <c r="A2720" s="4" t="s">
        <v>7</v>
      </c>
      <c r="B2720" s="4" t="s">
        <v>7418</v>
      </c>
      <c r="C2720" s="1" t="s">
        <v>7419</v>
      </c>
      <c r="D2720" s="1" t="s">
        <v>7420</v>
      </c>
      <c r="E2720" s="6">
        <v>269</v>
      </c>
    </row>
    <row r="2721" spans="1:5" x14ac:dyDescent="0.25">
      <c r="A2721" s="4" t="s">
        <v>7</v>
      </c>
      <c r="B2721" s="4" t="s">
        <v>7421</v>
      </c>
      <c r="C2721" s="1" t="s">
        <v>7422</v>
      </c>
      <c r="D2721" s="1" t="s">
        <v>7423</v>
      </c>
      <c r="E2721" s="6">
        <v>16</v>
      </c>
    </row>
    <row r="2722" spans="1:5" x14ac:dyDescent="0.25">
      <c r="A2722" s="4" t="s">
        <v>7</v>
      </c>
      <c r="B2722" s="4" t="s">
        <v>7424</v>
      </c>
      <c r="C2722" s="1" t="s">
        <v>7425</v>
      </c>
      <c r="D2722" s="1" t="s">
        <v>7426</v>
      </c>
      <c r="E2722" s="6">
        <v>152</v>
      </c>
    </row>
    <row r="2723" spans="1:5" x14ac:dyDescent="0.25">
      <c r="A2723" s="4" t="s">
        <v>7</v>
      </c>
      <c r="B2723" s="4" t="s">
        <v>7427</v>
      </c>
      <c r="C2723" s="1" t="s">
        <v>7428</v>
      </c>
      <c r="D2723" s="1" t="s">
        <v>7429</v>
      </c>
      <c r="E2723" s="6">
        <v>7.0000000000000007E-2</v>
      </c>
    </row>
    <row r="2724" spans="1:5" x14ac:dyDescent="0.25">
      <c r="A2724" s="4" t="s">
        <v>7</v>
      </c>
      <c r="B2724" s="4" t="s">
        <v>7430</v>
      </c>
      <c r="C2724" s="1" t="s">
        <v>7431</v>
      </c>
      <c r="D2724" s="1" t="s">
        <v>7429</v>
      </c>
      <c r="E2724" s="6">
        <v>0.36</v>
      </c>
    </row>
    <row r="2725" spans="1:5" x14ac:dyDescent="0.25">
      <c r="A2725" s="4" t="s">
        <v>7</v>
      </c>
      <c r="B2725" s="4" t="s">
        <v>7432</v>
      </c>
      <c r="C2725" s="1" t="s">
        <v>7433</v>
      </c>
      <c r="D2725" s="1" t="s">
        <v>7434</v>
      </c>
      <c r="E2725" s="6">
        <v>0.15</v>
      </c>
    </row>
    <row r="2726" spans="1:5" x14ac:dyDescent="0.25">
      <c r="A2726" s="4" t="s">
        <v>7</v>
      </c>
      <c r="B2726" s="4" t="s">
        <v>7435</v>
      </c>
      <c r="C2726" s="1" t="s">
        <v>7436</v>
      </c>
      <c r="D2726" s="1" t="s">
        <v>7437</v>
      </c>
      <c r="E2726" s="6">
        <v>872</v>
      </c>
    </row>
    <row r="2727" spans="1:5" x14ac:dyDescent="0.25">
      <c r="A2727" s="4" t="s">
        <v>7</v>
      </c>
      <c r="B2727" s="4" t="s">
        <v>7438</v>
      </c>
      <c r="C2727" s="1" t="s">
        <v>7439</v>
      </c>
      <c r="D2727" s="1" t="s">
        <v>7440</v>
      </c>
      <c r="E2727" s="6">
        <v>25</v>
      </c>
    </row>
    <row r="2728" spans="1:5" x14ac:dyDescent="0.25">
      <c r="A2728" s="4" t="s">
        <v>7</v>
      </c>
      <c r="B2728" s="4" t="s">
        <v>7441</v>
      </c>
      <c r="C2728" s="1" t="s">
        <v>7442</v>
      </c>
      <c r="D2728" s="1" t="s">
        <v>7443</v>
      </c>
      <c r="E2728" s="6">
        <v>9</v>
      </c>
    </row>
    <row r="2729" spans="1:5" x14ac:dyDescent="0.25">
      <c r="A2729" s="4" t="s">
        <v>7</v>
      </c>
      <c r="B2729" s="4" t="s">
        <v>7444</v>
      </c>
      <c r="C2729" s="1" t="s">
        <v>7445</v>
      </c>
      <c r="D2729" s="1" t="s">
        <v>7446</v>
      </c>
      <c r="E2729" s="6">
        <v>3</v>
      </c>
    </row>
    <row r="2730" spans="1:5" x14ac:dyDescent="0.25">
      <c r="A2730" s="4" t="s">
        <v>7</v>
      </c>
      <c r="B2730" s="4" t="s">
        <v>7447</v>
      </c>
      <c r="C2730" s="1" t="s">
        <v>7448</v>
      </c>
      <c r="D2730" s="1" t="s">
        <v>7446</v>
      </c>
      <c r="E2730" s="6">
        <v>3</v>
      </c>
    </row>
    <row r="2731" spans="1:5" x14ac:dyDescent="0.25">
      <c r="A2731" s="4" t="s">
        <v>7</v>
      </c>
      <c r="B2731" s="4" t="s">
        <v>7449</v>
      </c>
      <c r="C2731" s="1" t="s">
        <v>7450</v>
      </c>
      <c r="D2731" s="1" t="s">
        <v>7451</v>
      </c>
      <c r="E2731" s="6">
        <v>23</v>
      </c>
    </row>
    <row r="2732" spans="1:5" x14ac:dyDescent="0.25">
      <c r="A2732" s="4" t="s">
        <v>7</v>
      </c>
      <c r="B2732" s="4" t="s">
        <v>7452</v>
      </c>
      <c r="C2732" s="1" t="s">
        <v>7453</v>
      </c>
      <c r="D2732" s="1" t="s">
        <v>7454</v>
      </c>
      <c r="E2732" s="6">
        <v>2</v>
      </c>
    </row>
    <row r="2733" spans="1:5" x14ac:dyDescent="0.25">
      <c r="A2733" s="4" t="s">
        <v>7</v>
      </c>
      <c r="B2733" s="4" t="s">
        <v>7455</v>
      </c>
      <c r="C2733" s="1" t="s">
        <v>7456</v>
      </c>
      <c r="D2733" s="1" t="s">
        <v>7457</v>
      </c>
      <c r="E2733" s="6">
        <v>1221</v>
      </c>
    </row>
    <row r="2734" spans="1:5" x14ac:dyDescent="0.25">
      <c r="A2734" s="4" t="s">
        <v>7</v>
      </c>
      <c r="B2734" s="4" t="s">
        <v>7458</v>
      </c>
      <c r="C2734" s="1" t="s">
        <v>7459</v>
      </c>
      <c r="D2734" s="1" t="s">
        <v>7460</v>
      </c>
      <c r="E2734" s="6">
        <v>523</v>
      </c>
    </row>
    <row r="2735" spans="1:5" x14ac:dyDescent="0.25">
      <c r="A2735" s="4" t="s">
        <v>7</v>
      </c>
      <c r="B2735" s="4" t="s">
        <v>7461</v>
      </c>
      <c r="C2735" s="1" t="s">
        <v>7462</v>
      </c>
      <c r="D2735" s="1" t="s">
        <v>7463</v>
      </c>
      <c r="E2735" s="6">
        <v>4</v>
      </c>
    </row>
    <row r="2736" spans="1:5" x14ac:dyDescent="0.25">
      <c r="A2736" s="4" t="s">
        <v>7</v>
      </c>
      <c r="B2736" s="4" t="s">
        <v>7464</v>
      </c>
      <c r="C2736" s="1" t="s">
        <v>7465</v>
      </c>
      <c r="D2736" s="1" t="s">
        <v>7466</v>
      </c>
      <c r="E2736" s="6">
        <v>54</v>
      </c>
    </row>
    <row r="2737" spans="1:5" x14ac:dyDescent="0.25">
      <c r="A2737" s="4" t="s">
        <v>7</v>
      </c>
      <c r="B2737" s="4" t="s">
        <v>7467</v>
      </c>
      <c r="C2737" s="1" t="s">
        <v>7468</v>
      </c>
      <c r="D2737" s="1" t="s">
        <v>7469</v>
      </c>
      <c r="E2737" s="6">
        <v>39</v>
      </c>
    </row>
    <row r="2738" spans="1:5" x14ac:dyDescent="0.25">
      <c r="A2738" s="4" t="s">
        <v>7</v>
      </c>
      <c r="B2738" s="4" t="s">
        <v>7470</v>
      </c>
      <c r="C2738" s="1" t="s">
        <v>7471</v>
      </c>
      <c r="D2738" s="1" t="s">
        <v>7472</v>
      </c>
      <c r="E2738" s="6">
        <v>15</v>
      </c>
    </row>
    <row r="2739" spans="1:5" x14ac:dyDescent="0.25">
      <c r="A2739" s="4" t="s">
        <v>7</v>
      </c>
      <c r="B2739" s="4" t="s">
        <v>7473</v>
      </c>
      <c r="C2739" s="1" t="s">
        <v>7474</v>
      </c>
      <c r="D2739" s="1" t="s">
        <v>7475</v>
      </c>
      <c r="E2739" s="6">
        <v>1</v>
      </c>
    </row>
    <row r="2740" spans="1:5" x14ac:dyDescent="0.25">
      <c r="A2740" s="4" t="s">
        <v>7</v>
      </c>
      <c r="B2740" s="4" t="s">
        <v>7476</v>
      </c>
      <c r="C2740" s="1" t="s">
        <v>7477</v>
      </c>
      <c r="D2740" s="1" t="s">
        <v>7478</v>
      </c>
      <c r="E2740" s="6">
        <v>1</v>
      </c>
    </row>
    <row r="2741" spans="1:5" x14ac:dyDescent="0.25">
      <c r="A2741" s="4" t="s">
        <v>7</v>
      </c>
      <c r="B2741" s="4" t="s">
        <v>7479</v>
      </c>
      <c r="C2741" s="1" t="s">
        <v>7480</v>
      </c>
      <c r="D2741" s="1" t="s">
        <v>7481</v>
      </c>
      <c r="E2741" s="6">
        <v>12</v>
      </c>
    </row>
    <row r="2742" spans="1:5" x14ac:dyDescent="0.25">
      <c r="A2742" s="4" t="s">
        <v>7</v>
      </c>
      <c r="B2742" s="4" t="s">
        <v>7482</v>
      </c>
      <c r="C2742" s="1" t="s">
        <v>7483</v>
      </c>
      <c r="D2742" s="1" t="s">
        <v>7484</v>
      </c>
      <c r="E2742" s="6">
        <v>6</v>
      </c>
    </row>
    <row r="2743" spans="1:5" x14ac:dyDescent="0.25">
      <c r="A2743" s="4" t="s">
        <v>7</v>
      </c>
      <c r="B2743" s="4" t="s">
        <v>7485</v>
      </c>
      <c r="C2743" s="1" t="s">
        <v>7486</v>
      </c>
      <c r="D2743" s="1" t="s">
        <v>7487</v>
      </c>
      <c r="E2743" s="6">
        <v>1</v>
      </c>
    </row>
    <row r="2744" spans="1:5" x14ac:dyDescent="0.25">
      <c r="A2744" s="4" t="s">
        <v>7</v>
      </c>
      <c r="B2744" s="4" t="s">
        <v>7488</v>
      </c>
      <c r="C2744" s="1" t="s">
        <v>7489</v>
      </c>
      <c r="D2744" s="1" t="s">
        <v>7490</v>
      </c>
      <c r="E2744" s="6">
        <v>3</v>
      </c>
    </row>
    <row r="2745" spans="1:5" x14ac:dyDescent="0.25">
      <c r="A2745" s="4" t="s">
        <v>7</v>
      </c>
      <c r="B2745" s="4" t="s">
        <v>7491</v>
      </c>
      <c r="C2745" s="1" t="s">
        <v>7492</v>
      </c>
      <c r="D2745" s="1" t="s">
        <v>7493</v>
      </c>
      <c r="E2745" s="6">
        <v>377</v>
      </c>
    </row>
    <row r="2746" spans="1:5" x14ac:dyDescent="0.25">
      <c r="A2746" s="4" t="s">
        <v>7</v>
      </c>
      <c r="B2746" s="4" t="s">
        <v>7494</v>
      </c>
      <c r="C2746" s="1" t="s">
        <v>7495</v>
      </c>
      <c r="D2746" s="1" t="s">
        <v>7496</v>
      </c>
      <c r="E2746" s="6">
        <v>58</v>
      </c>
    </row>
    <row r="2747" spans="1:5" x14ac:dyDescent="0.25">
      <c r="A2747" s="4" t="s">
        <v>7</v>
      </c>
      <c r="B2747" s="4" t="s">
        <v>7497</v>
      </c>
      <c r="C2747" s="1" t="s">
        <v>7498</v>
      </c>
      <c r="D2747" s="1" t="s">
        <v>7498</v>
      </c>
      <c r="E2747" s="6">
        <v>88</v>
      </c>
    </row>
    <row r="2748" spans="1:5" x14ac:dyDescent="0.25">
      <c r="A2748" s="4" t="s">
        <v>7</v>
      </c>
      <c r="B2748" s="4" t="s">
        <v>7499</v>
      </c>
      <c r="C2748" s="1" t="s">
        <v>7500</v>
      </c>
      <c r="D2748" s="1" t="s">
        <v>7501</v>
      </c>
      <c r="E2748" s="6">
        <v>0.75</v>
      </c>
    </row>
    <row r="2749" spans="1:5" x14ac:dyDescent="0.25">
      <c r="A2749" s="4" t="s">
        <v>7</v>
      </c>
      <c r="B2749" s="4" t="s">
        <v>7502</v>
      </c>
      <c r="C2749" s="1" t="s">
        <v>7503</v>
      </c>
      <c r="D2749" s="1" t="s">
        <v>7504</v>
      </c>
      <c r="E2749" s="6">
        <v>19</v>
      </c>
    </row>
    <row r="2750" spans="1:5" x14ac:dyDescent="0.25">
      <c r="A2750" s="4" t="s">
        <v>7</v>
      </c>
      <c r="B2750" s="4" t="s">
        <v>7505</v>
      </c>
      <c r="C2750" s="1" t="s">
        <v>7506</v>
      </c>
      <c r="D2750" s="1" t="s">
        <v>7507</v>
      </c>
      <c r="E2750" s="6">
        <v>57</v>
      </c>
    </row>
    <row r="2751" spans="1:5" x14ac:dyDescent="0.25">
      <c r="A2751" s="4" t="s">
        <v>7</v>
      </c>
      <c r="B2751" s="4" t="s">
        <v>7508</v>
      </c>
      <c r="C2751" s="1" t="s">
        <v>7509</v>
      </c>
      <c r="D2751" s="1" t="s">
        <v>7510</v>
      </c>
      <c r="E2751" s="6">
        <v>2</v>
      </c>
    </row>
    <row r="2752" spans="1:5" x14ac:dyDescent="0.25">
      <c r="A2752" s="4" t="s">
        <v>7</v>
      </c>
      <c r="B2752" s="4" t="s">
        <v>7511</v>
      </c>
      <c r="C2752" s="1" t="s">
        <v>7512</v>
      </c>
      <c r="D2752" s="1" t="s">
        <v>7513</v>
      </c>
      <c r="E2752" s="6">
        <v>1</v>
      </c>
    </row>
    <row r="2753" spans="1:5" x14ac:dyDescent="0.25">
      <c r="A2753" s="4" t="s">
        <v>7</v>
      </c>
      <c r="B2753" s="4" t="s">
        <v>7514</v>
      </c>
      <c r="C2753" s="1" t="s">
        <v>7515</v>
      </c>
      <c r="D2753" s="1" t="s">
        <v>7516</v>
      </c>
      <c r="E2753" s="6">
        <v>332</v>
      </c>
    </row>
    <row r="2754" spans="1:5" x14ac:dyDescent="0.25">
      <c r="A2754" s="4" t="s">
        <v>7</v>
      </c>
      <c r="B2754" s="4" t="s">
        <v>7517</v>
      </c>
      <c r="C2754" s="1" t="s">
        <v>7518</v>
      </c>
      <c r="D2754" s="1" t="s">
        <v>7519</v>
      </c>
      <c r="E2754" s="6">
        <v>147</v>
      </c>
    </row>
    <row r="2755" spans="1:5" x14ac:dyDescent="0.25">
      <c r="A2755" s="4" t="s">
        <v>7</v>
      </c>
      <c r="B2755" s="4" t="s">
        <v>7520</v>
      </c>
      <c r="C2755" s="1" t="s">
        <v>7521</v>
      </c>
      <c r="D2755" s="1" t="s">
        <v>7522</v>
      </c>
      <c r="E2755" s="6">
        <v>5</v>
      </c>
    </row>
    <row r="2756" spans="1:5" x14ac:dyDescent="0.25">
      <c r="A2756" s="4" t="s">
        <v>7</v>
      </c>
      <c r="B2756" s="4" t="s">
        <v>7523</v>
      </c>
      <c r="C2756" s="1" t="s">
        <v>7524</v>
      </c>
      <c r="D2756" s="1" t="s">
        <v>7525</v>
      </c>
      <c r="E2756" s="6">
        <v>108</v>
      </c>
    </row>
    <row r="2757" spans="1:5" x14ac:dyDescent="0.25">
      <c r="A2757" s="4" t="s">
        <v>7</v>
      </c>
      <c r="B2757" s="4" t="s">
        <v>7526</v>
      </c>
      <c r="C2757" s="1" t="s">
        <v>7527</v>
      </c>
      <c r="D2757" s="1" t="s">
        <v>7528</v>
      </c>
      <c r="E2757" s="6">
        <v>8</v>
      </c>
    </row>
    <row r="2758" spans="1:5" x14ac:dyDescent="0.25">
      <c r="A2758" s="4" t="s">
        <v>7</v>
      </c>
      <c r="B2758" s="4" t="s">
        <v>7529</v>
      </c>
      <c r="C2758" s="1" t="s">
        <v>7530</v>
      </c>
      <c r="D2758" s="1" t="s">
        <v>7531</v>
      </c>
      <c r="E2758" s="6">
        <v>549</v>
      </c>
    </row>
    <row r="2759" spans="1:5" x14ac:dyDescent="0.25">
      <c r="A2759" s="4" t="s">
        <v>7</v>
      </c>
      <c r="B2759" s="4" t="s">
        <v>7532</v>
      </c>
      <c r="C2759" s="1" t="s">
        <v>7533</v>
      </c>
      <c r="D2759" s="1" t="s">
        <v>7522</v>
      </c>
      <c r="E2759" s="6">
        <v>5</v>
      </c>
    </row>
    <row r="2760" spans="1:5" x14ac:dyDescent="0.25">
      <c r="A2760" s="4" t="s">
        <v>7</v>
      </c>
      <c r="B2760" s="4" t="s">
        <v>7534</v>
      </c>
      <c r="C2760" s="1" t="s">
        <v>7535</v>
      </c>
      <c r="D2760" s="1" t="s">
        <v>7536</v>
      </c>
      <c r="E2760" s="6">
        <v>4</v>
      </c>
    </row>
    <row r="2761" spans="1:5" x14ac:dyDescent="0.25">
      <c r="A2761" s="4" t="s">
        <v>7</v>
      </c>
      <c r="B2761" s="4" t="s">
        <v>7537</v>
      </c>
      <c r="C2761" s="1" t="s">
        <v>7538</v>
      </c>
      <c r="D2761" s="1" t="s">
        <v>7539</v>
      </c>
      <c r="E2761" s="6">
        <v>9</v>
      </c>
    </row>
    <row r="2762" spans="1:5" x14ac:dyDescent="0.25">
      <c r="A2762" s="4" t="s">
        <v>7</v>
      </c>
      <c r="B2762" s="4" t="s">
        <v>7540</v>
      </c>
      <c r="C2762" s="1" t="s">
        <v>7541</v>
      </c>
      <c r="D2762" s="1" t="s">
        <v>7542</v>
      </c>
      <c r="E2762" s="6">
        <v>17</v>
      </c>
    </row>
    <row r="2763" spans="1:5" x14ac:dyDescent="0.25">
      <c r="A2763" s="4" t="s">
        <v>7</v>
      </c>
      <c r="B2763" s="4" t="s">
        <v>7543</v>
      </c>
      <c r="C2763" s="1" t="s">
        <v>7544</v>
      </c>
      <c r="D2763" s="1" t="s">
        <v>7545</v>
      </c>
      <c r="E2763" s="6">
        <v>100</v>
      </c>
    </row>
    <row r="2764" spans="1:5" x14ac:dyDescent="0.25">
      <c r="A2764" s="4" t="s">
        <v>7</v>
      </c>
      <c r="B2764" s="4" t="s">
        <v>7546</v>
      </c>
      <c r="C2764" s="1" t="s">
        <v>7547</v>
      </c>
      <c r="D2764" s="1" t="s">
        <v>7548</v>
      </c>
      <c r="E2764" s="6">
        <v>11</v>
      </c>
    </row>
    <row r="2765" spans="1:5" x14ac:dyDescent="0.25">
      <c r="A2765" s="4" t="s">
        <v>7</v>
      </c>
      <c r="B2765" s="4" t="s">
        <v>7549</v>
      </c>
      <c r="C2765" s="1" t="s">
        <v>7550</v>
      </c>
      <c r="D2765" s="1" t="s">
        <v>7551</v>
      </c>
      <c r="E2765" s="6">
        <v>39</v>
      </c>
    </row>
    <row r="2766" spans="1:5" x14ac:dyDescent="0.25">
      <c r="A2766" s="4" t="s">
        <v>7</v>
      </c>
      <c r="B2766" s="4" t="s">
        <v>7552</v>
      </c>
      <c r="C2766" s="1" t="s">
        <v>7553</v>
      </c>
      <c r="D2766" s="1" t="s">
        <v>7554</v>
      </c>
      <c r="E2766" s="6">
        <v>8</v>
      </c>
    </row>
    <row r="2767" spans="1:5" x14ac:dyDescent="0.25">
      <c r="A2767" s="4" t="s">
        <v>7</v>
      </c>
      <c r="B2767" s="4" t="s">
        <v>7555</v>
      </c>
      <c r="C2767" s="1" t="s">
        <v>7556</v>
      </c>
      <c r="D2767" s="1" t="s">
        <v>7557</v>
      </c>
      <c r="E2767" s="6">
        <v>25</v>
      </c>
    </row>
    <row r="2768" spans="1:5" x14ac:dyDescent="0.25">
      <c r="A2768" s="4" t="s">
        <v>7</v>
      </c>
      <c r="B2768" s="4" t="s">
        <v>7558</v>
      </c>
      <c r="C2768" s="1" t="s">
        <v>7559</v>
      </c>
      <c r="D2768" s="1" t="s">
        <v>7560</v>
      </c>
      <c r="E2768" s="6">
        <v>99</v>
      </c>
    </row>
    <row r="2769" spans="1:5" x14ac:dyDescent="0.25">
      <c r="A2769" s="4" t="s">
        <v>7</v>
      </c>
      <c r="B2769" s="4" t="s">
        <v>7561</v>
      </c>
      <c r="C2769" s="1" t="s">
        <v>7562</v>
      </c>
      <c r="D2769" s="1" t="s">
        <v>7563</v>
      </c>
      <c r="E2769" s="6">
        <v>5</v>
      </c>
    </row>
    <row r="2770" spans="1:5" x14ac:dyDescent="0.25">
      <c r="A2770" s="4" t="s">
        <v>7</v>
      </c>
      <c r="B2770" s="4" t="s">
        <v>7564</v>
      </c>
      <c r="C2770" s="1" t="s">
        <v>7565</v>
      </c>
      <c r="D2770" s="1" t="s">
        <v>7566</v>
      </c>
      <c r="E2770" s="6">
        <v>551</v>
      </c>
    </row>
    <row r="2771" spans="1:5" x14ac:dyDescent="0.25">
      <c r="A2771" s="4" t="s">
        <v>7</v>
      </c>
      <c r="B2771" s="4" t="s">
        <v>7567</v>
      </c>
      <c r="C2771" s="1" t="s">
        <v>7568</v>
      </c>
      <c r="D2771" s="1" t="s">
        <v>7569</v>
      </c>
      <c r="E2771" s="6">
        <v>1</v>
      </c>
    </row>
    <row r="2772" spans="1:5" x14ac:dyDescent="0.25">
      <c r="A2772" s="4" t="s">
        <v>7</v>
      </c>
      <c r="B2772" s="4" t="s">
        <v>7570</v>
      </c>
      <c r="C2772" s="1" t="s">
        <v>7571</v>
      </c>
      <c r="D2772" s="1" t="s">
        <v>7572</v>
      </c>
      <c r="E2772" s="6">
        <v>1</v>
      </c>
    </row>
    <row r="2773" spans="1:5" x14ac:dyDescent="0.25">
      <c r="A2773" s="4" t="s">
        <v>7</v>
      </c>
      <c r="B2773" s="4" t="s">
        <v>7573</v>
      </c>
      <c r="C2773" s="1" t="s">
        <v>7574</v>
      </c>
      <c r="D2773" s="1" t="s">
        <v>7575</v>
      </c>
      <c r="E2773" s="6">
        <v>7</v>
      </c>
    </row>
    <row r="2774" spans="1:5" x14ac:dyDescent="0.25">
      <c r="A2774" s="4" t="s">
        <v>7</v>
      </c>
      <c r="B2774" s="4" t="s">
        <v>7576</v>
      </c>
      <c r="C2774" s="1" t="s">
        <v>7577</v>
      </c>
      <c r="D2774" s="1" t="s">
        <v>7578</v>
      </c>
      <c r="E2774" s="6">
        <v>17</v>
      </c>
    </row>
    <row r="2775" spans="1:5" x14ac:dyDescent="0.25">
      <c r="A2775" s="4" t="s">
        <v>7</v>
      </c>
      <c r="B2775" s="4" t="s">
        <v>7579</v>
      </c>
      <c r="C2775" s="1" t="s">
        <v>7580</v>
      </c>
      <c r="D2775" s="1" t="s">
        <v>7581</v>
      </c>
      <c r="E2775" s="6">
        <v>415</v>
      </c>
    </row>
    <row r="2776" spans="1:5" x14ac:dyDescent="0.25">
      <c r="A2776" s="4" t="s">
        <v>7</v>
      </c>
      <c r="B2776" s="4" t="s">
        <v>7582</v>
      </c>
      <c r="C2776" s="1" t="s">
        <v>7583</v>
      </c>
      <c r="D2776" s="1" t="s">
        <v>7584</v>
      </c>
      <c r="E2776" s="6">
        <v>9</v>
      </c>
    </row>
    <row r="2777" spans="1:5" x14ac:dyDescent="0.25">
      <c r="A2777" s="4" t="s">
        <v>7</v>
      </c>
      <c r="B2777" s="4" t="s">
        <v>7585</v>
      </c>
      <c r="C2777" s="1" t="s">
        <v>7586</v>
      </c>
      <c r="D2777" s="1" t="s">
        <v>7587</v>
      </c>
      <c r="E2777" s="6">
        <v>178</v>
      </c>
    </row>
    <row r="2778" spans="1:5" x14ac:dyDescent="0.25">
      <c r="A2778" s="4" t="s">
        <v>7</v>
      </c>
      <c r="B2778" s="4" t="s">
        <v>7588</v>
      </c>
      <c r="C2778" s="1" t="s">
        <v>7589</v>
      </c>
      <c r="D2778" s="1" t="s">
        <v>7590</v>
      </c>
      <c r="E2778" s="6">
        <v>58</v>
      </c>
    </row>
    <row r="2779" spans="1:5" x14ac:dyDescent="0.25">
      <c r="A2779" s="4" t="s">
        <v>7</v>
      </c>
      <c r="B2779" s="4" t="s">
        <v>7591</v>
      </c>
      <c r="C2779" s="1" t="s">
        <v>7592</v>
      </c>
      <c r="D2779" s="1" t="s">
        <v>7593</v>
      </c>
      <c r="E2779" s="6">
        <v>151</v>
      </c>
    </row>
    <row r="2780" spans="1:5" x14ac:dyDescent="0.25">
      <c r="A2780" s="4" t="s">
        <v>7</v>
      </c>
      <c r="B2780" s="4" t="s">
        <v>7594</v>
      </c>
      <c r="C2780" s="1" t="s">
        <v>7595</v>
      </c>
      <c r="D2780" s="1" t="s">
        <v>7596</v>
      </c>
      <c r="E2780" s="6">
        <v>40</v>
      </c>
    </row>
    <row r="2781" spans="1:5" x14ac:dyDescent="0.25">
      <c r="A2781" s="4" t="s">
        <v>7</v>
      </c>
      <c r="B2781" s="4" t="s">
        <v>7597</v>
      </c>
      <c r="C2781" s="1" t="s">
        <v>7598</v>
      </c>
      <c r="D2781" s="1" t="s">
        <v>7599</v>
      </c>
      <c r="E2781" s="6">
        <v>9</v>
      </c>
    </row>
    <row r="2782" spans="1:5" x14ac:dyDescent="0.25">
      <c r="A2782" s="4" t="s">
        <v>7</v>
      </c>
      <c r="B2782" s="4" t="s">
        <v>7600</v>
      </c>
      <c r="C2782" s="1" t="s">
        <v>7601</v>
      </c>
      <c r="D2782" s="1" t="s">
        <v>7602</v>
      </c>
      <c r="E2782" s="6">
        <v>1</v>
      </c>
    </row>
    <row r="2783" spans="1:5" x14ac:dyDescent="0.25">
      <c r="A2783" s="4" t="s">
        <v>7</v>
      </c>
      <c r="B2783" s="4" t="s">
        <v>7603</v>
      </c>
      <c r="C2783" s="1" t="s">
        <v>7604</v>
      </c>
      <c r="D2783" s="1" t="s">
        <v>7605</v>
      </c>
      <c r="E2783" s="6">
        <v>24</v>
      </c>
    </row>
    <row r="2784" spans="1:5" x14ac:dyDescent="0.25">
      <c r="A2784" s="4" t="s">
        <v>7</v>
      </c>
      <c r="B2784" s="4" t="s">
        <v>7606</v>
      </c>
      <c r="C2784" s="1" t="s">
        <v>7607</v>
      </c>
      <c r="D2784" s="1" t="s">
        <v>7608</v>
      </c>
      <c r="E2784" s="6">
        <v>14</v>
      </c>
    </row>
    <row r="2785" spans="1:5" x14ac:dyDescent="0.25">
      <c r="A2785" s="4" t="s">
        <v>7</v>
      </c>
      <c r="B2785" s="4" t="s">
        <v>7609</v>
      </c>
      <c r="C2785" s="1" t="s">
        <v>7610</v>
      </c>
      <c r="D2785" s="1" t="s">
        <v>7611</v>
      </c>
      <c r="E2785" s="6">
        <v>92</v>
      </c>
    </row>
    <row r="2786" spans="1:5" x14ac:dyDescent="0.25">
      <c r="A2786" s="4" t="s">
        <v>7</v>
      </c>
      <c r="B2786" s="4" t="s">
        <v>7612</v>
      </c>
      <c r="C2786" s="1" t="s">
        <v>7613</v>
      </c>
      <c r="D2786" s="1" t="s">
        <v>7614</v>
      </c>
      <c r="E2786" s="6">
        <v>1789.48</v>
      </c>
    </row>
    <row r="2787" spans="1:5" x14ac:dyDescent="0.25">
      <c r="A2787" s="4" t="s">
        <v>7</v>
      </c>
      <c r="B2787" s="4" t="s">
        <v>7615</v>
      </c>
      <c r="C2787" s="1" t="s">
        <v>7616</v>
      </c>
      <c r="D2787" s="1" t="s">
        <v>7617</v>
      </c>
      <c r="E2787" s="6">
        <v>725</v>
      </c>
    </row>
    <row r="2788" spans="1:5" x14ac:dyDescent="0.25">
      <c r="A2788" s="4" t="s">
        <v>7</v>
      </c>
      <c r="B2788" s="4" t="s">
        <v>7618</v>
      </c>
      <c r="C2788" s="1" t="s">
        <v>7619</v>
      </c>
      <c r="D2788" s="1" t="s">
        <v>7620</v>
      </c>
      <c r="E2788" s="6">
        <v>793</v>
      </c>
    </row>
    <row r="2789" spans="1:5" x14ac:dyDescent="0.25">
      <c r="A2789" s="4" t="s">
        <v>7</v>
      </c>
      <c r="B2789" s="4" t="s">
        <v>7621</v>
      </c>
      <c r="C2789" s="1" t="s">
        <v>7622</v>
      </c>
      <c r="D2789" s="1" t="s">
        <v>7623</v>
      </c>
      <c r="E2789" s="6">
        <v>2234</v>
      </c>
    </row>
    <row r="2790" spans="1:5" x14ac:dyDescent="0.25">
      <c r="A2790" s="4" t="s">
        <v>7</v>
      </c>
      <c r="B2790" s="4" t="s">
        <v>7624</v>
      </c>
      <c r="C2790" s="1" t="s">
        <v>7625</v>
      </c>
      <c r="D2790" s="1" t="s">
        <v>7626</v>
      </c>
      <c r="E2790" s="6">
        <v>437</v>
      </c>
    </row>
    <row r="2791" spans="1:5" x14ac:dyDescent="0.25">
      <c r="A2791" s="4" t="s">
        <v>7</v>
      </c>
      <c r="B2791" s="4" t="s">
        <v>7627</v>
      </c>
      <c r="C2791" s="1" t="s">
        <v>7628</v>
      </c>
      <c r="D2791" s="1" t="s">
        <v>7629</v>
      </c>
      <c r="E2791" s="6">
        <v>2291</v>
      </c>
    </row>
    <row r="2792" spans="1:5" x14ac:dyDescent="0.25">
      <c r="A2792" s="4" t="s">
        <v>7</v>
      </c>
      <c r="B2792" s="4" t="s">
        <v>7630</v>
      </c>
      <c r="C2792" s="1" t="s">
        <v>7631</v>
      </c>
      <c r="D2792" s="1" t="s">
        <v>7632</v>
      </c>
      <c r="E2792" s="6">
        <v>74</v>
      </c>
    </row>
    <row r="2793" spans="1:5" x14ac:dyDescent="0.25">
      <c r="A2793" s="4" t="s">
        <v>7</v>
      </c>
      <c r="B2793" s="4" t="s">
        <v>7633</v>
      </c>
      <c r="C2793" s="1" t="s">
        <v>7634</v>
      </c>
      <c r="D2793" s="1" t="s">
        <v>7635</v>
      </c>
      <c r="E2793" s="6">
        <v>372</v>
      </c>
    </row>
    <row r="2794" spans="1:5" x14ac:dyDescent="0.25">
      <c r="A2794" s="4" t="s">
        <v>7</v>
      </c>
      <c r="B2794" s="4" t="s">
        <v>7636</v>
      </c>
      <c r="C2794" s="1" t="s">
        <v>7637</v>
      </c>
      <c r="D2794" s="1" t="s">
        <v>7638</v>
      </c>
      <c r="E2794" s="6">
        <v>387</v>
      </c>
    </row>
    <row r="2795" spans="1:5" x14ac:dyDescent="0.25">
      <c r="A2795" s="4" t="s">
        <v>7</v>
      </c>
      <c r="B2795" s="4" t="s">
        <v>7639</v>
      </c>
      <c r="C2795" s="1" t="s">
        <v>7640</v>
      </c>
      <c r="D2795" s="1" t="s">
        <v>7641</v>
      </c>
      <c r="E2795" s="6">
        <v>172</v>
      </c>
    </row>
    <row r="2796" spans="1:5" x14ac:dyDescent="0.25">
      <c r="A2796" s="4" t="s">
        <v>7</v>
      </c>
      <c r="B2796" s="4" t="s">
        <v>7642</v>
      </c>
      <c r="C2796" s="1" t="s">
        <v>7643</v>
      </c>
      <c r="D2796" s="1" t="s">
        <v>7644</v>
      </c>
      <c r="E2796" s="6">
        <v>105</v>
      </c>
    </row>
    <row r="2797" spans="1:5" x14ac:dyDescent="0.25">
      <c r="A2797" s="4" t="s">
        <v>7</v>
      </c>
      <c r="B2797" s="4" t="s">
        <v>7645</v>
      </c>
      <c r="C2797" s="1" t="s">
        <v>7646</v>
      </c>
      <c r="D2797" s="1" t="s">
        <v>7647</v>
      </c>
      <c r="E2797" s="6">
        <v>13</v>
      </c>
    </row>
    <row r="2798" spans="1:5" x14ac:dyDescent="0.25">
      <c r="A2798" s="4" t="s">
        <v>7</v>
      </c>
      <c r="B2798" s="4" t="s">
        <v>7648</v>
      </c>
      <c r="C2798" s="1" t="s">
        <v>7649</v>
      </c>
      <c r="D2798" s="1" t="s">
        <v>7650</v>
      </c>
      <c r="E2798" s="6">
        <v>1</v>
      </c>
    </row>
    <row r="2799" spans="1:5" x14ac:dyDescent="0.25">
      <c r="A2799" s="4" t="s">
        <v>7</v>
      </c>
      <c r="B2799" s="4" t="s">
        <v>7651</v>
      </c>
      <c r="C2799" s="1" t="s">
        <v>7652</v>
      </c>
      <c r="D2799" s="1" t="s">
        <v>7653</v>
      </c>
      <c r="E2799" s="6">
        <v>3</v>
      </c>
    </row>
    <row r="2800" spans="1:5" x14ac:dyDescent="0.25">
      <c r="A2800" s="4" t="s">
        <v>7</v>
      </c>
      <c r="B2800" s="4" t="s">
        <v>7654</v>
      </c>
      <c r="C2800" s="1" t="s">
        <v>7655</v>
      </c>
      <c r="D2800" s="1" t="s">
        <v>7656</v>
      </c>
      <c r="E2800" s="6">
        <v>36</v>
      </c>
    </row>
    <row r="2801" spans="1:5" x14ac:dyDescent="0.25">
      <c r="A2801" s="4" t="s">
        <v>7</v>
      </c>
      <c r="B2801" s="4" t="s">
        <v>7657</v>
      </c>
      <c r="C2801" s="1" t="s">
        <v>7658</v>
      </c>
      <c r="D2801" s="1" t="s">
        <v>7659</v>
      </c>
      <c r="E2801" s="6">
        <v>140</v>
      </c>
    </row>
    <row r="2802" spans="1:5" x14ac:dyDescent="0.25">
      <c r="A2802" s="4" t="s">
        <v>7</v>
      </c>
      <c r="B2802" s="4" t="s">
        <v>7660</v>
      </c>
      <c r="C2802" s="1" t="s">
        <v>7661</v>
      </c>
      <c r="D2802" s="1" t="s">
        <v>7662</v>
      </c>
      <c r="E2802" s="6">
        <v>231</v>
      </c>
    </row>
    <row r="2803" spans="1:5" x14ac:dyDescent="0.25">
      <c r="A2803" s="4" t="s">
        <v>7</v>
      </c>
      <c r="B2803" s="4" t="s">
        <v>7663</v>
      </c>
      <c r="C2803" s="1" t="s">
        <v>7664</v>
      </c>
      <c r="D2803" s="1" t="s">
        <v>7665</v>
      </c>
      <c r="E2803" s="6">
        <v>56</v>
      </c>
    </row>
    <row r="2804" spans="1:5" x14ac:dyDescent="0.25">
      <c r="A2804" s="4" t="s">
        <v>7</v>
      </c>
      <c r="B2804" s="4" t="s">
        <v>7666</v>
      </c>
      <c r="C2804" s="1" t="s">
        <v>7667</v>
      </c>
      <c r="D2804" s="1" t="s">
        <v>7668</v>
      </c>
      <c r="E2804" s="6">
        <v>189</v>
      </c>
    </row>
    <row r="2805" spans="1:5" x14ac:dyDescent="0.25">
      <c r="A2805" s="4" t="s">
        <v>7</v>
      </c>
      <c r="B2805" s="4" t="s">
        <v>7669</v>
      </c>
      <c r="C2805" s="1" t="s">
        <v>7670</v>
      </c>
      <c r="D2805" s="1" t="s">
        <v>7671</v>
      </c>
      <c r="E2805" s="6">
        <v>42</v>
      </c>
    </row>
    <row r="2806" spans="1:5" x14ac:dyDescent="0.25">
      <c r="A2806" s="4" t="s">
        <v>7</v>
      </c>
      <c r="B2806" s="4" t="s">
        <v>7672</v>
      </c>
      <c r="C2806" s="1" t="s">
        <v>7673</v>
      </c>
      <c r="D2806" s="1" t="s">
        <v>7674</v>
      </c>
      <c r="E2806" s="6">
        <v>8</v>
      </c>
    </row>
    <row r="2807" spans="1:5" x14ac:dyDescent="0.25">
      <c r="A2807" s="4" t="s">
        <v>7</v>
      </c>
      <c r="B2807" s="4" t="s">
        <v>7675</v>
      </c>
      <c r="C2807" s="1" t="s">
        <v>7676</v>
      </c>
      <c r="D2807" s="1" t="s">
        <v>7677</v>
      </c>
      <c r="E2807" s="6">
        <v>8</v>
      </c>
    </row>
    <row r="2808" spans="1:5" x14ac:dyDescent="0.25">
      <c r="A2808" s="4" t="s">
        <v>7</v>
      </c>
      <c r="B2808" s="4" t="s">
        <v>7678</v>
      </c>
      <c r="C2808" s="1" t="s">
        <v>7679</v>
      </c>
      <c r="D2808" s="1" t="s">
        <v>7680</v>
      </c>
      <c r="E2808" s="6">
        <v>159</v>
      </c>
    </row>
    <row r="2809" spans="1:5" x14ac:dyDescent="0.25">
      <c r="A2809" s="4" t="s">
        <v>7</v>
      </c>
      <c r="B2809" s="4" t="s">
        <v>7681</v>
      </c>
      <c r="C2809" s="1" t="s">
        <v>7682</v>
      </c>
      <c r="D2809" s="1" t="s">
        <v>7683</v>
      </c>
      <c r="E2809" s="6">
        <v>815</v>
      </c>
    </row>
    <row r="2810" spans="1:5" x14ac:dyDescent="0.25">
      <c r="A2810" s="4" t="s">
        <v>7</v>
      </c>
      <c r="B2810" s="4" t="s">
        <v>7684</v>
      </c>
      <c r="C2810" s="1" t="s">
        <v>7685</v>
      </c>
      <c r="D2810" s="1" t="s">
        <v>7686</v>
      </c>
      <c r="E2810" s="6">
        <v>665</v>
      </c>
    </row>
    <row r="2811" spans="1:5" x14ac:dyDescent="0.25">
      <c r="A2811" s="4" t="s">
        <v>7</v>
      </c>
      <c r="B2811" s="4" t="s">
        <v>7687</v>
      </c>
      <c r="C2811" s="1" t="s">
        <v>7688</v>
      </c>
      <c r="D2811" s="1" t="s">
        <v>7689</v>
      </c>
      <c r="E2811" s="6">
        <v>2</v>
      </c>
    </row>
    <row r="2812" spans="1:5" x14ac:dyDescent="0.25">
      <c r="A2812" s="4" t="s">
        <v>7</v>
      </c>
      <c r="B2812" s="4" t="s">
        <v>7690</v>
      </c>
      <c r="C2812" s="1" t="s">
        <v>7691</v>
      </c>
      <c r="D2812" s="1" t="s">
        <v>7692</v>
      </c>
      <c r="E2812" s="6">
        <v>1</v>
      </c>
    </row>
    <row r="2813" spans="1:5" x14ac:dyDescent="0.25">
      <c r="A2813" s="4" t="s">
        <v>7</v>
      </c>
      <c r="B2813" s="4" t="s">
        <v>7693</v>
      </c>
      <c r="C2813" s="1" t="s">
        <v>7694</v>
      </c>
      <c r="D2813" s="1" t="s">
        <v>7695</v>
      </c>
      <c r="E2813" s="6">
        <v>171</v>
      </c>
    </row>
    <row r="2814" spans="1:5" x14ac:dyDescent="0.25">
      <c r="A2814" s="4" t="s">
        <v>7</v>
      </c>
      <c r="B2814" s="4" t="s">
        <v>7696</v>
      </c>
      <c r="C2814" s="1" t="s">
        <v>7697</v>
      </c>
      <c r="D2814" s="1" t="s">
        <v>7698</v>
      </c>
      <c r="E2814" s="6">
        <v>1506</v>
      </c>
    </row>
    <row r="2815" spans="1:5" x14ac:dyDescent="0.25">
      <c r="A2815" s="4" t="s">
        <v>7</v>
      </c>
      <c r="B2815" s="4" t="s">
        <v>7699</v>
      </c>
      <c r="C2815" s="1" t="s">
        <v>7700</v>
      </c>
      <c r="D2815" s="1" t="s">
        <v>7701</v>
      </c>
      <c r="E2815" s="6">
        <v>994</v>
      </c>
    </row>
    <row r="2816" spans="1:5" x14ac:dyDescent="0.25">
      <c r="A2816" s="4" t="s">
        <v>7</v>
      </c>
      <c r="B2816" s="4" t="s">
        <v>7702</v>
      </c>
      <c r="C2816" s="1" t="s">
        <v>7703</v>
      </c>
      <c r="D2816" s="1" t="s">
        <v>7704</v>
      </c>
      <c r="E2816" s="6">
        <v>3</v>
      </c>
    </row>
    <row r="2817" spans="1:5" x14ac:dyDescent="0.25">
      <c r="A2817" s="4" t="s">
        <v>7</v>
      </c>
      <c r="B2817" s="4" t="s">
        <v>7705</v>
      </c>
      <c r="C2817" s="1" t="s">
        <v>7706</v>
      </c>
      <c r="D2817" s="1" t="s">
        <v>7707</v>
      </c>
      <c r="E2817" s="6">
        <v>2280</v>
      </c>
    </row>
    <row r="2818" spans="1:5" x14ac:dyDescent="0.25">
      <c r="A2818" s="4" t="s">
        <v>7</v>
      </c>
      <c r="B2818" s="4" t="s">
        <v>7708</v>
      </c>
      <c r="C2818" s="1" t="s">
        <v>7709</v>
      </c>
      <c r="D2818" s="1" t="s">
        <v>7710</v>
      </c>
      <c r="E2818" s="6">
        <v>466</v>
      </c>
    </row>
    <row r="2819" spans="1:5" x14ac:dyDescent="0.25">
      <c r="A2819" s="4" t="s">
        <v>7</v>
      </c>
      <c r="B2819" s="4" t="s">
        <v>7711</v>
      </c>
      <c r="C2819" s="1" t="s">
        <v>7712</v>
      </c>
      <c r="D2819" s="1" t="s">
        <v>7713</v>
      </c>
      <c r="E2819" s="6">
        <v>18</v>
      </c>
    </row>
    <row r="2820" spans="1:5" x14ac:dyDescent="0.25">
      <c r="A2820" s="4" t="s">
        <v>7</v>
      </c>
      <c r="B2820" s="4" t="s">
        <v>7714</v>
      </c>
      <c r="C2820" s="1" t="s">
        <v>7715</v>
      </c>
      <c r="D2820" s="1" t="s">
        <v>7716</v>
      </c>
      <c r="E2820" s="6">
        <v>4</v>
      </c>
    </row>
    <row r="2821" spans="1:5" x14ac:dyDescent="0.25">
      <c r="A2821" s="4" t="s">
        <v>7</v>
      </c>
      <c r="B2821" s="4" t="s">
        <v>7717</v>
      </c>
      <c r="C2821" s="1" t="s">
        <v>7718</v>
      </c>
      <c r="D2821" s="1" t="s">
        <v>7719</v>
      </c>
      <c r="E2821" s="6">
        <v>41</v>
      </c>
    </row>
    <row r="2822" spans="1:5" x14ac:dyDescent="0.25">
      <c r="A2822" s="4" t="s">
        <v>7</v>
      </c>
      <c r="B2822" s="4" t="s">
        <v>7720</v>
      </c>
      <c r="C2822" s="1" t="s">
        <v>7721</v>
      </c>
      <c r="D2822" s="1" t="s">
        <v>7722</v>
      </c>
      <c r="E2822" s="6">
        <v>46</v>
      </c>
    </row>
    <row r="2823" spans="1:5" x14ac:dyDescent="0.25">
      <c r="A2823" s="4" t="s">
        <v>7</v>
      </c>
      <c r="B2823" s="4" t="s">
        <v>7723</v>
      </c>
      <c r="C2823" s="1" t="s">
        <v>7724</v>
      </c>
      <c r="D2823" s="1" t="s">
        <v>7725</v>
      </c>
      <c r="E2823" s="6">
        <v>26</v>
      </c>
    </row>
    <row r="2824" spans="1:5" x14ac:dyDescent="0.25">
      <c r="A2824" s="4" t="s">
        <v>7</v>
      </c>
      <c r="B2824" s="4" t="s">
        <v>7726</v>
      </c>
      <c r="C2824" s="1" t="s">
        <v>7727</v>
      </c>
      <c r="D2824" s="1" t="s">
        <v>7728</v>
      </c>
      <c r="E2824" s="6">
        <v>8</v>
      </c>
    </row>
    <row r="2825" spans="1:5" x14ac:dyDescent="0.25">
      <c r="A2825" s="4" t="s">
        <v>7</v>
      </c>
      <c r="B2825" s="4" t="s">
        <v>7729</v>
      </c>
      <c r="C2825" s="1" t="s">
        <v>7730</v>
      </c>
      <c r="D2825" s="1" t="s">
        <v>7731</v>
      </c>
      <c r="E2825" s="6">
        <v>44</v>
      </c>
    </row>
    <row r="2826" spans="1:5" x14ac:dyDescent="0.25">
      <c r="A2826" s="4" t="s">
        <v>7</v>
      </c>
      <c r="B2826" s="4" t="s">
        <v>7732</v>
      </c>
      <c r="C2826" s="1" t="s">
        <v>7733</v>
      </c>
      <c r="D2826" s="1" t="s">
        <v>7734</v>
      </c>
      <c r="E2826" s="6">
        <v>23</v>
      </c>
    </row>
    <row r="2827" spans="1:5" x14ac:dyDescent="0.25">
      <c r="A2827" s="4" t="s">
        <v>7</v>
      </c>
      <c r="B2827" s="4" t="s">
        <v>7735</v>
      </c>
      <c r="C2827" s="1" t="s">
        <v>7736</v>
      </c>
      <c r="D2827" s="1" t="s">
        <v>7737</v>
      </c>
      <c r="E2827" s="6">
        <v>100</v>
      </c>
    </row>
    <row r="2828" spans="1:5" x14ac:dyDescent="0.25">
      <c r="A2828" s="4" t="s">
        <v>7</v>
      </c>
      <c r="B2828" s="4" t="s">
        <v>7738</v>
      </c>
      <c r="C2828" s="1" t="s">
        <v>7739</v>
      </c>
      <c r="D2828" s="1" t="s">
        <v>7740</v>
      </c>
      <c r="E2828" s="6">
        <v>100</v>
      </c>
    </row>
    <row r="2829" spans="1:5" x14ac:dyDescent="0.25">
      <c r="A2829" s="4" t="s">
        <v>7</v>
      </c>
      <c r="B2829" s="4" t="s">
        <v>7741</v>
      </c>
      <c r="C2829" s="1" t="s">
        <v>7742</v>
      </c>
      <c r="D2829" s="1" t="s">
        <v>7743</v>
      </c>
      <c r="E2829" s="6">
        <v>7</v>
      </c>
    </row>
    <row r="2830" spans="1:5" x14ac:dyDescent="0.25">
      <c r="A2830" s="4" t="s">
        <v>7</v>
      </c>
      <c r="B2830" s="4" t="s">
        <v>7744</v>
      </c>
      <c r="C2830" s="1" t="s">
        <v>7745</v>
      </c>
      <c r="D2830" s="1" t="s">
        <v>7746</v>
      </c>
      <c r="E2830" s="6">
        <v>30</v>
      </c>
    </row>
    <row r="2831" spans="1:5" x14ac:dyDescent="0.25">
      <c r="A2831" s="4" t="s">
        <v>7</v>
      </c>
      <c r="B2831" s="4" t="s">
        <v>7747</v>
      </c>
      <c r="C2831" s="1" t="s">
        <v>7748</v>
      </c>
      <c r="D2831" s="1" t="s">
        <v>7749</v>
      </c>
      <c r="E2831" s="6">
        <v>241</v>
      </c>
    </row>
    <row r="2832" spans="1:5" x14ac:dyDescent="0.25">
      <c r="A2832" s="4" t="s">
        <v>7</v>
      </c>
      <c r="B2832" s="4" t="s">
        <v>7750</v>
      </c>
      <c r="C2832" s="1" t="s">
        <v>7751</v>
      </c>
      <c r="D2832" s="1" t="s">
        <v>7752</v>
      </c>
      <c r="E2832" s="6">
        <v>30</v>
      </c>
    </row>
    <row r="2833" spans="1:5" x14ac:dyDescent="0.25">
      <c r="A2833" s="4" t="s">
        <v>7</v>
      </c>
      <c r="B2833" s="4" t="s">
        <v>7753</v>
      </c>
      <c r="C2833" s="1" t="s">
        <v>7754</v>
      </c>
      <c r="D2833" s="1" t="s">
        <v>7755</v>
      </c>
      <c r="E2833" s="6">
        <v>59</v>
      </c>
    </row>
    <row r="2834" spans="1:5" x14ac:dyDescent="0.25">
      <c r="A2834" s="4" t="s">
        <v>7</v>
      </c>
      <c r="B2834" s="4" t="s">
        <v>7756</v>
      </c>
      <c r="C2834" s="1" t="s">
        <v>7757</v>
      </c>
      <c r="D2834" s="1" t="s">
        <v>7758</v>
      </c>
      <c r="E2834" s="6">
        <v>15</v>
      </c>
    </row>
    <row r="2835" spans="1:5" x14ac:dyDescent="0.25">
      <c r="A2835" s="4" t="s">
        <v>7</v>
      </c>
      <c r="B2835" s="4" t="s">
        <v>7759</v>
      </c>
      <c r="C2835" s="1" t="s">
        <v>7760</v>
      </c>
      <c r="D2835" s="1" t="s">
        <v>7761</v>
      </c>
      <c r="E2835" s="6">
        <v>55</v>
      </c>
    </row>
    <row r="2836" spans="1:5" x14ac:dyDescent="0.25">
      <c r="A2836" s="4" t="s">
        <v>7</v>
      </c>
      <c r="B2836" s="4" t="s">
        <v>7762</v>
      </c>
      <c r="C2836" s="1" t="s">
        <v>7763</v>
      </c>
      <c r="D2836" s="1" t="s">
        <v>7764</v>
      </c>
      <c r="E2836" s="6">
        <v>9</v>
      </c>
    </row>
    <row r="2837" spans="1:5" x14ac:dyDescent="0.25">
      <c r="A2837" s="4" t="s">
        <v>7</v>
      </c>
      <c r="B2837" s="4" t="s">
        <v>7765</v>
      </c>
      <c r="C2837" s="1" t="s">
        <v>7766</v>
      </c>
      <c r="D2837" s="1" t="s">
        <v>7767</v>
      </c>
      <c r="E2837" s="6">
        <v>14</v>
      </c>
    </row>
    <row r="2838" spans="1:5" x14ac:dyDescent="0.25">
      <c r="A2838" s="4" t="s">
        <v>7</v>
      </c>
      <c r="B2838" s="4" t="s">
        <v>7768</v>
      </c>
      <c r="C2838" s="1" t="s">
        <v>7769</v>
      </c>
      <c r="D2838" s="1" t="s">
        <v>7770</v>
      </c>
      <c r="E2838" s="6">
        <v>69</v>
      </c>
    </row>
    <row r="2839" spans="1:5" x14ac:dyDescent="0.25">
      <c r="A2839" s="4" t="s">
        <v>7</v>
      </c>
      <c r="B2839" s="4" t="s">
        <v>7771</v>
      </c>
      <c r="C2839" s="1" t="s">
        <v>7772</v>
      </c>
      <c r="D2839" s="1" t="s">
        <v>7773</v>
      </c>
      <c r="E2839" s="6">
        <v>26</v>
      </c>
    </row>
    <row r="2840" spans="1:5" x14ac:dyDescent="0.25">
      <c r="A2840" s="4" t="s">
        <v>7</v>
      </c>
      <c r="B2840" s="4" t="s">
        <v>7774</v>
      </c>
      <c r="C2840" s="1" t="s">
        <v>7775</v>
      </c>
      <c r="D2840" s="1" t="s">
        <v>7776</v>
      </c>
      <c r="E2840" s="6">
        <v>3</v>
      </c>
    </row>
    <row r="2841" spans="1:5" x14ac:dyDescent="0.25">
      <c r="A2841" s="4" t="s">
        <v>7</v>
      </c>
      <c r="B2841" s="4" t="s">
        <v>7777</v>
      </c>
      <c r="C2841" s="1" t="s">
        <v>7778</v>
      </c>
      <c r="D2841" s="1" t="s">
        <v>7779</v>
      </c>
      <c r="E2841" s="6">
        <v>2</v>
      </c>
    </row>
    <row r="2842" spans="1:5" x14ac:dyDescent="0.25">
      <c r="A2842" s="4" t="s">
        <v>7</v>
      </c>
      <c r="B2842" s="4" t="s">
        <v>7780</v>
      </c>
      <c r="C2842" s="1" t="s">
        <v>7781</v>
      </c>
      <c r="D2842" s="1" t="s">
        <v>7782</v>
      </c>
      <c r="E2842" s="6">
        <v>10</v>
      </c>
    </row>
    <row r="2843" spans="1:5" x14ac:dyDescent="0.25">
      <c r="A2843" s="4" t="s">
        <v>7</v>
      </c>
      <c r="B2843" s="4" t="s">
        <v>7783</v>
      </c>
      <c r="C2843" s="1" t="s">
        <v>7784</v>
      </c>
      <c r="D2843" s="1" t="s">
        <v>7785</v>
      </c>
      <c r="E2843" s="6">
        <v>245</v>
      </c>
    </row>
    <row r="2844" spans="1:5" x14ac:dyDescent="0.25">
      <c r="A2844" s="4" t="s">
        <v>7</v>
      </c>
      <c r="B2844" s="4" t="s">
        <v>7786</v>
      </c>
      <c r="C2844" s="1" t="s">
        <v>7787</v>
      </c>
      <c r="D2844" s="1" t="s">
        <v>7788</v>
      </c>
      <c r="E2844" s="6">
        <v>3434</v>
      </c>
    </row>
    <row r="2845" spans="1:5" x14ac:dyDescent="0.25">
      <c r="A2845" s="4" t="s">
        <v>7</v>
      </c>
      <c r="B2845" s="4" t="s">
        <v>7789</v>
      </c>
      <c r="C2845" s="1" t="s">
        <v>7790</v>
      </c>
      <c r="D2845" s="1" t="s">
        <v>7791</v>
      </c>
      <c r="E2845" s="6">
        <v>20</v>
      </c>
    </row>
    <row r="2846" spans="1:5" x14ac:dyDescent="0.25">
      <c r="A2846" s="4" t="s">
        <v>7</v>
      </c>
      <c r="B2846" s="4" t="s">
        <v>7792</v>
      </c>
      <c r="C2846" s="1" t="s">
        <v>7793</v>
      </c>
      <c r="D2846" s="1" t="s">
        <v>7794</v>
      </c>
      <c r="E2846" s="6">
        <v>8</v>
      </c>
    </row>
    <row r="2847" spans="1:5" x14ac:dyDescent="0.25">
      <c r="A2847" s="4" t="s">
        <v>7</v>
      </c>
      <c r="B2847" s="4" t="s">
        <v>7795</v>
      </c>
      <c r="C2847" s="1" t="s">
        <v>7796</v>
      </c>
      <c r="D2847" s="1" t="s">
        <v>7797</v>
      </c>
      <c r="E2847" s="6">
        <v>89</v>
      </c>
    </row>
    <row r="2848" spans="1:5" x14ac:dyDescent="0.25">
      <c r="A2848" s="4" t="s">
        <v>7</v>
      </c>
      <c r="B2848" s="4" t="s">
        <v>7798</v>
      </c>
      <c r="C2848" s="1" t="s">
        <v>7799</v>
      </c>
      <c r="D2848" s="1" t="s">
        <v>7800</v>
      </c>
      <c r="E2848" s="6">
        <v>52</v>
      </c>
    </row>
    <row r="2849" spans="1:5" x14ac:dyDescent="0.25">
      <c r="A2849" s="4" t="s">
        <v>7</v>
      </c>
      <c r="B2849" s="4" t="s">
        <v>7801</v>
      </c>
      <c r="C2849" s="1" t="s">
        <v>7802</v>
      </c>
      <c r="D2849" s="1" t="s">
        <v>7803</v>
      </c>
      <c r="E2849" s="6">
        <v>100</v>
      </c>
    </row>
    <row r="2850" spans="1:5" x14ac:dyDescent="0.25">
      <c r="A2850" s="4" t="s">
        <v>7</v>
      </c>
      <c r="B2850" s="4" t="s">
        <v>7804</v>
      </c>
      <c r="C2850" s="1" t="s">
        <v>7805</v>
      </c>
      <c r="D2850" s="1" t="s">
        <v>7806</v>
      </c>
      <c r="E2850" s="6">
        <v>584</v>
      </c>
    </row>
    <row r="2851" spans="1:5" x14ac:dyDescent="0.25">
      <c r="A2851" s="4" t="s">
        <v>7</v>
      </c>
      <c r="B2851" s="4" t="s">
        <v>7807</v>
      </c>
      <c r="C2851" s="1" t="s">
        <v>7808</v>
      </c>
      <c r="D2851" s="1" t="s">
        <v>7809</v>
      </c>
      <c r="E2851" s="6">
        <v>245</v>
      </c>
    </row>
    <row r="2852" spans="1:5" x14ac:dyDescent="0.25">
      <c r="A2852" s="4" t="s">
        <v>7</v>
      </c>
      <c r="B2852" s="4" t="s">
        <v>7810</v>
      </c>
      <c r="C2852" s="1" t="s">
        <v>7811</v>
      </c>
      <c r="D2852" s="1" t="s">
        <v>7812</v>
      </c>
      <c r="E2852" s="6">
        <v>498</v>
      </c>
    </row>
    <row r="2853" spans="1:5" x14ac:dyDescent="0.25">
      <c r="A2853" s="4" t="s">
        <v>7</v>
      </c>
      <c r="B2853" s="4" t="s">
        <v>7813</v>
      </c>
      <c r="C2853" s="1" t="s">
        <v>7814</v>
      </c>
      <c r="D2853" s="1" t="s">
        <v>7815</v>
      </c>
      <c r="E2853" s="6">
        <v>2</v>
      </c>
    </row>
    <row r="2854" spans="1:5" x14ac:dyDescent="0.25">
      <c r="A2854" s="4" t="s">
        <v>7</v>
      </c>
      <c r="B2854" s="4" t="s">
        <v>7816</v>
      </c>
      <c r="C2854" s="1" t="s">
        <v>7817</v>
      </c>
      <c r="D2854" s="1" t="s">
        <v>7818</v>
      </c>
      <c r="E2854" s="6">
        <v>3</v>
      </c>
    </row>
    <row r="2855" spans="1:5" x14ac:dyDescent="0.25">
      <c r="A2855" s="4" t="s">
        <v>7</v>
      </c>
      <c r="B2855" s="4" t="s">
        <v>7819</v>
      </c>
      <c r="C2855" s="1" t="s">
        <v>7820</v>
      </c>
      <c r="D2855" s="1" t="s">
        <v>7821</v>
      </c>
      <c r="E2855" s="6">
        <v>27</v>
      </c>
    </row>
    <row r="2856" spans="1:5" x14ac:dyDescent="0.25">
      <c r="A2856" s="4" t="s">
        <v>7</v>
      </c>
      <c r="B2856" s="4" t="s">
        <v>7822</v>
      </c>
      <c r="C2856" s="1" t="s">
        <v>7823</v>
      </c>
      <c r="D2856" s="1" t="s">
        <v>7824</v>
      </c>
      <c r="E2856" s="6">
        <v>2</v>
      </c>
    </row>
    <row r="2857" spans="1:5" x14ac:dyDescent="0.25">
      <c r="A2857" s="4" t="s">
        <v>7</v>
      </c>
      <c r="B2857" s="4" t="s">
        <v>7825</v>
      </c>
      <c r="C2857" s="1" t="s">
        <v>7826</v>
      </c>
      <c r="D2857" s="1" t="s">
        <v>7827</v>
      </c>
      <c r="E2857" s="6">
        <v>2</v>
      </c>
    </row>
    <row r="2858" spans="1:5" x14ac:dyDescent="0.25">
      <c r="A2858" s="4" t="s">
        <v>7</v>
      </c>
      <c r="B2858" s="4" t="s">
        <v>7828</v>
      </c>
      <c r="C2858" s="1" t="s">
        <v>7829</v>
      </c>
      <c r="D2858" s="1" t="s">
        <v>7830</v>
      </c>
      <c r="E2858" s="6">
        <v>3</v>
      </c>
    </row>
    <row r="2859" spans="1:5" x14ac:dyDescent="0.25">
      <c r="A2859" s="4" t="s">
        <v>7</v>
      </c>
      <c r="B2859" s="4" t="s">
        <v>7831</v>
      </c>
      <c r="C2859" s="1" t="s">
        <v>7832</v>
      </c>
      <c r="D2859" s="1" t="s">
        <v>7833</v>
      </c>
      <c r="E2859" s="6">
        <v>10</v>
      </c>
    </row>
    <row r="2860" spans="1:5" x14ac:dyDescent="0.25">
      <c r="A2860" s="4" t="s">
        <v>7</v>
      </c>
      <c r="B2860" s="4" t="s">
        <v>7834</v>
      </c>
      <c r="C2860" s="1" t="s">
        <v>7835</v>
      </c>
      <c r="D2860" s="1" t="s">
        <v>7836</v>
      </c>
      <c r="E2860" s="6">
        <v>520</v>
      </c>
    </row>
    <row r="2861" spans="1:5" x14ac:dyDescent="0.25">
      <c r="A2861" s="4" t="s">
        <v>7</v>
      </c>
      <c r="B2861" s="4" t="s">
        <v>7837</v>
      </c>
      <c r="C2861" s="1" t="s">
        <v>7838</v>
      </c>
      <c r="D2861" s="1" t="s">
        <v>7839</v>
      </c>
      <c r="E2861" s="6">
        <v>3</v>
      </c>
    </row>
    <row r="2862" spans="1:5" x14ac:dyDescent="0.25">
      <c r="A2862" s="4" t="s">
        <v>7</v>
      </c>
      <c r="B2862" s="4" t="s">
        <v>7840</v>
      </c>
      <c r="C2862" s="1" t="s">
        <v>7841</v>
      </c>
      <c r="D2862" s="1" t="s">
        <v>7842</v>
      </c>
      <c r="E2862" s="6">
        <v>1.83</v>
      </c>
    </row>
    <row r="2863" spans="1:5" x14ac:dyDescent="0.25">
      <c r="A2863" s="4" t="s">
        <v>7</v>
      </c>
      <c r="B2863" s="4" t="s">
        <v>7843</v>
      </c>
      <c r="C2863" s="1" t="s">
        <v>7844</v>
      </c>
      <c r="D2863" s="1" t="s">
        <v>7845</v>
      </c>
      <c r="E2863" s="6">
        <v>4</v>
      </c>
    </row>
    <row r="2864" spans="1:5" x14ac:dyDescent="0.25">
      <c r="A2864" s="4" t="s">
        <v>7</v>
      </c>
      <c r="B2864" s="4" t="s">
        <v>7846</v>
      </c>
      <c r="C2864" s="1" t="s">
        <v>7847</v>
      </c>
      <c r="D2864" s="1" t="s">
        <v>7848</v>
      </c>
      <c r="E2864" s="6">
        <v>1</v>
      </c>
    </row>
    <row r="2865" spans="1:5" x14ac:dyDescent="0.25">
      <c r="A2865" s="4" t="s">
        <v>7</v>
      </c>
      <c r="B2865" s="4" t="s">
        <v>7849</v>
      </c>
      <c r="C2865" s="1" t="s">
        <v>7850</v>
      </c>
      <c r="D2865" s="1" t="s">
        <v>7851</v>
      </c>
      <c r="E2865" s="6">
        <v>2</v>
      </c>
    </row>
    <row r="2866" spans="1:5" x14ac:dyDescent="0.25">
      <c r="A2866" s="4" t="s">
        <v>7</v>
      </c>
      <c r="B2866" s="4" t="s">
        <v>7852</v>
      </c>
      <c r="C2866" s="1" t="s">
        <v>7853</v>
      </c>
      <c r="D2866" s="1" t="s">
        <v>7854</v>
      </c>
      <c r="E2866" s="6">
        <v>27</v>
      </c>
    </row>
    <row r="2867" spans="1:5" x14ac:dyDescent="0.25">
      <c r="A2867" s="4" t="s">
        <v>7</v>
      </c>
      <c r="B2867" s="4" t="s">
        <v>7855</v>
      </c>
      <c r="C2867" s="1" t="s">
        <v>7856</v>
      </c>
      <c r="D2867" s="1" t="s">
        <v>7857</v>
      </c>
      <c r="E2867" s="6">
        <v>13</v>
      </c>
    </row>
    <row r="2868" spans="1:5" x14ac:dyDescent="0.25">
      <c r="A2868" s="4" t="s">
        <v>7</v>
      </c>
      <c r="B2868" s="4" t="s">
        <v>7858</v>
      </c>
      <c r="C2868" s="1" t="s">
        <v>7859</v>
      </c>
      <c r="D2868" s="1" t="s">
        <v>7860</v>
      </c>
      <c r="E2868" s="6">
        <v>11</v>
      </c>
    </row>
    <row r="2869" spans="1:5" x14ac:dyDescent="0.25">
      <c r="A2869" s="4" t="s">
        <v>7</v>
      </c>
      <c r="B2869" s="4" t="s">
        <v>7861</v>
      </c>
      <c r="C2869" s="1" t="s">
        <v>7862</v>
      </c>
      <c r="D2869" s="1" t="s">
        <v>7863</v>
      </c>
      <c r="E2869" s="6">
        <v>8</v>
      </c>
    </row>
    <row r="2870" spans="1:5" x14ac:dyDescent="0.25">
      <c r="A2870" s="4" t="s">
        <v>7</v>
      </c>
      <c r="B2870" s="4" t="s">
        <v>7864</v>
      </c>
      <c r="C2870" s="1" t="s">
        <v>7865</v>
      </c>
      <c r="D2870" s="1" t="s">
        <v>7866</v>
      </c>
      <c r="E2870" s="6">
        <v>6</v>
      </c>
    </row>
    <row r="2871" spans="1:5" x14ac:dyDescent="0.25">
      <c r="A2871" s="4" t="s">
        <v>7</v>
      </c>
      <c r="B2871" s="4" t="s">
        <v>7867</v>
      </c>
      <c r="C2871" s="1" t="s">
        <v>7868</v>
      </c>
      <c r="D2871" s="1" t="s">
        <v>7869</v>
      </c>
      <c r="E2871" s="6">
        <v>3</v>
      </c>
    </row>
    <row r="2872" spans="1:5" x14ac:dyDescent="0.25">
      <c r="A2872" s="4" t="s">
        <v>7</v>
      </c>
      <c r="B2872" s="4" t="s">
        <v>7870</v>
      </c>
      <c r="C2872" s="1" t="s">
        <v>7871</v>
      </c>
      <c r="D2872" s="1" t="s">
        <v>7872</v>
      </c>
      <c r="E2872" s="6">
        <v>100</v>
      </c>
    </row>
    <row r="2873" spans="1:5" x14ac:dyDescent="0.25">
      <c r="A2873" s="4" t="s">
        <v>7</v>
      </c>
      <c r="B2873" s="4" t="s">
        <v>7873</v>
      </c>
      <c r="C2873" s="1" t="s">
        <v>7874</v>
      </c>
      <c r="D2873" s="1" t="s">
        <v>7875</v>
      </c>
      <c r="E2873" s="6">
        <v>13</v>
      </c>
    </row>
    <row r="2874" spans="1:5" x14ac:dyDescent="0.25">
      <c r="A2874" s="4" t="s">
        <v>7</v>
      </c>
      <c r="B2874" s="4" t="s">
        <v>7876</v>
      </c>
      <c r="C2874" s="1" t="s">
        <v>7877</v>
      </c>
      <c r="D2874" s="1" t="s">
        <v>7878</v>
      </c>
      <c r="E2874" s="6">
        <v>2</v>
      </c>
    </row>
    <row r="2875" spans="1:5" x14ac:dyDescent="0.25">
      <c r="A2875" s="4" t="s">
        <v>7</v>
      </c>
      <c r="B2875" s="4" t="s">
        <v>7879</v>
      </c>
      <c r="C2875" s="1" t="s">
        <v>7880</v>
      </c>
      <c r="D2875" s="1" t="s">
        <v>7881</v>
      </c>
      <c r="E2875" s="6">
        <v>3</v>
      </c>
    </row>
    <row r="2876" spans="1:5" x14ac:dyDescent="0.25">
      <c r="A2876" s="4" t="s">
        <v>7</v>
      </c>
      <c r="B2876" s="4" t="s">
        <v>7882</v>
      </c>
      <c r="C2876" s="1" t="s">
        <v>7883</v>
      </c>
      <c r="D2876" s="1" t="s">
        <v>7884</v>
      </c>
      <c r="E2876" s="6">
        <v>51</v>
      </c>
    </row>
    <row r="2877" spans="1:5" x14ac:dyDescent="0.25">
      <c r="A2877" s="4" t="s">
        <v>7</v>
      </c>
      <c r="B2877" s="4" t="s">
        <v>7885</v>
      </c>
      <c r="C2877" s="1" t="s">
        <v>7886</v>
      </c>
      <c r="D2877" s="1" t="s">
        <v>7887</v>
      </c>
      <c r="E2877" s="6">
        <v>92</v>
      </c>
    </row>
    <row r="2878" spans="1:5" x14ac:dyDescent="0.25">
      <c r="A2878" s="4" t="s">
        <v>7</v>
      </c>
      <c r="B2878" s="4" t="s">
        <v>7888</v>
      </c>
      <c r="C2878" s="1" t="s">
        <v>7889</v>
      </c>
      <c r="D2878" s="1" t="s">
        <v>7890</v>
      </c>
      <c r="E2878" s="6">
        <v>2</v>
      </c>
    </row>
    <row r="2879" spans="1:5" x14ac:dyDescent="0.25">
      <c r="A2879" s="4" t="s">
        <v>7</v>
      </c>
      <c r="B2879" s="4" t="s">
        <v>7891</v>
      </c>
      <c r="C2879" s="1" t="s">
        <v>7892</v>
      </c>
      <c r="D2879" s="1" t="s">
        <v>7893</v>
      </c>
      <c r="E2879" s="6">
        <v>51</v>
      </c>
    </row>
    <row r="2880" spans="1:5" x14ac:dyDescent="0.25">
      <c r="A2880" s="4" t="s">
        <v>7</v>
      </c>
      <c r="B2880" s="4" t="s">
        <v>7894</v>
      </c>
      <c r="C2880" s="1" t="s">
        <v>7895</v>
      </c>
      <c r="D2880" s="1" t="s">
        <v>7896</v>
      </c>
      <c r="E2880" s="6">
        <v>163</v>
      </c>
    </row>
    <row r="2881" spans="1:5" x14ac:dyDescent="0.25">
      <c r="A2881" s="4" t="s">
        <v>7</v>
      </c>
      <c r="B2881" s="4" t="s">
        <v>7897</v>
      </c>
      <c r="C2881" s="1" t="s">
        <v>7898</v>
      </c>
      <c r="D2881" s="1" t="s">
        <v>7899</v>
      </c>
      <c r="E2881" s="6">
        <v>19</v>
      </c>
    </row>
    <row r="2882" spans="1:5" x14ac:dyDescent="0.25">
      <c r="A2882" s="4" t="s">
        <v>7</v>
      </c>
      <c r="B2882" s="4" t="s">
        <v>7900</v>
      </c>
      <c r="C2882" s="1" t="s">
        <v>7901</v>
      </c>
      <c r="D2882" s="1" t="s">
        <v>7902</v>
      </c>
      <c r="E2882" s="6">
        <v>466</v>
      </c>
    </row>
    <row r="2883" spans="1:5" x14ac:dyDescent="0.25">
      <c r="A2883" s="4" t="s">
        <v>7</v>
      </c>
      <c r="B2883" s="4" t="s">
        <v>7903</v>
      </c>
      <c r="C2883" s="1" t="s">
        <v>7904</v>
      </c>
      <c r="D2883" s="1" t="s">
        <v>7905</v>
      </c>
      <c r="E2883" s="6">
        <v>1003</v>
      </c>
    </row>
    <row r="2884" spans="1:5" x14ac:dyDescent="0.25">
      <c r="A2884" s="4" t="s">
        <v>7</v>
      </c>
      <c r="B2884" s="4" t="s">
        <v>7906</v>
      </c>
      <c r="C2884" s="1" t="s">
        <v>7907</v>
      </c>
      <c r="D2884" s="1" t="s">
        <v>7908</v>
      </c>
      <c r="E2884" s="6">
        <v>57</v>
      </c>
    </row>
    <row r="2885" spans="1:5" x14ac:dyDescent="0.25">
      <c r="A2885" s="4" t="s">
        <v>7</v>
      </c>
      <c r="B2885" s="4" t="s">
        <v>7909</v>
      </c>
      <c r="C2885" s="1" t="s">
        <v>7910</v>
      </c>
      <c r="D2885" s="1" t="s">
        <v>7911</v>
      </c>
      <c r="E2885" s="6">
        <v>78</v>
      </c>
    </row>
    <row r="2886" spans="1:5" x14ac:dyDescent="0.25">
      <c r="A2886" s="4" t="s">
        <v>7</v>
      </c>
      <c r="B2886" s="4" t="s">
        <v>7912</v>
      </c>
      <c r="C2886" s="1" t="s">
        <v>7913</v>
      </c>
      <c r="D2886" s="1" t="s">
        <v>7914</v>
      </c>
      <c r="E2886" s="6">
        <v>156</v>
      </c>
    </row>
    <row r="2887" spans="1:5" x14ac:dyDescent="0.25">
      <c r="A2887" s="4" t="s">
        <v>7</v>
      </c>
      <c r="B2887" s="4" t="s">
        <v>7915</v>
      </c>
      <c r="C2887" s="1" t="s">
        <v>7916</v>
      </c>
      <c r="D2887" s="1" t="s">
        <v>7917</v>
      </c>
      <c r="E2887" s="6">
        <v>261</v>
      </c>
    </row>
    <row r="2888" spans="1:5" x14ac:dyDescent="0.25">
      <c r="A2888" s="4" t="s">
        <v>7</v>
      </c>
      <c r="B2888" s="4" t="s">
        <v>7918</v>
      </c>
      <c r="C2888" s="1" t="s">
        <v>7919</v>
      </c>
      <c r="D2888" s="1" t="s">
        <v>7920</v>
      </c>
      <c r="E2888" s="6">
        <v>3</v>
      </c>
    </row>
    <row r="2889" spans="1:5" x14ac:dyDescent="0.25">
      <c r="A2889" s="4" t="s">
        <v>7</v>
      </c>
      <c r="B2889" s="4" t="s">
        <v>7921</v>
      </c>
      <c r="C2889" s="1" t="s">
        <v>7922</v>
      </c>
      <c r="D2889" s="1" t="s">
        <v>7923</v>
      </c>
      <c r="E2889" s="6">
        <v>139</v>
      </c>
    </row>
    <row r="2890" spans="1:5" x14ac:dyDescent="0.25">
      <c r="A2890" s="4" t="s">
        <v>7</v>
      </c>
      <c r="B2890" s="4" t="s">
        <v>7924</v>
      </c>
      <c r="C2890" s="1" t="s">
        <v>7925</v>
      </c>
      <c r="D2890" s="1" t="s">
        <v>7926</v>
      </c>
      <c r="E2890" s="6">
        <v>3</v>
      </c>
    </row>
    <row r="2891" spans="1:5" x14ac:dyDescent="0.25">
      <c r="A2891" s="4" t="s">
        <v>7</v>
      </c>
      <c r="B2891" s="4" t="s">
        <v>7927</v>
      </c>
      <c r="C2891" s="1" t="s">
        <v>7928</v>
      </c>
      <c r="D2891" s="1" t="s">
        <v>7929</v>
      </c>
      <c r="E2891" s="6">
        <v>84</v>
      </c>
    </row>
    <row r="2892" spans="1:5" x14ac:dyDescent="0.25">
      <c r="A2892" s="4" t="s">
        <v>7</v>
      </c>
      <c r="B2892" s="4" t="s">
        <v>7930</v>
      </c>
      <c r="C2892" s="1" t="s">
        <v>7931</v>
      </c>
      <c r="D2892" s="1" t="s">
        <v>7932</v>
      </c>
      <c r="E2892" s="6">
        <v>4462</v>
      </c>
    </row>
    <row r="2893" spans="1:5" x14ac:dyDescent="0.25">
      <c r="A2893" s="4" t="s">
        <v>7</v>
      </c>
      <c r="B2893" s="4" t="s">
        <v>7933</v>
      </c>
      <c r="C2893" s="1" t="s">
        <v>7934</v>
      </c>
      <c r="D2893" s="1" t="s">
        <v>7935</v>
      </c>
      <c r="E2893" s="6">
        <v>59</v>
      </c>
    </row>
    <row r="2894" spans="1:5" x14ac:dyDescent="0.25">
      <c r="A2894" s="4" t="s">
        <v>7</v>
      </c>
      <c r="B2894" s="4" t="s">
        <v>7936</v>
      </c>
      <c r="C2894" s="1" t="s">
        <v>7937</v>
      </c>
      <c r="D2894" s="1" t="s">
        <v>7938</v>
      </c>
      <c r="E2894" s="6">
        <v>19</v>
      </c>
    </row>
    <row r="2895" spans="1:5" x14ac:dyDescent="0.25">
      <c r="A2895" s="4" t="s">
        <v>7</v>
      </c>
      <c r="B2895" s="4" t="s">
        <v>7939</v>
      </c>
      <c r="C2895" s="1" t="s">
        <v>7940</v>
      </c>
      <c r="D2895" s="1" t="s">
        <v>7941</v>
      </c>
      <c r="E2895" s="6">
        <v>73</v>
      </c>
    </row>
    <row r="2896" spans="1:5" x14ac:dyDescent="0.25">
      <c r="A2896" s="4" t="s">
        <v>7</v>
      </c>
      <c r="B2896" s="4" t="s">
        <v>7942</v>
      </c>
      <c r="C2896" s="1" t="s">
        <v>7943</v>
      </c>
      <c r="D2896" s="1" t="s">
        <v>7944</v>
      </c>
      <c r="E2896" s="6">
        <v>242</v>
      </c>
    </row>
    <row r="2897" spans="1:5" x14ac:dyDescent="0.25">
      <c r="A2897" s="4" t="s">
        <v>7</v>
      </c>
      <c r="B2897" s="4" t="s">
        <v>7945</v>
      </c>
      <c r="C2897" s="1" t="s">
        <v>7946</v>
      </c>
      <c r="D2897" s="1" t="s">
        <v>7947</v>
      </c>
      <c r="E2897" s="6">
        <v>256</v>
      </c>
    </row>
    <row r="2898" spans="1:5" x14ac:dyDescent="0.25">
      <c r="A2898" s="4" t="s">
        <v>7</v>
      </c>
      <c r="B2898" s="4" t="s">
        <v>7948</v>
      </c>
      <c r="C2898" s="1" t="s">
        <v>7949</v>
      </c>
      <c r="D2898" s="1" t="s">
        <v>7950</v>
      </c>
      <c r="E2898" s="6">
        <v>111</v>
      </c>
    </row>
    <row r="2899" spans="1:5" x14ac:dyDescent="0.25">
      <c r="A2899" s="4" t="s">
        <v>7</v>
      </c>
      <c r="B2899" s="4" t="s">
        <v>7951</v>
      </c>
      <c r="C2899" s="1" t="s">
        <v>7952</v>
      </c>
      <c r="D2899" s="1" t="s">
        <v>7953</v>
      </c>
      <c r="E2899" s="6">
        <v>651</v>
      </c>
    </row>
    <row r="2900" spans="1:5" x14ac:dyDescent="0.25">
      <c r="A2900" s="4" t="s">
        <v>7</v>
      </c>
      <c r="B2900" s="4" t="s">
        <v>7954</v>
      </c>
      <c r="C2900" s="1" t="s">
        <v>7955</v>
      </c>
      <c r="D2900" s="1" t="s">
        <v>7956</v>
      </c>
      <c r="E2900" s="6">
        <v>464</v>
      </c>
    </row>
    <row r="2901" spans="1:5" x14ac:dyDescent="0.25">
      <c r="A2901" s="4" t="s">
        <v>7</v>
      </c>
      <c r="B2901" s="4" t="s">
        <v>7957</v>
      </c>
      <c r="C2901" s="1" t="s">
        <v>7958</v>
      </c>
      <c r="D2901" s="1" t="s">
        <v>7959</v>
      </c>
      <c r="E2901" s="6">
        <v>650</v>
      </c>
    </row>
    <row r="2902" spans="1:5" x14ac:dyDescent="0.25">
      <c r="A2902" s="4" t="s">
        <v>7</v>
      </c>
      <c r="B2902" s="4" t="s">
        <v>7960</v>
      </c>
      <c r="C2902" s="1" t="s">
        <v>7961</v>
      </c>
      <c r="D2902" s="1" t="s">
        <v>7962</v>
      </c>
      <c r="E2902" s="6">
        <v>494</v>
      </c>
    </row>
    <row r="2903" spans="1:5" x14ac:dyDescent="0.25">
      <c r="A2903" s="4" t="s">
        <v>7</v>
      </c>
      <c r="B2903" s="4" t="s">
        <v>7963</v>
      </c>
      <c r="C2903" s="1" t="s">
        <v>7964</v>
      </c>
      <c r="D2903" s="1" t="s">
        <v>7962</v>
      </c>
      <c r="E2903" s="6">
        <v>43</v>
      </c>
    </row>
    <row r="2904" spans="1:5" x14ac:dyDescent="0.25">
      <c r="A2904" s="4" t="s">
        <v>7</v>
      </c>
      <c r="B2904" s="4" t="s">
        <v>7965</v>
      </c>
      <c r="C2904" s="1" t="s">
        <v>7966</v>
      </c>
      <c r="D2904" s="1" t="s">
        <v>7967</v>
      </c>
      <c r="E2904" s="6">
        <v>36</v>
      </c>
    </row>
    <row r="2905" spans="1:5" x14ac:dyDescent="0.25">
      <c r="A2905" s="4" t="s">
        <v>7</v>
      </c>
      <c r="B2905" s="4" t="s">
        <v>7968</v>
      </c>
      <c r="C2905" s="1" t="s">
        <v>7969</v>
      </c>
      <c r="D2905" s="1" t="s">
        <v>7970</v>
      </c>
      <c r="E2905" s="6">
        <v>431</v>
      </c>
    </row>
    <row r="2906" spans="1:5" x14ac:dyDescent="0.25">
      <c r="A2906" s="4" t="s">
        <v>7</v>
      </c>
      <c r="B2906" s="4" t="s">
        <v>7971</v>
      </c>
      <c r="C2906" s="1" t="s">
        <v>7972</v>
      </c>
      <c r="D2906" s="1" t="s">
        <v>7973</v>
      </c>
      <c r="E2906" s="6">
        <v>717</v>
      </c>
    </row>
    <row r="2907" spans="1:5" x14ac:dyDescent="0.25">
      <c r="A2907" s="4" t="s">
        <v>7</v>
      </c>
      <c r="B2907" s="4" t="s">
        <v>7974</v>
      </c>
      <c r="C2907" s="1" t="s">
        <v>7975</v>
      </c>
      <c r="D2907" s="1" t="s">
        <v>7976</v>
      </c>
      <c r="E2907" s="6">
        <v>35</v>
      </c>
    </row>
    <row r="2908" spans="1:5" x14ac:dyDescent="0.25">
      <c r="A2908" s="4" t="s">
        <v>7</v>
      </c>
      <c r="B2908" s="4" t="s">
        <v>7977</v>
      </c>
      <c r="C2908" s="1" t="s">
        <v>7978</v>
      </c>
      <c r="D2908" s="1" t="s">
        <v>7979</v>
      </c>
      <c r="E2908" s="6">
        <v>540</v>
      </c>
    </row>
    <row r="2909" spans="1:5" x14ac:dyDescent="0.25">
      <c r="A2909" s="4" t="s">
        <v>7</v>
      </c>
      <c r="B2909" s="4" t="s">
        <v>7980</v>
      </c>
      <c r="C2909" s="1" t="s">
        <v>7981</v>
      </c>
      <c r="D2909" s="1" t="s">
        <v>7962</v>
      </c>
      <c r="E2909" s="6">
        <v>243</v>
      </c>
    </row>
    <row r="2910" spans="1:5" x14ac:dyDescent="0.25">
      <c r="A2910" s="4" t="s">
        <v>7</v>
      </c>
      <c r="B2910" s="4" t="s">
        <v>7982</v>
      </c>
      <c r="C2910" s="1" t="s">
        <v>7983</v>
      </c>
      <c r="D2910" s="1" t="s">
        <v>7984</v>
      </c>
      <c r="E2910" s="6">
        <v>963</v>
      </c>
    </row>
    <row r="2911" spans="1:5" x14ac:dyDescent="0.25">
      <c r="A2911" s="4" t="s">
        <v>7</v>
      </c>
      <c r="B2911" s="4" t="s">
        <v>7985</v>
      </c>
      <c r="C2911" s="1" t="s">
        <v>7986</v>
      </c>
      <c r="D2911" s="1" t="s">
        <v>7987</v>
      </c>
      <c r="E2911" s="6">
        <v>13</v>
      </c>
    </row>
    <row r="2912" spans="1:5" x14ac:dyDescent="0.25">
      <c r="A2912" s="4" t="s">
        <v>7</v>
      </c>
      <c r="B2912" s="4" t="s">
        <v>7988</v>
      </c>
      <c r="C2912" s="1" t="s">
        <v>7989</v>
      </c>
      <c r="D2912" s="1" t="s">
        <v>7990</v>
      </c>
      <c r="E2912" s="6">
        <v>924</v>
      </c>
    </row>
    <row r="2913" spans="1:5" x14ac:dyDescent="0.25">
      <c r="A2913" s="4" t="s">
        <v>7</v>
      </c>
      <c r="B2913" s="4" t="s">
        <v>7991</v>
      </c>
      <c r="C2913" s="1" t="s">
        <v>7992</v>
      </c>
      <c r="D2913" s="1" t="s">
        <v>7993</v>
      </c>
      <c r="E2913" s="6">
        <v>79</v>
      </c>
    </row>
    <row r="2914" spans="1:5" x14ac:dyDescent="0.25">
      <c r="A2914" s="4" t="s">
        <v>7</v>
      </c>
      <c r="B2914" s="4" t="s">
        <v>7994</v>
      </c>
      <c r="C2914" s="1" t="s">
        <v>7995</v>
      </c>
      <c r="D2914" s="1" t="s">
        <v>7996</v>
      </c>
      <c r="E2914" s="6">
        <v>90</v>
      </c>
    </row>
    <row r="2915" spans="1:5" x14ac:dyDescent="0.25">
      <c r="A2915" s="4" t="s">
        <v>7</v>
      </c>
      <c r="B2915" s="4" t="s">
        <v>7997</v>
      </c>
      <c r="C2915" s="1" t="s">
        <v>7998</v>
      </c>
      <c r="D2915" s="1" t="s">
        <v>7999</v>
      </c>
      <c r="E2915" s="6">
        <v>424</v>
      </c>
    </row>
    <row r="2916" spans="1:5" x14ac:dyDescent="0.25">
      <c r="A2916" s="4" t="s">
        <v>7</v>
      </c>
      <c r="B2916" s="4" t="s">
        <v>8000</v>
      </c>
      <c r="C2916" s="1" t="s">
        <v>8001</v>
      </c>
      <c r="D2916" s="1" t="s">
        <v>8002</v>
      </c>
      <c r="E2916" s="6">
        <v>216</v>
      </c>
    </row>
    <row r="2917" spans="1:5" x14ac:dyDescent="0.25">
      <c r="A2917" s="4" t="s">
        <v>7</v>
      </c>
      <c r="B2917" s="4" t="s">
        <v>8003</v>
      </c>
      <c r="C2917" s="1" t="s">
        <v>8004</v>
      </c>
      <c r="D2917" s="1" t="s">
        <v>8005</v>
      </c>
      <c r="E2917" s="6">
        <v>31</v>
      </c>
    </row>
    <row r="2918" spans="1:5" x14ac:dyDescent="0.25">
      <c r="A2918" s="4" t="s">
        <v>7</v>
      </c>
      <c r="B2918" s="4" t="s">
        <v>8006</v>
      </c>
      <c r="C2918" s="1" t="s">
        <v>8007</v>
      </c>
      <c r="D2918" s="1" t="s">
        <v>8008</v>
      </c>
      <c r="E2918" s="6">
        <v>603</v>
      </c>
    </row>
    <row r="2919" spans="1:5" x14ac:dyDescent="0.25">
      <c r="A2919" s="4" t="s">
        <v>7</v>
      </c>
      <c r="B2919" s="4" t="s">
        <v>8009</v>
      </c>
      <c r="C2919" s="1" t="s">
        <v>8010</v>
      </c>
      <c r="D2919" s="1" t="s">
        <v>8011</v>
      </c>
      <c r="E2919" s="6">
        <v>153</v>
      </c>
    </row>
    <row r="2920" spans="1:5" x14ac:dyDescent="0.25">
      <c r="A2920" s="4" t="s">
        <v>7</v>
      </c>
      <c r="B2920" s="4" t="s">
        <v>8012</v>
      </c>
      <c r="C2920" s="1" t="s">
        <v>8013</v>
      </c>
      <c r="D2920" s="1" t="s">
        <v>8014</v>
      </c>
      <c r="E2920" s="6">
        <v>137</v>
      </c>
    </row>
    <row r="2921" spans="1:5" x14ac:dyDescent="0.25">
      <c r="A2921" s="4" t="s">
        <v>7</v>
      </c>
      <c r="B2921" s="4" t="s">
        <v>8015</v>
      </c>
      <c r="C2921" s="1" t="s">
        <v>8016</v>
      </c>
      <c r="D2921" s="1" t="s">
        <v>8017</v>
      </c>
      <c r="E2921" s="6">
        <v>113</v>
      </c>
    </row>
    <row r="2922" spans="1:5" x14ac:dyDescent="0.25">
      <c r="A2922" s="4" t="s">
        <v>7</v>
      </c>
      <c r="B2922" s="4" t="s">
        <v>8018</v>
      </c>
      <c r="C2922" s="1" t="s">
        <v>8019</v>
      </c>
      <c r="D2922" s="1" t="s">
        <v>8020</v>
      </c>
      <c r="E2922" s="6">
        <v>814</v>
      </c>
    </row>
    <row r="2923" spans="1:5" x14ac:dyDescent="0.25">
      <c r="A2923" s="4" t="s">
        <v>7</v>
      </c>
      <c r="B2923" s="4" t="s">
        <v>8021</v>
      </c>
      <c r="C2923" s="1" t="s">
        <v>8022</v>
      </c>
      <c r="D2923" s="1" t="s">
        <v>8023</v>
      </c>
      <c r="E2923" s="6">
        <v>315</v>
      </c>
    </row>
    <row r="2924" spans="1:5" x14ac:dyDescent="0.25">
      <c r="A2924" s="4" t="s">
        <v>7</v>
      </c>
      <c r="B2924" s="4" t="s">
        <v>8024</v>
      </c>
      <c r="C2924" s="1" t="s">
        <v>8025</v>
      </c>
      <c r="D2924" s="1" t="s">
        <v>8026</v>
      </c>
      <c r="E2924" s="6">
        <v>118</v>
      </c>
    </row>
    <row r="2925" spans="1:5" x14ac:dyDescent="0.25">
      <c r="A2925" s="4" t="s">
        <v>7</v>
      </c>
      <c r="B2925" s="4" t="s">
        <v>8027</v>
      </c>
      <c r="C2925" s="1" t="s">
        <v>8028</v>
      </c>
      <c r="D2925" s="1" t="s">
        <v>8029</v>
      </c>
      <c r="E2925" s="6">
        <v>94</v>
      </c>
    </row>
    <row r="2926" spans="1:5" x14ac:dyDescent="0.25">
      <c r="A2926" s="4" t="s">
        <v>7</v>
      </c>
      <c r="B2926" s="4" t="s">
        <v>8030</v>
      </c>
      <c r="C2926" s="1" t="s">
        <v>8031</v>
      </c>
      <c r="D2926" s="1" t="s">
        <v>8032</v>
      </c>
      <c r="E2926" s="6">
        <v>11</v>
      </c>
    </row>
    <row r="2927" spans="1:5" x14ac:dyDescent="0.25">
      <c r="A2927" s="4" t="s">
        <v>7</v>
      </c>
      <c r="B2927" s="4" t="s">
        <v>8033</v>
      </c>
      <c r="C2927" s="1" t="s">
        <v>8034</v>
      </c>
      <c r="D2927" s="1" t="s">
        <v>8035</v>
      </c>
      <c r="E2927" s="6">
        <v>95</v>
      </c>
    </row>
    <row r="2928" spans="1:5" x14ac:dyDescent="0.25">
      <c r="A2928" s="4" t="s">
        <v>7</v>
      </c>
      <c r="B2928" s="4" t="s">
        <v>8036</v>
      </c>
      <c r="C2928" s="1" t="s">
        <v>8037</v>
      </c>
      <c r="D2928" s="1" t="s">
        <v>8038</v>
      </c>
      <c r="E2928" s="6">
        <v>146</v>
      </c>
    </row>
    <row r="2929" spans="1:5" x14ac:dyDescent="0.25">
      <c r="A2929" s="4" t="s">
        <v>7</v>
      </c>
      <c r="B2929" s="4" t="s">
        <v>8039</v>
      </c>
      <c r="C2929" s="1" t="s">
        <v>8040</v>
      </c>
      <c r="D2929" s="1" t="s">
        <v>8041</v>
      </c>
      <c r="E2929" s="6">
        <v>152</v>
      </c>
    </row>
    <row r="2930" spans="1:5" x14ac:dyDescent="0.25">
      <c r="A2930" s="4" t="s">
        <v>7</v>
      </c>
      <c r="B2930" s="4" t="s">
        <v>8042</v>
      </c>
      <c r="C2930" s="1" t="s">
        <v>8043</v>
      </c>
      <c r="D2930" s="1" t="s">
        <v>8044</v>
      </c>
      <c r="E2930" s="6">
        <v>2</v>
      </c>
    </row>
    <row r="2931" spans="1:5" x14ac:dyDescent="0.25">
      <c r="A2931" s="4" t="s">
        <v>7</v>
      </c>
      <c r="B2931" s="4" t="s">
        <v>8045</v>
      </c>
      <c r="C2931" s="1" t="s">
        <v>8046</v>
      </c>
      <c r="D2931" s="1" t="s">
        <v>8047</v>
      </c>
      <c r="E2931" s="6">
        <v>1293</v>
      </c>
    </row>
    <row r="2932" spans="1:5" x14ac:dyDescent="0.25">
      <c r="A2932" s="4" t="s">
        <v>7</v>
      </c>
      <c r="B2932" s="4" t="s">
        <v>8048</v>
      </c>
      <c r="C2932" s="1" t="s">
        <v>8049</v>
      </c>
      <c r="D2932" s="1" t="s">
        <v>8050</v>
      </c>
      <c r="E2932" s="6">
        <v>678</v>
      </c>
    </row>
    <row r="2933" spans="1:5" x14ac:dyDescent="0.25">
      <c r="A2933" s="4" t="s">
        <v>7</v>
      </c>
      <c r="B2933" s="4" t="s">
        <v>8051</v>
      </c>
      <c r="C2933" s="1" t="s">
        <v>8052</v>
      </c>
      <c r="D2933" s="1" t="s">
        <v>8053</v>
      </c>
      <c r="E2933" s="6">
        <v>96</v>
      </c>
    </row>
    <row r="2934" spans="1:5" x14ac:dyDescent="0.25">
      <c r="A2934" s="4" t="s">
        <v>7</v>
      </c>
      <c r="B2934" s="4" t="s">
        <v>8054</v>
      </c>
      <c r="C2934" s="1" t="s">
        <v>8055</v>
      </c>
      <c r="D2934" s="1" t="s">
        <v>8056</v>
      </c>
      <c r="E2934" s="6">
        <v>30</v>
      </c>
    </row>
    <row r="2935" spans="1:5" x14ac:dyDescent="0.25">
      <c r="A2935" s="4" t="s">
        <v>7</v>
      </c>
      <c r="B2935" s="4" t="s">
        <v>8057</v>
      </c>
      <c r="C2935" s="1" t="s">
        <v>8058</v>
      </c>
      <c r="D2935" s="1" t="s">
        <v>8059</v>
      </c>
      <c r="E2935" s="6">
        <v>394</v>
      </c>
    </row>
    <row r="2936" spans="1:5" x14ac:dyDescent="0.25">
      <c r="A2936" s="4" t="s">
        <v>7</v>
      </c>
      <c r="B2936" s="4" t="s">
        <v>8060</v>
      </c>
      <c r="C2936" s="1" t="s">
        <v>8061</v>
      </c>
      <c r="D2936" s="1" t="s">
        <v>8062</v>
      </c>
      <c r="E2936" s="6">
        <v>40</v>
      </c>
    </row>
    <row r="2937" spans="1:5" x14ac:dyDescent="0.25">
      <c r="A2937" s="4" t="s">
        <v>7</v>
      </c>
      <c r="B2937" s="4" t="s">
        <v>8063</v>
      </c>
      <c r="C2937" s="1" t="s">
        <v>8064</v>
      </c>
      <c r="D2937" s="1" t="s">
        <v>8065</v>
      </c>
      <c r="E2937" s="6">
        <v>1058</v>
      </c>
    </row>
    <row r="2938" spans="1:5" x14ac:dyDescent="0.25">
      <c r="A2938" s="4" t="s">
        <v>7</v>
      </c>
      <c r="B2938" s="4" t="s">
        <v>8066</v>
      </c>
      <c r="C2938" s="1" t="s">
        <v>8067</v>
      </c>
      <c r="D2938" s="1" t="s">
        <v>8068</v>
      </c>
      <c r="E2938" s="6">
        <v>200</v>
      </c>
    </row>
    <row r="2939" spans="1:5" x14ac:dyDescent="0.25">
      <c r="A2939" s="4" t="s">
        <v>7</v>
      </c>
      <c r="B2939" s="4" t="s">
        <v>8069</v>
      </c>
      <c r="C2939" s="1" t="s">
        <v>8070</v>
      </c>
      <c r="D2939" s="1" t="s">
        <v>8071</v>
      </c>
      <c r="E2939" s="6">
        <v>3</v>
      </c>
    </row>
    <row r="2940" spans="1:5" x14ac:dyDescent="0.25">
      <c r="A2940" s="4" t="s">
        <v>7</v>
      </c>
      <c r="B2940" s="4" t="s">
        <v>8072</v>
      </c>
      <c r="C2940" s="1" t="s">
        <v>8073</v>
      </c>
      <c r="D2940" s="1" t="s">
        <v>8074</v>
      </c>
      <c r="E2940" s="6">
        <v>188</v>
      </c>
    </row>
    <row r="2941" spans="1:5" x14ac:dyDescent="0.25">
      <c r="A2941" s="4" t="s">
        <v>7</v>
      </c>
      <c r="B2941" s="4" t="s">
        <v>8075</v>
      </c>
      <c r="C2941" s="1" t="s">
        <v>8076</v>
      </c>
      <c r="D2941" s="1" t="s">
        <v>8077</v>
      </c>
      <c r="E2941" s="6">
        <v>5064</v>
      </c>
    </row>
    <row r="2942" spans="1:5" x14ac:dyDescent="0.25">
      <c r="A2942" s="4" t="s">
        <v>7</v>
      </c>
      <c r="B2942" s="4" t="s">
        <v>8078</v>
      </c>
      <c r="C2942" s="1" t="s">
        <v>8079</v>
      </c>
      <c r="D2942" s="1" t="s">
        <v>8080</v>
      </c>
      <c r="E2942" s="6">
        <v>487</v>
      </c>
    </row>
    <row r="2943" spans="1:5" x14ac:dyDescent="0.25">
      <c r="A2943" s="4" t="s">
        <v>7</v>
      </c>
      <c r="B2943" s="4" t="s">
        <v>8081</v>
      </c>
      <c r="C2943" s="1" t="s">
        <v>8082</v>
      </c>
      <c r="D2943" s="1" t="s">
        <v>8083</v>
      </c>
      <c r="E2943" s="6">
        <v>652</v>
      </c>
    </row>
    <row r="2944" spans="1:5" x14ac:dyDescent="0.25">
      <c r="A2944" s="4" t="s">
        <v>7</v>
      </c>
      <c r="B2944" s="4" t="s">
        <v>8084</v>
      </c>
      <c r="C2944" s="1" t="s">
        <v>8085</v>
      </c>
      <c r="D2944" s="1" t="s">
        <v>8086</v>
      </c>
      <c r="E2944" s="6">
        <v>82</v>
      </c>
    </row>
    <row r="2945" spans="1:5" x14ac:dyDescent="0.25">
      <c r="A2945" s="4" t="s">
        <v>7</v>
      </c>
      <c r="B2945" s="4" t="s">
        <v>8087</v>
      </c>
      <c r="C2945" s="1" t="s">
        <v>8088</v>
      </c>
      <c r="D2945" s="1" t="s">
        <v>8089</v>
      </c>
      <c r="E2945" s="6">
        <v>41</v>
      </c>
    </row>
    <row r="2946" spans="1:5" x14ac:dyDescent="0.25">
      <c r="A2946" s="4" t="s">
        <v>7</v>
      </c>
      <c r="B2946" s="4" t="s">
        <v>8090</v>
      </c>
      <c r="C2946" s="1" t="s">
        <v>8091</v>
      </c>
      <c r="D2946" s="1" t="s">
        <v>8092</v>
      </c>
      <c r="E2946" s="6">
        <v>487</v>
      </c>
    </row>
    <row r="2947" spans="1:5" x14ac:dyDescent="0.25">
      <c r="A2947" s="4" t="s">
        <v>7</v>
      </c>
      <c r="B2947" s="4" t="s">
        <v>8093</v>
      </c>
      <c r="C2947" s="1" t="s">
        <v>8094</v>
      </c>
      <c r="D2947" s="1" t="s">
        <v>8095</v>
      </c>
      <c r="E2947" s="6">
        <v>58</v>
      </c>
    </row>
    <row r="2948" spans="1:5" x14ac:dyDescent="0.25">
      <c r="A2948" s="4" t="s">
        <v>7</v>
      </c>
      <c r="B2948" s="4" t="s">
        <v>8096</v>
      </c>
      <c r="C2948" s="1" t="s">
        <v>8097</v>
      </c>
      <c r="D2948" s="1" t="s">
        <v>8098</v>
      </c>
      <c r="E2948" s="6">
        <v>8</v>
      </c>
    </row>
    <row r="2949" spans="1:5" x14ac:dyDescent="0.25">
      <c r="A2949" s="4" t="s">
        <v>7</v>
      </c>
      <c r="B2949" s="4" t="s">
        <v>8099</v>
      </c>
      <c r="C2949" s="1" t="s">
        <v>8100</v>
      </c>
      <c r="D2949" s="1" t="s">
        <v>8098</v>
      </c>
      <c r="E2949" s="6">
        <v>7</v>
      </c>
    </row>
    <row r="2950" spans="1:5" x14ac:dyDescent="0.25">
      <c r="A2950" s="4" t="s">
        <v>7</v>
      </c>
      <c r="B2950" s="4" t="s">
        <v>8101</v>
      </c>
      <c r="C2950" s="1" t="s">
        <v>8102</v>
      </c>
      <c r="D2950" s="1" t="s">
        <v>8103</v>
      </c>
      <c r="E2950" s="6">
        <v>205</v>
      </c>
    </row>
    <row r="2951" spans="1:5" x14ac:dyDescent="0.25">
      <c r="A2951" s="4" t="s">
        <v>7</v>
      </c>
      <c r="B2951" s="4" t="s">
        <v>8104</v>
      </c>
      <c r="C2951" s="1" t="s">
        <v>8105</v>
      </c>
      <c r="D2951" s="1" t="s">
        <v>8106</v>
      </c>
      <c r="E2951" s="6">
        <v>70</v>
      </c>
    </row>
    <row r="2952" spans="1:5" x14ac:dyDescent="0.25">
      <c r="A2952" s="4" t="s">
        <v>7</v>
      </c>
      <c r="B2952" s="4" t="s">
        <v>8107</v>
      </c>
      <c r="C2952" s="1" t="s">
        <v>8108</v>
      </c>
      <c r="D2952" s="1" t="s">
        <v>8109</v>
      </c>
      <c r="E2952" s="6">
        <v>294</v>
      </c>
    </row>
    <row r="2953" spans="1:5" x14ac:dyDescent="0.25">
      <c r="A2953" s="4" t="s">
        <v>7</v>
      </c>
      <c r="B2953" s="4" t="s">
        <v>8110</v>
      </c>
      <c r="C2953" s="1" t="s">
        <v>8111</v>
      </c>
      <c r="D2953" s="1" t="s">
        <v>8112</v>
      </c>
      <c r="E2953" s="6">
        <v>92</v>
      </c>
    </row>
    <row r="2954" spans="1:5" x14ac:dyDescent="0.25">
      <c r="A2954" s="4" t="s">
        <v>7</v>
      </c>
      <c r="B2954" s="4" t="s">
        <v>8113</v>
      </c>
      <c r="C2954" s="1" t="s">
        <v>8114</v>
      </c>
      <c r="D2954" s="1" t="s">
        <v>8115</v>
      </c>
      <c r="E2954" s="6">
        <v>441</v>
      </c>
    </row>
    <row r="2955" spans="1:5" x14ac:dyDescent="0.25">
      <c r="A2955" s="4" t="s">
        <v>7</v>
      </c>
      <c r="B2955" s="4" t="s">
        <v>8116</v>
      </c>
      <c r="C2955" s="1" t="s">
        <v>8117</v>
      </c>
      <c r="D2955" s="1" t="s">
        <v>8118</v>
      </c>
      <c r="E2955" s="6">
        <v>69</v>
      </c>
    </row>
    <row r="2956" spans="1:5" x14ac:dyDescent="0.25">
      <c r="A2956" s="4" t="s">
        <v>7</v>
      </c>
      <c r="B2956" s="4" t="s">
        <v>8119</v>
      </c>
      <c r="C2956" s="1" t="s">
        <v>8120</v>
      </c>
      <c r="D2956" s="1" t="s">
        <v>8121</v>
      </c>
      <c r="E2956" s="6">
        <v>1476</v>
      </c>
    </row>
    <row r="2957" spans="1:5" x14ac:dyDescent="0.25">
      <c r="A2957" s="4" t="s">
        <v>7</v>
      </c>
      <c r="B2957" s="4" t="s">
        <v>8122</v>
      </c>
      <c r="C2957" s="1" t="s">
        <v>8123</v>
      </c>
      <c r="D2957" s="1" t="s">
        <v>8124</v>
      </c>
      <c r="E2957" s="6">
        <v>558</v>
      </c>
    </row>
    <row r="2958" spans="1:5" x14ac:dyDescent="0.25">
      <c r="A2958" s="4" t="s">
        <v>7</v>
      </c>
      <c r="B2958" s="4" t="s">
        <v>8125</v>
      </c>
      <c r="C2958" s="1" t="s">
        <v>8126</v>
      </c>
      <c r="D2958" s="1" t="s">
        <v>8127</v>
      </c>
      <c r="E2958" s="6">
        <v>92</v>
      </c>
    </row>
    <row r="2959" spans="1:5" x14ac:dyDescent="0.25">
      <c r="A2959" s="4" t="s">
        <v>7</v>
      </c>
      <c r="B2959" s="4" t="s">
        <v>8128</v>
      </c>
      <c r="C2959" s="1" t="s">
        <v>8129</v>
      </c>
      <c r="D2959" s="1" t="s">
        <v>8130</v>
      </c>
      <c r="E2959" s="6">
        <v>144</v>
      </c>
    </row>
    <row r="2960" spans="1:5" x14ac:dyDescent="0.25">
      <c r="A2960" s="4" t="s">
        <v>7</v>
      </c>
      <c r="B2960" s="4" t="s">
        <v>8131</v>
      </c>
      <c r="C2960" s="1" t="s">
        <v>8132</v>
      </c>
      <c r="D2960" s="1" t="s">
        <v>8133</v>
      </c>
      <c r="E2960" s="6">
        <v>72</v>
      </c>
    </row>
    <row r="2961" spans="1:5" x14ac:dyDescent="0.25">
      <c r="A2961" s="4" t="s">
        <v>7</v>
      </c>
      <c r="B2961" s="4" t="s">
        <v>8134</v>
      </c>
      <c r="C2961" s="1" t="s">
        <v>8135</v>
      </c>
      <c r="D2961" s="1" t="s">
        <v>8136</v>
      </c>
      <c r="E2961" s="6">
        <v>17</v>
      </c>
    </row>
    <row r="2962" spans="1:5" x14ac:dyDescent="0.25">
      <c r="A2962" s="4" t="s">
        <v>7</v>
      </c>
      <c r="B2962" s="4" t="s">
        <v>8137</v>
      </c>
      <c r="C2962" s="1" t="s">
        <v>8138</v>
      </c>
      <c r="D2962" s="1" t="s">
        <v>8139</v>
      </c>
      <c r="E2962" s="6">
        <v>45</v>
      </c>
    </row>
    <row r="2963" spans="1:5" x14ac:dyDescent="0.25">
      <c r="A2963" s="4" t="s">
        <v>7</v>
      </c>
      <c r="B2963" s="4" t="s">
        <v>8140</v>
      </c>
      <c r="C2963" s="1" t="s">
        <v>8141</v>
      </c>
      <c r="D2963" s="1" t="s">
        <v>8142</v>
      </c>
      <c r="E2963" s="6">
        <v>194</v>
      </c>
    </row>
    <row r="2964" spans="1:5" x14ac:dyDescent="0.25">
      <c r="A2964" s="4" t="s">
        <v>7</v>
      </c>
      <c r="B2964" s="4" t="s">
        <v>8143</v>
      </c>
      <c r="C2964" s="1" t="s">
        <v>8144</v>
      </c>
      <c r="D2964" s="1" t="s">
        <v>8145</v>
      </c>
      <c r="E2964" s="6">
        <v>311</v>
      </c>
    </row>
    <row r="2965" spans="1:5" x14ac:dyDescent="0.25">
      <c r="A2965" s="4" t="s">
        <v>7</v>
      </c>
      <c r="B2965" s="4" t="s">
        <v>8146</v>
      </c>
      <c r="C2965" s="1" t="s">
        <v>8147</v>
      </c>
      <c r="D2965" s="1" t="s">
        <v>8148</v>
      </c>
      <c r="E2965" s="6">
        <v>64</v>
      </c>
    </row>
    <row r="2966" spans="1:5" x14ac:dyDescent="0.25">
      <c r="A2966" s="4" t="s">
        <v>7</v>
      </c>
      <c r="B2966" s="4" t="s">
        <v>8149</v>
      </c>
      <c r="C2966" s="1" t="s">
        <v>8150</v>
      </c>
      <c r="D2966" s="1" t="s">
        <v>8151</v>
      </c>
      <c r="E2966" s="6">
        <v>440</v>
      </c>
    </row>
    <row r="2967" spans="1:5" x14ac:dyDescent="0.25">
      <c r="A2967" s="4" t="s">
        <v>7</v>
      </c>
      <c r="B2967" s="4" t="s">
        <v>8152</v>
      </c>
      <c r="C2967" s="1" t="s">
        <v>8153</v>
      </c>
      <c r="D2967" s="1" t="s">
        <v>8151</v>
      </c>
      <c r="E2967" s="6">
        <v>356</v>
      </c>
    </row>
    <row r="2968" spans="1:5" x14ac:dyDescent="0.25">
      <c r="A2968" s="4" t="s">
        <v>7</v>
      </c>
      <c r="B2968" s="4" t="s">
        <v>8154</v>
      </c>
      <c r="C2968" s="1" t="s">
        <v>8155</v>
      </c>
      <c r="D2968" s="1" t="s">
        <v>8156</v>
      </c>
      <c r="E2968" s="6">
        <v>529</v>
      </c>
    </row>
    <row r="2969" spans="1:5" x14ac:dyDescent="0.25">
      <c r="A2969" s="4" t="s">
        <v>7</v>
      </c>
      <c r="B2969" s="4" t="s">
        <v>8157</v>
      </c>
      <c r="C2969" s="1" t="s">
        <v>8158</v>
      </c>
      <c r="D2969" s="1" t="s">
        <v>8159</v>
      </c>
      <c r="E2969" s="6">
        <v>4</v>
      </c>
    </row>
    <row r="2970" spans="1:5" x14ac:dyDescent="0.25">
      <c r="A2970" s="4" t="s">
        <v>7</v>
      </c>
      <c r="B2970" s="4" t="s">
        <v>8160</v>
      </c>
      <c r="C2970" s="1" t="s">
        <v>8161</v>
      </c>
      <c r="D2970" s="1" t="s">
        <v>8162</v>
      </c>
      <c r="E2970" s="6">
        <v>500</v>
      </c>
    </row>
    <row r="2971" spans="1:5" x14ac:dyDescent="0.25">
      <c r="A2971" s="4" t="s">
        <v>7</v>
      </c>
      <c r="B2971" s="4" t="s">
        <v>8163</v>
      </c>
      <c r="C2971" s="1" t="s">
        <v>8164</v>
      </c>
      <c r="D2971" s="1" t="s">
        <v>8165</v>
      </c>
      <c r="E2971" s="6">
        <v>118</v>
      </c>
    </row>
    <row r="2972" spans="1:5" x14ac:dyDescent="0.25">
      <c r="A2972" s="4" t="s">
        <v>7</v>
      </c>
      <c r="B2972" s="4" t="s">
        <v>8166</v>
      </c>
      <c r="C2972" s="1" t="s">
        <v>8167</v>
      </c>
      <c r="D2972" s="1" t="s">
        <v>8168</v>
      </c>
      <c r="E2972" s="6">
        <v>98</v>
      </c>
    </row>
    <row r="2973" spans="1:5" x14ac:dyDescent="0.25">
      <c r="A2973" s="4" t="s">
        <v>7</v>
      </c>
      <c r="B2973" s="4" t="s">
        <v>8169</v>
      </c>
      <c r="C2973" s="1" t="s">
        <v>8170</v>
      </c>
      <c r="D2973" s="1" t="s">
        <v>8171</v>
      </c>
      <c r="E2973" s="6">
        <v>372</v>
      </c>
    </row>
    <row r="2974" spans="1:5" x14ac:dyDescent="0.25">
      <c r="A2974" s="4" t="s">
        <v>7</v>
      </c>
      <c r="B2974" s="4" t="s">
        <v>8172</v>
      </c>
      <c r="C2974" s="1" t="s">
        <v>8173</v>
      </c>
      <c r="D2974" s="1" t="s">
        <v>8174</v>
      </c>
      <c r="E2974" s="6">
        <v>38</v>
      </c>
    </row>
    <row r="2975" spans="1:5" x14ac:dyDescent="0.25">
      <c r="A2975" s="4" t="s">
        <v>7</v>
      </c>
      <c r="B2975" s="4" t="s">
        <v>8175</v>
      </c>
      <c r="C2975" s="1" t="s">
        <v>8176</v>
      </c>
      <c r="D2975" s="1" t="s">
        <v>8177</v>
      </c>
      <c r="E2975" s="6">
        <v>9</v>
      </c>
    </row>
    <row r="2976" spans="1:5" x14ac:dyDescent="0.25">
      <c r="A2976" s="4" t="s">
        <v>7</v>
      </c>
      <c r="B2976" s="4" t="s">
        <v>8178</v>
      </c>
      <c r="C2976" s="1" t="s">
        <v>8179</v>
      </c>
      <c r="D2976" s="1" t="s">
        <v>8180</v>
      </c>
      <c r="E2976" s="6">
        <v>132</v>
      </c>
    </row>
    <row r="2977" spans="1:5" x14ac:dyDescent="0.25">
      <c r="A2977" s="4" t="s">
        <v>7</v>
      </c>
      <c r="B2977" s="4" t="s">
        <v>8181</v>
      </c>
      <c r="C2977" s="1" t="s">
        <v>8182</v>
      </c>
      <c r="D2977" s="1" t="s">
        <v>8183</v>
      </c>
      <c r="E2977" s="6">
        <v>32</v>
      </c>
    </row>
    <row r="2978" spans="1:5" x14ac:dyDescent="0.25">
      <c r="A2978" s="4" t="s">
        <v>7</v>
      </c>
      <c r="B2978" s="4" t="s">
        <v>8184</v>
      </c>
      <c r="C2978" s="1" t="s">
        <v>8185</v>
      </c>
      <c r="D2978" s="1" t="s">
        <v>8186</v>
      </c>
      <c r="E2978" s="6">
        <v>7</v>
      </c>
    </row>
    <row r="2979" spans="1:5" x14ac:dyDescent="0.25">
      <c r="A2979" s="4" t="s">
        <v>7</v>
      </c>
      <c r="B2979" s="4" t="s">
        <v>8187</v>
      </c>
      <c r="C2979" s="1" t="s">
        <v>8188</v>
      </c>
      <c r="D2979" s="1" t="s">
        <v>8189</v>
      </c>
      <c r="E2979" s="6">
        <v>322</v>
      </c>
    </row>
    <row r="2980" spans="1:5" x14ac:dyDescent="0.25">
      <c r="A2980" s="4" t="s">
        <v>7</v>
      </c>
      <c r="B2980" s="4" t="s">
        <v>8190</v>
      </c>
      <c r="C2980" s="1" t="s">
        <v>8191</v>
      </c>
      <c r="D2980" s="1" t="s">
        <v>8192</v>
      </c>
      <c r="E2980" s="6">
        <v>135</v>
      </c>
    </row>
    <row r="2981" spans="1:5" x14ac:dyDescent="0.25">
      <c r="A2981" s="4" t="s">
        <v>7</v>
      </c>
      <c r="B2981" s="4" t="s">
        <v>8193</v>
      </c>
      <c r="C2981" s="1" t="s">
        <v>8194</v>
      </c>
      <c r="D2981" s="1" t="s">
        <v>8195</v>
      </c>
      <c r="E2981" s="6">
        <v>769</v>
      </c>
    </row>
    <row r="2982" spans="1:5" x14ac:dyDescent="0.25">
      <c r="A2982" s="4" t="s">
        <v>7</v>
      </c>
      <c r="B2982" s="4" t="s">
        <v>8196</v>
      </c>
      <c r="C2982" s="1" t="s">
        <v>8197</v>
      </c>
      <c r="D2982" s="1" t="s">
        <v>8198</v>
      </c>
      <c r="E2982" s="6">
        <v>146</v>
      </c>
    </row>
    <row r="2983" spans="1:5" x14ac:dyDescent="0.25">
      <c r="A2983" s="4" t="s">
        <v>7</v>
      </c>
      <c r="B2983" s="4" t="s">
        <v>8199</v>
      </c>
      <c r="C2983" s="1" t="s">
        <v>8200</v>
      </c>
      <c r="D2983" s="1" t="s">
        <v>8201</v>
      </c>
      <c r="E2983" s="6">
        <v>310</v>
      </c>
    </row>
    <row r="2984" spans="1:5" x14ac:dyDescent="0.25">
      <c r="A2984" s="4" t="s">
        <v>7</v>
      </c>
      <c r="B2984" s="4" t="s">
        <v>8202</v>
      </c>
      <c r="C2984" s="1" t="s">
        <v>8203</v>
      </c>
      <c r="D2984" s="1" t="s">
        <v>8204</v>
      </c>
      <c r="E2984" s="6">
        <v>11</v>
      </c>
    </row>
    <row r="2985" spans="1:5" x14ac:dyDescent="0.25">
      <c r="A2985" s="4" t="s">
        <v>7</v>
      </c>
      <c r="B2985" s="4" t="s">
        <v>8205</v>
      </c>
      <c r="C2985" s="1" t="s">
        <v>8206</v>
      </c>
      <c r="D2985" s="1" t="s">
        <v>8207</v>
      </c>
      <c r="E2985" s="6">
        <v>59</v>
      </c>
    </row>
    <row r="2986" spans="1:5" x14ac:dyDescent="0.25">
      <c r="A2986" s="4" t="s">
        <v>7</v>
      </c>
      <c r="B2986" s="4" t="s">
        <v>8208</v>
      </c>
      <c r="C2986" s="1" t="s">
        <v>8209</v>
      </c>
      <c r="D2986" s="1" t="s">
        <v>8210</v>
      </c>
      <c r="E2986" s="6">
        <v>26</v>
      </c>
    </row>
    <row r="2987" spans="1:5" x14ac:dyDescent="0.25">
      <c r="A2987" s="4" t="s">
        <v>7</v>
      </c>
      <c r="B2987" s="4" t="s">
        <v>8211</v>
      </c>
      <c r="C2987" s="1" t="s">
        <v>8212</v>
      </c>
      <c r="D2987" s="1" t="s">
        <v>8213</v>
      </c>
      <c r="E2987" s="6">
        <v>710</v>
      </c>
    </row>
    <row r="2988" spans="1:5" x14ac:dyDescent="0.25">
      <c r="A2988" s="4" t="s">
        <v>7</v>
      </c>
      <c r="B2988" s="4" t="s">
        <v>8214</v>
      </c>
      <c r="C2988" s="1" t="s">
        <v>8215</v>
      </c>
      <c r="D2988" s="1" t="s">
        <v>8216</v>
      </c>
      <c r="E2988" s="6">
        <v>264</v>
      </c>
    </row>
    <row r="2989" spans="1:5" x14ac:dyDescent="0.25">
      <c r="A2989" s="4" t="s">
        <v>7</v>
      </c>
      <c r="B2989" s="4" t="s">
        <v>8217</v>
      </c>
      <c r="C2989" s="1" t="s">
        <v>8218</v>
      </c>
      <c r="D2989" s="1" t="s">
        <v>8219</v>
      </c>
      <c r="E2989" s="6">
        <v>226</v>
      </c>
    </row>
    <row r="2990" spans="1:5" x14ac:dyDescent="0.25">
      <c r="A2990" s="4" t="s">
        <v>7</v>
      </c>
      <c r="B2990" s="4" t="s">
        <v>8220</v>
      </c>
      <c r="C2990" s="1" t="s">
        <v>8221</v>
      </c>
      <c r="D2990" s="1" t="s">
        <v>8222</v>
      </c>
      <c r="E2990" s="6">
        <v>2963</v>
      </c>
    </row>
    <row r="2991" spans="1:5" x14ac:dyDescent="0.25">
      <c r="A2991" s="4" t="s">
        <v>7</v>
      </c>
      <c r="B2991" s="4" t="s">
        <v>8223</v>
      </c>
      <c r="C2991" s="1" t="s">
        <v>8224</v>
      </c>
      <c r="D2991" s="1" t="s">
        <v>8225</v>
      </c>
      <c r="E2991" s="6">
        <v>55</v>
      </c>
    </row>
    <row r="2992" spans="1:5" x14ac:dyDescent="0.25">
      <c r="A2992" s="4" t="s">
        <v>7</v>
      </c>
      <c r="B2992" s="4" t="s">
        <v>8226</v>
      </c>
      <c r="C2992" s="1" t="s">
        <v>8227</v>
      </c>
      <c r="D2992" s="1" t="s">
        <v>8228</v>
      </c>
      <c r="E2992" s="6">
        <v>1948</v>
      </c>
    </row>
    <row r="2993" spans="1:5" x14ac:dyDescent="0.25">
      <c r="A2993" s="4" t="s">
        <v>7</v>
      </c>
      <c r="B2993" s="4" t="s">
        <v>8229</v>
      </c>
      <c r="C2993" s="1" t="s">
        <v>8230</v>
      </c>
      <c r="D2993" s="1" t="s">
        <v>8231</v>
      </c>
      <c r="E2993" s="6">
        <v>415</v>
      </c>
    </row>
    <row r="2994" spans="1:5" x14ac:dyDescent="0.25">
      <c r="A2994" s="4" t="s">
        <v>7</v>
      </c>
      <c r="B2994" s="4" t="s">
        <v>8232</v>
      </c>
      <c r="C2994" s="1" t="s">
        <v>8233</v>
      </c>
      <c r="D2994" s="1" t="s">
        <v>8234</v>
      </c>
      <c r="E2994" s="6">
        <v>176</v>
      </c>
    </row>
    <row r="2995" spans="1:5" x14ac:dyDescent="0.25">
      <c r="A2995" s="4" t="s">
        <v>7</v>
      </c>
      <c r="B2995" s="4" t="s">
        <v>8235</v>
      </c>
      <c r="C2995" s="1" t="s">
        <v>8236</v>
      </c>
      <c r="D2995" s="1" t="s">
        <v>8237</v>
      </c>
      <c r="E2995" s="6">
        <v>570</v>
      </c>
    </row>
    <row r="2996" spans="1:5" x14ac:dyDescent="0.25">
      <c r="A2996" s="4" t="s">
        <v>7</v>
      </c>
      <c r="B2996" s="4" t="s">
        <v>8238</v>
      </c>
      <c r="C2996" s="1" t="s">
        <v>8239</v>
      </c>
      <c r="D2996" s="1" t="s">
        <v>8240</v>
      </c>
      <c r="E2996" s="6">
        <v>361</v>
      </c>
    </row>
    <row r="2997" spans="1:5" x14ac:dyDescent="0.25">
      <c r="A2997" s="4" t="s">
        <v>7</v>
      </c>
      <c r="B2997" s="4" t="s">
        <v>8241</v>
      </c>
      <c r="C2997" s="1" t="s">
        <v>8242</v>
      </c>
      <c r="D2997" s="1" t="s">
        <v>8243</v>
      </c>
      <c r="E2997" s="6">
        <v>52</v>
      </c>
    </row>
    <row r="2998" spans="1:5" x14ac:dyDescent="0.25">
      <c r="A2998" s="4" t="s">
        <v>7</v>
      </c>
      <c r="B2998" s="4" t="s">
        <v>8244</v>
      </c>
      <c r="C2998" s="1" t="s">
        <v>8245</v>
      </c>
      <c r="D2998" s="1" t="s">
        <v>8246</v>
      </c>
      <c r="E2998" s="6">
        <v>82</v>
      </c>
    </row>
    <row r="2999" spans="1:5" x14ac:dyDescent="0.25">
      <c r="A2999" s="4" t="s">
        <v>7</v>
      </c>
      <c r="B2999" s="4" t="s">
        <v>8247</v>
      </c>
      <c r="C2999" s="1" t="s">
        <v>8248</v>
      </c>
      <c r="D2999" s="1" t="s">
        <v>8249</v>
      </c>
      <c r="E2999" s="6">
        <v>295</v>
      </c>
    </row>
    <row r="3000" spans="1:5" x14ac:dyDescent="0.25">
      <c r="A3000" s="4" t="s">
        <v>7</v>
      </c>
      <c r="B3000" s="4" t="s">
        <v>8250</v>
      </c>
      <c r="C3000" s="1" t="s">
        <v>8251</v>
      </c>
      <c r="D3000" s="1" t="s">
        <v>8252</v>
      </c>
      <c r="E3000" s="6">
        <v>231</v>
      </c>
    </row>
    <row r="3001" spans="1:5" x14ac:dyDescent="0.25">
      <c r="A3001" s="4" t="s">
        <v>7</v>
      </c>
      <c r="B3001" s="4" t="s">
        <v>8253</v>
      </c>
      <c r="C3001" s="1" t="s">
        <v>8254</v>
      </c>
      <c r="D3001" s="1" t="s">
        <v>8255</v>
      </c>
      <c r="E3001" s="6">
        <v>133</v>
      </c>
    </row>
    <row r="3002" spans="1:5" x14ac:dyDescent="0.25">
      <c r="A3002" s="4" t="s">
        <v>7</v>
      </c>
      <c r="B3002" s="4" t="s">
        <v>8256</v>
      </c>
      <c r="C3002" s="1" t="s">
        <v>8257</v>
      </c>
      <c r="D3002" s="1" t="s">
        <v>8258</v>
      </c>
      <c r="E3002" s="6">
        <v>31.25</v>
      </c>
    </row>
    <row r="3003" spans="1:5" x14ac:dyDescent="0.25">
      <c r="A3003" s="4" t="s">
        <v>7</v>
      </c>
      <c r="B3003" s="4" t="s">
        <v>8259</v>
      </c>
      <c r="C3003" s="1" t="s">
        <v>8260</v>
      </c>
      <c r="D3003" s="1" t="s">
        <v>8261</v>
      </c>
      <c r="E3003" s="6">
        <v>50</v>
      </c>
    </row>
    <row r="3004" spans="1:5" x14ac:dyDescent="0.25">
      <c r="A3004" s="4" t="s">
        <v>7</v>
      </c>
      <c r="B3004" s="4" t="s">
        <v>8262</v>
      </c>
      <c r="C3004" s="1" t="s">
        <v>8263</v>
      </c>
      <c r="D3004" s="1" t="s">
        <v>8264</v>
      </c>
      <c r="E3004" s="6">
        <v>222</v>
      </c>
    </row>
    <row r="3005" spans="1:5" x14ac:dyDescent="0.25">
      <c r="A3005" s="4" t="s">
        <v>7</v>
      </c>
      <c r="B3005" s="4" t="s">
        <v>8265</v>
      </c>
      <c r="C3005" s="1" t="s">
        <v>8266</v>
      </c>
      <c r="D3005" s="1" t="s">
        <v>8267</v>
      </c>
      <c r="E3005" s="6">
        <v>18</v>
      </c>
    </row>
    <row r="3006" spans="1:5" x14ac:dyDescent="0.25">
      <c r="A3006" s="4" t="s">
        <v>7</v>
      </c>
      <c r="B3006" s="4" t="s">
        <v>8268</v>
      </c>
      <c r="C3006" s="1" t="s">
        <v>8269</v>
      </c>
      <c r="D3006" s="1" t="s">
        <v>8270</v>
      </c>
      <c r="E3006" s="6">
        <v>1</v>
      </c>
    </row>
    <row r="3007" spans="1:5" x14ac:dyDescent="0.25">
      <c r="A3007" s="4" t="s">
        <v>7</v>
      </c>
      <c r="B3007" s="4" t="s">
        <v>8271</v>
      </c>
      <c r="C3007" s="1" t="s">
        <v>8272</v>
      </c>
      <c r="D3007" s="1" t="s">
        <v>8273</v>
      </c>
      <c r="E3007" s="6">
        <v>51</v>
      </c>
    </row>
    <row r="3008" spans="1:5" x14ac:dyDescent="0.25">
      <c r="A3008" s="4" t="s">
        <v>7</v>
      </c>
      <c r="B3008" s="4" t="s">
        <v>8274</v>
      </c>
      <c r="C3008" s="1" t="s">
        <v>8275</v>
      </c>
      <c r="D3008" s="1" t="s">
        <v>8276</v>
      </c>
      <c r="E3008" s="6">
        <v>37</v>
      </c>
    </row>
    <row r="3009" spans="1:5" x14ac:dyDescent="0.25">
      <c r="A3009" s="4" t="s">
        <v>7</v>
      </c>
      <c r="B3009" s="4" t="s">
        <v>8277</v>
      </c>
      <c r="C3009" s="1" t="s">
        <v>8278</v>
      </c>
      <c r="D3009" s="1" t="s">
        <v>8279</v>
      </c>
      <c r="E3009" s="6">
        <v>112</v>
      </c>
    </row>
    <row r="3010" spans="1:5" x14ac:dyDescent="0.25">
      <c r="A3010" s="4" t="s">
        <v>7</v>
      </c>
      <c r="B3010" s="4" t="s">
        <v>8280</v>
      </c>
      <c r="C3010" s="1" t="s">
        <v>8281</v>
      </c>
      <c r="D3010" s="1" t="s">
        <v>8282</v>
      </c>
      <c r="E3010" s="6">
        <v>72</v>
      </c>
    </row>
    <row r="3011" spans="1:5" x14ac:dyDescent="0.25">
      <c r="A3011" s="4" t="s">
        <v>7</v>
      </c>
      <c r="B3011" s="4" t="s">
        <v>8283</v>
      </c>
      <c r="C3011" s="1" t="s">
        <v>8284</v>
      </c>
      <c r="D3011" s="1" t="s">
        <v>8285</v>
      </c>
      <c r="E3011" s="6">
        <v>38</v>
      </c>
    </row>
    <row r="3012" spans="1:5" x14ac:dyDescent="0.25">
      <c r="A3012" s="4" t="s">
        <v>7</v>
      </c>
      <c r="B3012" s="4" t="s">
        <v>8286</v>
      </c>
      <c r="C3012" s="1" t="s">
        <v>8287</v>
      </c>
      <c r="D3012" s="1" t="s">
        <v>8288</v>
      </c>
      <c r="E3012" s="6">
        <v>15</v>
      </c>
    </row>
    <row r="3013" spans="1:5" x14ac:dyDescent="0.25">
      <c r="A3013" s="4" t="s">
        <v>7</v>
      </c>
      <c r="B3013" s="4" t="s">
        <v>8289</v>
      </c>
      <c r="C3013" s="1" t="s">
        <v>8290</v>
      </c>
      <c r="D3013" s="1" t="s">
        <v>8291</v>
      </c>
      <c r="E3013" s="6">
        <v>30</v>
      </c>
    </row>
    <row r="3014" spans="1:5" x14ac:dyDescent="0.25">
      <c r="A3014" s="4" t="s">
        <v>7</v>
      </c>
      <c r="B3014" s="4" t="s">
        <v>8292</v>
      </c>
      <c r="C3014" s="1" t="s">
        <v>8293</v>
      </c>
      <c r="D3014" s="1" t="s">
        <v>8294</v>
      </c>
      <c r="E3014" s="6">
        <v>680</v>
      </c>
    </row>
    <row r="3015" spans="1:5" x14ac:dyDescent="0.25">
      <c r="A3015" s="4" t="s">
        <v>7</v>
      </c>
      <c r="B3015" s="4" t="s">
        <v>8295</v>
      </c>
      <c r="C3015" s="1" t="s">
        <v>8296</v>
      </c>
      <c r="D3015" s="1" t="s">
        <v>8297</v>
      </c>
      <c r="E3015" s="6">
        <v>399</v>
      </c>
    </row>
    <row r="3016" spans="1:5" x14ac:dyDescent="0.25">
      <c r="A3016" s="4" t="s">
        <v>7</v>
      </c>
      <c r="B3016" s="4" t="s">
        <v>8298</v>
      </c>
      <c r="C3016" s="1" t="s">
        <v>8299</v>
      </c>
      <c r="D3016" s="1" t="s">
        <v>8300</v>
      </c>
      <c r="E3016" s="6">
        <v>14</v>
      </c>
    </row>
    <row r="3017" spans="1:5" x14ac:dyDescent="0.25">
      <c r="A3017" s="4" t="s">
        <v>7</v>
      </c>
      <c r="B3017" s="4" t="s">
        <v>8301</v>
      </c>
      <c r="C3017" s="1" t="s">
        <v>8302</v>
      </c>
      <c r="D3017" s="1" t="s">
        <v>8303</v>
      </c>
      <c r="E3017" s="6">
        <v>120</v>
      </c>
    </row>
    <row r="3018" spans="1:5" x14ac:dyDescent="0.25">
      <c r="A3018" s="4" t="s">
        <v>7</v>
      </c>
      <c r="B3018" s="4" t="s">
        <v>8304</v>
      </c>
      <c r="C3018" s="1" t="s">
        <v>8305</v>
      </c>
      <c r="D3018" s="1" t="s">
        <v>8306</v>
      </c>
      <c r="E3018" s="6">
        <v>207.3</v>
      </c>
    </row>
    <row r="3019" spans="1:5" x14ac:dyDescent="0.25">
      <c r="A3019" s="4" t="s">
        <v>7</v>
      </c>
      <c r="B3019" s="4" t="s">
        <v>8307</v>
      </c>
      <c r="C3019" s="1" t="s">
        <v>8308</v>
      </c>
      <c r="D3019" s="1" t="s">
        <v>8309</v>
      </c>
      <c r="E3019" s="6">
        <v>39</v>
      </c>
    </row>
    <row r="3020" spans="1:5" x14ac:dyDescent="0.25">
      <c r="A3020" s="4" t="s">
        <v>7</v>
      </c>
      <c r="B3020" s="4" t="s">
        <v>8310</v>
      </c>
      <c r="C3020" s="1" t="s">
        <v>8311</v>
      </c>
      <c r="D3020" s="1" t="s">
        <v>8312</v>
      </c>
      <c r="E3020" s="6">
        <v>22</v>
      </c>
    </row>
    <row r="3021" spans="1:5" x14ac:dyDescent="0.25">
      <c r="A3021" s="4" t="s">
        <v>7</v>
      </c>
      <c r="B3021" s="4" t="s">
        <v>8313</v>
      </c>
      <c r="C3021" s="1" t="s">
        <v>8314</v>
      </c>
      <c r="D3021" s="1" t="s">
        <v>8315</v>
      </c>
      <c r="E3021" s="6">
        <v>32</v>
      </c>
    </row>
    <row r="3022" spans="1:5" x14ac:dyDescent="0.25">
      <c r="A3022" s="4" t="s">
        <v>7</v>
      </c>
      <c r="B3022" s="4" t="s">
        <v>8316</v>
      </c>
      <c r="C3022" s="1" t="s">
        <v>8317</v>
      </c>
      <c r="D3022" s="1" t="s">
        <v>8318</v>
      </c>
      <c r="E3022" s="6">
        <v>1122</v>
      </c>
    </row>
    <row r="3023" spans="1:5" x14ac:dyDescent="0.25">
      <c r="A3023" s="4" t="s">
        <v>7</v>
      </c>
      <c r="B3023" s="4" t="s">
        <v>8319</v>
      </c>
      <c r="C3023" s="1" t="s">
        <v>8320</v>
      </c>
      <c r="D3023" s="1" t="s">
        <v>8321</v>
      </c>
      <c r="E3023" s="6">
        <v>849</v>
      </c>
    </row>
    <row r="3024" spans="1:5" x14ac:dyDescent="0.25">
      <c r="A3024" s="4" t="s">
        <v>7</v>
      </c>
      <c r="B3024" s="4" t="s">
        <v>8322</v>
      </c>
      <c r="C3024" s="1" t="s">
        <v>8323</v>
      </c>
      <c r="D3024" s="1" t="s">
        <v>8324</v>
      </c>
      <c r="E3024" s="6">
        <v>74</v>
      </c>
    </row>
    <row r="3025" spans="1:5" x14ac:dyDescent="0.25">
      <c r="A3025" s="4" t="s">
        <v>7</v>
      </c>
      <c r="B3025" s="4" t="s">
        <v>8325</v>
      </c>
      <c r="C3025" s="1" t="s">
        <v>8326</v>
      </c>
      <c r="D3025" s="1" t="s">
        <v>8327</v>
      </c>
      <c r="E3025" s="6">
        <v>900</v>
      </c>
    </row>
    <row r="3026" spans="1:5" x14ac:dyDescent="0.25">
      <c r="A3026" s="4" t="s">
        <v>7</v>
      </c>
      <c r="B3026" s="4" t="s">
        <v>8328</v>
      </c>
      <c r="C3026" s="1" t="s">
        <v>8329</v>
      </c>
      <c r="D3026" s="1" t="s">
        <v>8330</v>
      </c>
      <c r="E3026" s="6">
        <v>69</v>
      </c>
    </row>
    <row r="3027" spans="1:5" x14ac:dyDescent="0.25">
      <c r="A3027" s="4" t="s">
        <v>7</v>
      </c>
      <c r="B3027" s="4" t="s">
        <v>8331</v>
      </c>
      <c r="C3027" s="1" t="s">
        <v>8332</v>
      </c>
      <c r="D3027" s="1" t="s">
        <v>8333</v>
      </c>
      <c r="E3027" s="6">
        <v>118</v>
      </c>
    </row>
    <row r="3028" spans="1:5" x14ac:dyDescent="0.25">
      <c r="A3028" s="4" t="s">
        <v>7</v>
      </c>
      <c r="B3028" s="4" t="s">
        <v>8334</v>
      </c>
      <c r="C3028" s="1" t="s">
        <v>8335</v>
      </c>
      <c r="D3028" s="1" t="s">
        <v>8336</v>
      </c>
      <c r="E3028" s="6">
        <v>179</v>
      </c>
    </row>
    <row r="3029" spans="1:5" x14ac:dyDescent="0.25">
      <c r="A3029" s="4" t="s">
        <v>7</v>
      </c>
      <c r="B3029" s="4" t="s">
        <v>8337</v>
      </c>
      <c r="C3029" s="1" t="s">
        <v>8338</v>
      </c>
      <c r="D3029" s="1" t="s">
        <v>8339</v>
      </c>
      <c r="E3029" s="6">
        <v>3082</v>
      </c>
    </row>
    <row r="3030" spans="1:5" x14ac:dyDescent="0.25">
      <c r="A3030" s="4" t="s">
        <v>7</v>
      </c>
      <c r="B3030" s="4" t="s">
        <v>8340</v>
      </c>
      <c r="C3030" s="1" t="s">
        <v>8341</v>
      </c>
      <c r="D3030" s="1" t="s">
        <v>8342</v>
      </c>
      <c r="E3030" s="6">
        <v>4877</v>
      </c>
    </row>
    <row r="3031" spans="1:5" x14ac:dyDescent="0.25">
      <c r="A3031" s="4" t="s">
        <v>7</v>
      </c>
      <c r="B3031" s="4" t="s">
        <v>8343</v>
      </c>
      <c r="C3031" s="1" t="s">
        <v>8344</v>
      </c>
      <c r="D3031" s="1" t="s">
        <v>8345</v>
      </c>
      <c r="E3031" s="6">
        <v>532</v>
      </c>
    </row>
    <row r="3032" spans="1:5" x14ac:dyDescent="0.25">
      <c r="A3032" s="4" t="s">
        <v>7</v>
      </c>
      <c r="B3032" s="4" t="s">
        <v>8346</v>
      </c>
      <c r="C3032" s="1" t="s">
        <v>8347</v>
      </c>
      <c r="D3032" s="1" t="s">
        <v>8348</v>
      </c>
      <c r="E3032" s="6">
        <v>84</v>
      </c>
    </row>
    <row r="3033" spans="1:5" x14ac:dyDescent="0.25">
      <c r="A3033" s="4" t="s">
        <v>7</v>
      </c>
      <c r="B3033" s="4" t="s">
        <v>8349</v>
      </c>
      <c r="C3033" s="1" t="s">
        <v>8350</v>
      </c>
      <c r="D3033" s="1" t="s">
        <v>8351</v>
      </c>
      <c r="E3033" s="6">
        <v>16</v>
      </c>
    </row>
    <row r="3034" spans="1:5" x14ac:dyDescent="0.25">
      <c r="A3034" s="4" t="s">
        <v>7</v>
      </c>
      <c r="B3034" s="4" t="s">
        <v>8352</v>
      </c>
      <c r="C3034" s="1" t="s">
        <v>8353</v>
      </c>
      <c r="D3034" s="1" t="s">
        <v>8354</v>
      </c>
      <c r="E3034" s="6">
        <v>27</v>
      </c>
    </row>
    <row r="3035" spans="1:5" x14ac:dyDescent="0.25">
      <c r="A3035" s="4" t="s">
        <v>7</v>
      </c>
      <c r="B3035" s="4" t="s">
        <v>8355</v>
      </c>
      <c r="C3035" s="1" t="s">
        <v>8356</v>
      </c>
      <c r="D3035" s="1" t="s">
        <v>8357</v>
      </c>
      <c r="E3035" s="6">
        <v>50</v>
      </c>
    </row>
    <row r="3036" spans="1:5" x14ac:dyDescent="0.25">
      <c r="A3036" s="4" t="s">
        <v>7</v>
      </c>
      <c r="B3036" s="4" t="s">
        <v>8358</v>
      </c>
      <c r="C3036" s="1" t="s">
        <v>8359</v>
      </c>
      <c r="D3036" s="1" t="s">
        <v>8360</v>
      </c>
      <c r="E3036" s="6">
        <v>36</v>
      </c>
    </row>
    <row r="3037" spans="1:5" x14ac:dyDescent="0.25">
      <c r="A3037" s="4" t="s">
        <v>7</v>
      </c>
      <c r="B3037" s="4" t="s">
        <v>8361</v>
      </c>
      <c r="C3037" s="1" t="s">
        <v>8362</v>
      </c>
      <c r="D3037" s="1" t="s">
        <v>8363</v>
      </c>
      <c r="E3037" s="6">
        <v>30</v>
      </c>
    </row>
    <row r="3038" spans="1:5" x14ac:dyDescent="0.25">
      <c r="A3038" s="4" t="s">
        <v>7</v>
      </c>
      <c r="B3038" s="4" t="s">
        <v>8364</v>
      </c>
      <c r="C3038" s="1" t="s">
        <v>8365</v>
      </c>
      <c r="D3038" s="1" t="s">
        <v>8366</v>
      </c>
      <c r="E3038" s="6">
        <v>57</v>
      </c>
    </row>
    <row r="3039" spans="1:5" x14ac:dyDescent="0.25">
      <c r="A3039" s="4" t="s">
        <v>7</v>
      </c>
      <c r="B3039" s="4" t="s">
        <v>8367</v>
      </c>
      <c r="C3039" s="1" t="s">
        <v>8368</v>
      </c>
      <c r="D3039" s="1" t="s">
        <v>8369</v>
      </c>
      <c r="E3039" s="6">
        <v>151</v>
      </c>
    </row>
    <row r="3040" spans="1:5" x14ac:dyDescent="0.25">
      <c r="A3040" s="4" t="s">
        <v>7</v>
      </c>
      <c r="B3040" s="4" t="s">
        <v>8370</v>
      </c>
      <c r="C3040" s="1" t="s">
        <v>8371</v>
      </c>
      <c r="D3040" s="1" t="s">
        <v>8372</v>
      </c>
      <c r="E3040" s="6">
        <v>147</v>
      </c>
    </row>
    <row r="3041" spans="1:5" x14ac:dyDescent="0.25">
      <c r="A3041" s="4" t="s">
        <v>7</v>
      </c>
      <c r="B3041" s="4" t="s">
        <v>8373</v>
      </c>
      <c r="C3041" s="1" t="s">
        <v>8374</v>
      </c>
      <c r="D3041" s="1" t="s">
        <v>8375</v>
      </c>
      <c r="E3041" s="6">
        <v>144</v>
      </c>
    </row>
    <row r="3042" spans="1:5" x14ac:dyDescent="0.25">
      <c r="A3042" s="4" t="s">
        <v>7</v>
      </c>
      <c r="B3042" s="4" t="s">
        <v>8376</v>
      </c>
      <c r="C3042" s="1" t="s">
        <v>8377</v>
      </c>
      <c r="D3042" s="1" t="s">
        <v>8378</v>
      </c>
      <c r="E3042" s="6">
        <v>160</v>
      </c>
    </row>
    <row r="3043" spans="1:5" x14ac:dyDescent="0.25">
      <c r="A3043" s="4" t="s">
        <v>7</v>
      </c>
      <c r="B3043" s="4" t="s">
        <v>8379</v>
      </c>
      <c r="C3043" s="1" t="s">
        <v>8380</v>
      </c>
      <c r="D3043" s="1" t="s">
        <v>8381</v>
      </c>
      <c r="E3043" s="6">
        <v>441</v>
      </c>
    </row>
    <row r="3044" spans="1:5" x14ac:dyDescent="0.25">
      <c r="A3044" s="4" t="s">
        <v>7</v>
      </c>
      <c r="B3044" s="4" t="s">
        <v>8382</v>
      </c>
      <c r="C3044" s="1" t="s">
        <v>8383</v>
      </c>
      <c r="D3044" s="1" t="s">
        <v>8384</v>
      </c>
      <c r="E3044" s="6">
        <v>78</v>
      </c>
    </row>
    <row r="3045" spans="1:5" x14ac:dyDescent="0.25">
      <c r="A3045" s="4" t="s">
        <v>7</v>
      </c>
      <c r="B3045" s="4" t="s">
        <v>8385</v>
      </c>
      <c r="C3045" s="1" t="s">
        <v>8386</v>
      </c>
      <c r="D3045" s="1" t="s">
        <v>8387</v>
      </c>
      <c r="E3045" s="6">
        <v>125</v>
      </c>
    </row>
    <row r="3046" spans="1:5" x14ac:dyDescent="0.25">
      <c r="A3046" s="4" t="s">
        <v>7</v>
      </c>
      <c r="B3046" s="4" t="s">
        <v>8388</v>
      </c>
      <c r="C3046" s="1" t="s">
        <v>8389</v>
      </c>
      <c r="D3046" s="1" t="s">
        <v>8390</v>
      </c>
      <c r="E3046" s="6">
        <v>89.76</v>
      </c>
    </row>
    <row r="3047" spans="1:5" x14ac:dyDescent="0.25">
      <c r="A3047" s="4" t="s">
        <v>7</v>
      </c>
      <c r="B3047" s="4" t="s">
        <v>8391</v>
      </c>
      <c r="C3047" s="1" t="s">
        <v>8392</v>
      </c>
      <c r="D3047" s="1" t="s">
        <v>8393</v>
      </c>
      <c r="E3047" s="6">
        <v>82</v>
      </c>
    </row>
    <row r="3048" spans="1:5" x14ac:dyDescent="0.25">
      <c r="A3048" s="4" t="s">
        <v>7</v>
      </c>
      <c r="B3048" s="4" t="s">
        <v>8394</v>
      </c>
      <c r="C3048" s="1" t="s">
        <v>8395</v>
      </c>
      <c r="D3048" s="1" t="s">
        <v>8396</v>
      </c>
      <c r="E3048" s="6">
        <v>903</v>
      </c>
    </row>
    <row r="3049" spans="1:5" x14ac:dyDescent="0.25">
      <c r="A3049" s="4" t="s">
        <v>7</v>
      </c>
      <c r="B3049" s="4" t="s">
        <v>8397</v>
      </c>
      <c r="C3049" s="1" t="s">
        <v>8398</v>
      </c>
      <c r="D3049" s="1" t="s">
        <v>8399</v>
      </c>
      <c r="E3049" s="6">
        <v>415</v>
      </c>
    </row>
    <row r="3050" spans="1:5" x14ac:dyDescent="0.25">
      <c r="A3050" s="4" t="s">
        <v>7</v>
      </c>
      <c r="B3050" s="4" t="s">
        <v>8400</v>
      </c>
      <c r="C3050" s="1" t="s">
        <v>8401</v>
      </c>
      <c r="D3050" s="1" t="s">
        <v>8402</v>
      </c>
      <c r="E3050" s="6">
        <v>415</v>
      </c>
    </row>
    <row r="3051" spans="1:5" x14ac:dyDescent="0.25">
      <c r="A3051" s="4" t="s">
        <v>7</v>
      </c>
      <c r="B3051" s="4" t="s">
        <v>8403</v>
      </c>
      <c r="C3051" s="1" t="s">
        <v>8404</v>
      </c>
      <c r="D3051" s="1" t="s">
        <v>8405</v>
      </c>
      <c r="E3051" s="6">
        <v>188</v>
      </c>
    </row>
    <row r="3052" spans="1:5" x14ac:dyDescent="0.25">
      <c r="A3052" s="4" t="s">
        <v>7</v>
      </c>
      <c r="B3052" s="4" t="s">
        <v>8406</v>
      </c>
      <c r="C3052" s="1" t="s">
        <v>8407</v>
      </c>
      <c r="D3052" s="1" t="s">
        <v>8408</v>
      </c>
      <c r="E3052" s="6">
        <v>173</v>
      </c>
    </row>
    <row r="3053" spans="1:5" x14ac:dyDescent="0.25">
      <c r="A3053" s="4" t="s">
        <v>7</v>
      </c>
      <c r="B3053" s="4" t="s">
        <v>8409</v>
      </c>
      <c r="C3053" s="1" t="s">
        <v>8410</v>
      </c>
      <c r="D3053" s="1" t="s">
        <v>8411</v>
      </c>
      <c r="E3053" s="6">
        <v>2059</v>
      </c>
    </row>
    <row r="3054" spans="1:5" x14ac:dyDescent="0.25">
      <c r="A3054" s="4" t="s">
        <v>7</v>
      </c>
      <c r="B3054" s="4" t="s">
        <v>8412</v>
      </c>
      <c r="C3054" s="1" t="s">
        <v>8413</v>
      </c>
      <c r="D3054" s="1" t="s">
        <v>8414</v>
      </c>
      <c r="E3054" s="6">
        <v>1243</v>
      </c>
    </row>
    <row r="3055" spans="1:5" x14ac:dyDescent="0.25">
      <c r="A3055" s="4" t="s">
        <v>7</v>
      </c>
      <c r="B3055" s="4" t="s">
        <v>8415</v>
      </c>
      <c r="C3055" s="1" t="s">
        <v>8416</v>
      </c>
      <c r="D3055" s="1" t="s">
        <v>8417</v>
      </c>
      <c r="E3055" s="6">
        <v>16</v>
      </c>
    </row>
    <row r="3056" spans="1:5" x14ac:dyDescent="0.25">
      <c r="A3056" s="4" t="s">
        <v>7</v>
      </c>
      <c r="B3056" s="4" t="s">
        <v>8418</v>
      </c>
      <c r="C3056" s="1" t="s">
        <v>8419</v>
      </c>
      <c r="D3056" s="1" t="s">
        <v>8420</v>
      </c>
      <c r="E3056" s="6">
        <v>17</v>
      </c>
    </row>
    <row r="3057" spans="1:5" x14ac:dyDescent="0.25">
      <c r="A3057" s="4" t="s">
        <v>7</v>
      </c>
      <c r="B3057" s="4" t="s">
        <v>8421</v>
      </c>
      <c r="C3057" s="1" t="s">
        <v>8422</v>
      </c>
      <c r="D3057" s="1" t="s">
        <v>8417</v>
      </c>
      <c r="E3057" s="6">
        <v>14</v>
      </c>
    </row>
    <row r="3058" spans="1:5" x14ac:dyDescent="0.25">
      <c r="A3058" s="4" t="s">
        <v>7</v>
      </c>
      <c r="B3058" s="4" t="s">
        <v>8423</v>
      </c>
      <c r="C3058" s="1" t="s">
        <v>8424</v>
      </c>
      <c r="D3058" s="1" t="s">
        <v>8417</v>
      </c>
      <c r="E3058" s="6">
        <v>27</v>
      </c>
    </row>
    <row r="3059" spans="1:5" x14ac:dyDescent="0.25">
      <c r="A3059" s="4" t="s">
        <v>7</v>
      </c>
      <c r="B3059" s="4" t="s">
        <v>8425</v>
      </c>
      <c r="C3059" s="1" t="s">
        <v>8426</v>
      </c>
      <c r="D3059" s="1" t="s">
        <v>8427</v>
      </c>
      <c r="E3059" s="6">
        <v>106</v>
      </c>
    </row>
    <row r="3060" spans="1:5" x14ac:dyDescent="0.25">
      <c r="A3060" s="4" t="s">
        <v>7</v>
      </c>
      <c r="B3060" s="4" t="s">
        <v>8428</v>
      </c>
      <c r="C3060" s="1" t="s">
        <v>8429</v>
      </c>
      <c r="D3060" s="1" t="s">
        <v>8430</v>
      </c>
      <c r="E3060" s="6">
        <v>67</v>
      </c>
    </row>
    <row r="3061" spans="1:5" x14ac:dyDescent="0.25">
      <c r="A3061" s="4" t="s">
        <v>7</v>
      </c>
      <c r="B3061" s="4" t="s">
        <v>8431</v>
      </c>
      <c r="C3061" s="1" t="s">
        <v>8432</v>
      </c>
      <c r="D3061" s="1" t="s">
        <v>8433</v>
      </c>
      <c r="E3061" s="6">
        <v>204</v>
      </c>
    </row>
    <row r="3062" spans="1:5" x14ac:dyDescent="0.25">
      <c r="A3062" s="4" t="s">
        <v>7</v>
      </c>
      <c r="B3062" s="4" t="s">
        <v>8434</v>
      </c>
      <c r="C3062" s="1" t="s">
        <v>8435</v>
      </c>
      <c r="D3062" s="1" t="s">
        <v>8436</v>
      </c>
      <c r="E3062" s="6">
        <v>36</v>
      </c>
    </row>
    <row r="3063" spans="1:5" x14ac:dyDescent="0.25">
      <c r="A3063" s="4" t="s">
        <v>7</v>
      </c>
      <c r="B3063" s="4" t="s">
        <v>8437</v>
      </c>
      <c r="C3063" s="1" t="s">
        <v>8438</v>
      </c>
      <c r="D3063" s="1" t="s">
        <v>8439</v>
      </c>
      <c r="E3063" s="6">
        <v>68</v>
      </c>
    </row>
    <row r="3064" spans="1:5" x14ac:dyDescent="0.25">
      <c r="A3064" s="4" t="s">
        <v>7</v>
      </c>
      <c r="B3064" s="4" t="s">
        <v>8440</v>
      </c>
      <c r="C3064" s="1" t="s">
        <v>8441</v>
      </c>
      <c r="D3064" s="1" t="s">
        <v>8442</v>
      </c>
      <c r="E3064" s="6">
        <v>56</v>
      </c>
    </row>
    <row r="3065" spans="1:5" x14ac:dyDescent="0.25">
      <c r="A3065" s="4" t="s">
        <v>7</v>
      </c>
      <c r="B3065" s="4" t="s">
        <v>8443</v>
      </c>
      <c r="C3065" s="1" t="s">
        <v>8444</v>
      </c>
      <c r="D3065" s="1" t="s">
        <v>8445</v>
      </c>
      <c r="E3065" s="6">
        <v>75</v>
      </c>
    </row>
    <row r="3066" spans="1:5" x14ac:dyDescent="0.25">
      <c r="A3066" s="4" t="s">
        <v>7</v>
      </c>
      <c r="B3066" s="4" t="s">
        <v>8446</v>
      </c>
      <c r="C3066" s="1" t="s">
        <v>8447</v>
      </c>
      <c r="D3066" s="1" t="s">
        <v>8448</v>
      </c>
      <c r="E3066" s="6">
        <v>98</v>
      </c>
    </row>
    <row r="3067" spans="1:5" x14ac:dyDescent="0.25">
      <c r="A3067" s="4" t="s">
        <v>7</v>
      </c>
      <c r="B3067" s="4" t="s">
        <v>8449</v>
      </c>
      <c r="C3067" s="1" t="s">
        <v>8450</v>
      </c>
      <c r="D3067" s="1" t="s">
        <v>8451</v>
      </c>
      <c r="E3067" s="6">
        <v>255</v>
      </c>
    </row>
    <row r="3068" spans="1:5" x14ac:dyDescent="0.25">
      <c r="A3068" s="4" t="s">
        <v>7</v>
      </c>
      <c r="B3068" s="4" t="s">
        <v>8452</v>
      </c>
      <c r="C3068" s="1" t="s">
        <v>8453</v>
      </c>
      <c r="D3068" s="1" t="s">
        <v>8454</v>
      </c>
      <c r="E3068" s="6">
        <v>82</v>
      </c>
    </row>
    <row r="3069" spans="1:5" x14ac:dyDescent="0.25">
      <c r="A3069" s="4" t="s">
        <v>7</v>
      </c>
      <c r="B3069" s="4" t="s">
        <v>8455</v>
      </c>
      <c r="C3069" s="1" t="s">
        <v>8456</v>
      </c>
      <c r="D3069" s="1" t="s">
        <v>8457</v>
      </c>
      <c r="E3069" s="6">
        <v>16</v>
      </c>
    </row>
    <row r="3070" spans="1:5" x14ac:dyDescent="0.25">
      <c r="A3070" s="4" t="s">
        <v>7</v>
      </c>
      <c r="B3070" s="4" t="s">
        <v>8458</v>
      </c>
      <c r="C3070" s="1" t="s">
        <v>8459</v>
      </c>
      <c r="D3070" s="1" t="s">
        <v>8460</v>
      </c>
      <c r="E3070" s="6">
        <v>36</v>
      </c>
    </row>
    <row r="3071" spans="1:5" x14ac:dyDescent="0.25">
      <c r="A3071" s="4" t="s">
        <v>7</v>
      </c>
      <c r="B3071" s="4" t="s">
        <v>8461</v>
      </c>
      <c r="C3071" s="1" t="s">
        <v>8462</v>
      </c>
      <c r="D3071" s="1" t="s">
        <v>8463</v>
      </c>
      <c r="E3071" s="6">
        <v>61.6</v>
      </c>
    </row>
    <row r="3072" spans="1:5" x14ac:dyDescent="0.25">
      <c r="A3072" s="4" t="s">
        <v>7</v>
      </c>
      <c r="B3072" s="4" t="s">
        <v>8464</v>
      </c>
      <c r="C3072" s="1" t="s">
        <v>8465</v>
      </c>
      <c r="D3072" s="1" t="s">
        <v>8466</v>
      </c>
      <c r="E3072" s="6">
        <v>18</v>
      </c>
    </row>
    <row r="3073" spans="1:5" x14ac:dyDescent="0.25">
      <c r="A3073" s="4" t="s">
        <v>7</v>
      </c>
      <c r="B3073" s="4" t="s">
        <v>8467</v>
      </c>
      <c r="C3073" s="1" t="s">
        <v>8468</v>
      </c>
      <c r="D3073" s="1" t="s">
        <v>8469</v>
      </c>
      <c r="E3073" s="6">
        <v>7</v>
      </c>
    </row>
    <row r="3074" spans="1:5" x14ac:dyDescent="0.25">
      <c r="A3074" s="4" t="s">
        <v>7</v>
      </c>
      <c r="B3074" s="4" t="s">
        <v>8470</v>
      </c>
      <c r="C3074" s="1" t="s">
        <v>8471</v>
      </c>
      <c r="D3074" s="1" t="s">
        <v>8472</v>
      </c>
      <c r="E3074" s="6">
        <v>100</v>
      </c>
    </row>
    <row r="3075" spans="1:5" x14ac:dyDescent="0.25">
      <c r="A3075" s="4" t="s">
        <v>7</v>
      </c>
      <c r="B3075" s="4" t="s">
        <v>8473</v>
      </c>
      <c r="C3075" s="1" t="s">
        <v>8474</v>
      </c>
      <c r="D3075" s="1" t="s">
        <v>8475</v>
      </c>
      <c r="E3075" s="6">
        <v>97</v>
      </c>
    </row>
    <row r="3076" spans="1:5" x14ac:dyDescent="0.25">
      <c r="A3076" s="4" t="s">
        <v>7</v>
      </c>
      <c r="B3076" s="4" t="s">
        <v>8476</v>
      </c>
      <c r="C3076" s="1" t="s">
        <v>8477</v>
      </c>
      <c r="D3076" s="1" t="s">
        <v>8478</v>
      </c>
      <c r="E3076" s="6">
        <v>141</v>
      </c>
    </row>
    <row r="3077" spans="1:5" x14ac:dyDescent="0.25">
      <c r="A3077" s="4" t="s">
        <v>7</v>
      </c>
      <c r="B3077" s="4" t="s">
        <v>8479</v>
      </c>
      <c r="C3077" s="1" t="s">
        <v>8480</v>
      </c>
      <c r="D3077" s="1" t="s">
        <v>8481</v>
      </c>
      <c r="E3077" s="6">
        <v>474</v>
      </c>
    </row>
    <row r="3078" spans="1:5" x14ac:dyDescent="0.25">
      <c r="A3078" s="4" t="s">
        <v>7</v>
      </c>
      <c r="B3078" s="4" t="s">
        <v>8482</v>
      </c>
      <c r="C3078" s="1" t="s">
        <v>8483</v>
      </c>
      <c r="D3078" s="1" t="s">
        <v>8484</v>
      </c>
      <c r="E3078" s="6">
        <v>51</v>
      </c>
    </row>
    <row r="3079" spans="1:5" x14ac:dyDescent="0.25">
      <c r="A3079" s="4" t="s">
        <v>7</v>
      </c>
      <c r="B3079" s="4" t="s">
        <v>8485</v>
      </c>
      <c r="C3079" s="1" t="s">
        <v>8486</v>
      </c>
      <c r="D3079" s="1" t="s">
        <v>8487</v>
      </c>
      <c r="E3079" s="6">
        <v>102</v>
      </c>
    </row>
    <row r="3080" spans="1:5" x14ac:dyDescent="0.25">
      <c r="A3080" s="4" t="s">
        <v>7</v>
      </c>
      <c r="B3080" s="4" t="s">
        <v>8488</v>
      </c>
      <c r="C3080" s="1" t="s">
        <v>8489</v>
      </c>
      <c r="D3080" s="1" t="s">
        <v>8490</v>
      </c>
      <c r="E3080" s="6">
        <v>26</v>
      </c>
    </row>
    <row r="3081" spans="1:5" x14ac:dyDescent="0.25">
      <c r="A3081" s="4" t="s">
        <v>7</v>
      </c>
      <c r="B3081" s="4" t="s">
        <v>8491</v>
      </c>
      <c r="C3081" s="1" t="s">
        <v>8492</v>
      </c>
      <c r="D3081" s="1" t="s">
        <v>8493</v>
      </c>
      <c r="E3081" s="6">
        <v>489</v>
      </c>
    </row>
    <row r="3082" spans="1:5" x14ac:dyDescent="0.25">
      <c r="A3082" s="4" t="s">
        <v>7</v>
      </c>
      <c r="B3082" s="4" t="s">
        <v>8494</v>
      </c>
      <c r="C3082" s="1" t="s">
        <v>8495</v>
      </c>
      <c r="D3082" s="1" t="s">
        <v>8496</v>
      </c>
      <c r="E3082" s="6">
        <v>84</v>
      </c>
    </row>
    <row r="3083" spans="1:5" x14ac:dyDescent="0.25">
      <c r="A3083" s="4" t="s">
        <v>7</v>
      </c>
      <c r="B3083" s="4" t="s">
        <v>8497</v>
      </c>
      <c r="C3083" s="1" t="s">
        <v>8498</v>
      </c>
      <c r="D3083" s="1" t="s">
        <v>8499</v>
      </c>
      <c r="E3083" s="6">
        <v>603</v>
      </c>
    </row>
    <row r="3084" spans="1:5" x14ac:dyDescent="0.25">
      <c r="A3084" s="4" t="s">
        <v>7</v>
      </c>
      <c r="B3084" s="4" t="s">
        <v>8500</v>
      </c>
      <c r="C3084" s="1" t="s">
        <v>8501</v>
      </c>
      <c r="D3084" s="1" t="s">
        <v>8502</v>
      </c>
      <c r="E3084" s="6">
        <v>20</v>
      </c>
    </row>
    <row r="3085" spans="1:5" x14ac:dyDescent="0.25">
      <c r="A3085" s="4" t="s">
        <v>7</v>
      </c>
      <c r="B3085" s="4" t="s">
        <v>8503</v>
      </c>
      <c r="C3085" s="1" t="s">
        <v>8504</v>
      </c>
      <c r="D3085" s="1" t="s">
        <v>8505</v>
      </c>
      <c r="E3085" s="6">
        <v>1</v>
      </c>
    </row>
    <row r="3086" spans="1:5" x14ac:dyDescent="0.25">
      <c r="A3086" s="4" t="s">
        <v>7</v>
      </c>
      <c r="B3086" s="4" t="s">
        <v>8506</v>
      </c>
      <c r="C3086" s="1" t="s">
        <v>8507</v>
      </c>
      <c r="D3086" s="1" t="s">
        <v>8508</v>
      </c>
      <c r="E3086" s="6">
        <v>324</v>
      </c>
    </row>
    <row r="3087" spans="1:5" x14ac:dyDescent="0.25">
      <c r="A3087" s="4" t="s">
        <v>7</v>
      </c>
      <c r="B3087" s="4" t="s">
        <v>8509</v>
      </c>
      <c r="C3087" s="1" t="s">
        <v>8510</v>
      </c>
      <c r="D3087" s="1" t="s">
        <v>8511</v>
      </c>
      <c r="E3087" s="6">
        <v>13</v>
      </c>
    </row>
    <row r="3088" spans="1:5" x14ac:dyDescent="0.25">
      <c r="A3088" s="4" t="s">
        <v>7</v>
      </c>
      <c r="B3088" s="4" t="s">
        <v>8512</v>
      </c>
      <c r="C3088" s="1" t="s">
        <v>8513</v>
      </c>
      <c r="D3088" s="1" t="s">
        <v>8514</v>
      </c>
      <c r="E3088" s="6">
        <v>13</v>
      </c>
    </row>
    <row r="3089" spans="1:5" x14ac:dyDescent="0.25">
      <c r="A3089" s="4" t="s">
        <v>7</v>
      </c>
      <c r="B3089" s="4" t="s">
        <v>8515</v>
      </c>
      <c r="C3089" s="1" t="s">
        <v>8516</v>
      </c>
      <c r="D3089" s="1" t="s">
        <v>8517</v>
      </c>
      <c r="E3089" s="6">
        <v>13</v>
      </c>
    </row>
    <row r="3090" spans="1:5" x14ac:dyDescent="0.25">
      <c r="A3090" s="4" t="s">
        <v>7</v>
      </c>
      <c r="B3090" s="4" t="s">
        <v>8518</v>
      </c>
      <c r="C3090" s="1" t="s">
        <v>8519</v>
      </c>
      <c r="D3090" s="1" t="s">
        <v>8520</v>
      </c>
      <c r="E3090" s="6">
        <v>6</v>
      </c>
    </row>
    <row r="3091" spans="1:5" x14ac:dyDescent="0.25">
      <c r="A3091" s="4" t="s">
        <v>7</v>
      </c>
      <c r="B3091" s="4" t="s">
        <v>8521</v>
      </c>
      <c r="C3091" s="1" t="s">
        <v>8522</v>
      </c>
      <c r="D3091" s="1" t="s">
        <v>8523</v>
      </c>
      <c r="E3091" s="6">
        <v>6</v>
      </c>
    </row>
    <row r="3092" spans="1:5" x14ac:dyDescent="0.25">
      <c r="A3092" s="4" t="s">
        <v>7</v>
      </c>
      <c r="B3092" s="4" t="s">
        <v>8524</v>
      </c>
      <c r="C3092" s="1" t="s">
        <v>8525</v>
      </c>
      <c r="D3092" s="1" t="s">
        <v>8526</v>
      </c>
      <c r="E3092" s="6">
        <v>7</v>
      </c>
    </row>
    <row r="3093" spans="1:5" x14ac:dyDescent="0.25">
      <c r="A3093" s="4" t="s">
        <v>7</v>
      </c>
      <c r="B3093" s="4" t="s">
        <v>8527</v>
      </c>
      <c r="C3093" s="1" t="s">
        <v>8528</v>
      </c>
      <c r="D3093" s="1" t="s">
        <v>8529</v>
      </c>
      <c r="E3093" s="6">
        <v>221</v>
      </c>
    </row>
    <row r="3094" spans="1:5" x14ac:dyDescent="0.25">
      <c r="A3094" s="4" t="s">
        <v>7</v>
      </c>
      <c r="B3094" s="4" t="s">
        <v>8530</v>
      </c>
      <c r="C3094" s="1" t="s">
        <v>8531</v>
      </c>
      <c r="D3094" s="1" t="s">
        <v>8532</v>
      </c>
      <c r="E3094" s="6">
        <v>26</v>
      </c>
    </row>
    <row r="3095" spans="1:5" x14ac:dyDescent="0.25">
      <c r="A3095" s="4" t="s">
        <v>7</v>
      </c>
      <c r="B3095" s="4" t="s">
        <v>8533</v>
      </c>
      <c r="C3095" s="1" t="s">
        <v>8534</v>
      </c>
      <c r="D3095" s="1" t="s">
        <v>8535</v>
      </c>
      <c r="E3095" s="6">
        <v>64</v>
      </c>
    </row>
    <row r="3096" spans="1:5" x14ac:dyDescent="0.25">
      <c r="A3096" s="4" t="s">
        <v>7</v>
      </c>
      <c r="B3096" s="4" t="s">
        <v>8536</v>
      </c>
      <c r="C3096" s="1" t="s">
        <v>8537</v>
      </c>
      <c r="D3096" s="1" t="s">
        <v>8538</v>
      </c>
      <c r="E3096" s="6">
        <v>67</v>
      </c>
    </row>
    <row r="3097" spans="1:5" x14ac:dyDescent="0.25">
      <c r="A3097" s="4" t="s">
        <v>7</v>
      </c>
      <c r="B3097" s="4" t="s">
        <v>8539</v>
      </c>
      <c r="C3097" s="1" t="s">
        <v>8540</v>
      </c>
      <c r="D3097" s="1" t="s">
        <v>8541</v>
      </c>
      <c r="E3097" s="6">
        <v>69</v>
      </c>
    </row>
    <row r="3098" spans="1:5" x14ac:dyDescent="0.25">
      <c r="A3098" s="4" t="s">
        <v>7</v>
      </c>
      <c r="B3098" s="4" t="s">
        <v>8542</v>
      </c>
      <c r="C3098" s="1" t="s">
        <v>8543</v>
      </c>
      <c r="D3098" s="1" t="s">
        <v>8544</v>
      </c>
      <c r="E3098" s="6">
        <v>174</v>
      </c>
    </row>
    <row r="3099" spans="1:5" x14ac:dyDescent="0.25">
      <c r="A3099" s="4" t="s">
        <v>7</v>
      </c>
      <c r="B3099" s="4" t="s">
        <v>8545</v>
      </c>
      <c r="C3099" s="1" t="s">
        <v>8546</v>
      </c>
      <c r="D3099" s="1" t="s">
        <v>8547</v>
      </c>
      <c r="E3099" s="6">
        <v>3</v>
      </c>
    </row>
    <row r="3100" spans="1:5" x14ac:dyDescent="0.25">
      <c r="A3100" s="4" t="s">
        <v>7</v>
      </c>
      <c r="B3100" s="4" t="s">
        <v>8548</v>
      </c>
      <c r="C3100" s="1" t="s">
        <v>8549</v>
      </c>
      <c r="D3100" s="1" t="s">
        <v>8550</v>
      </c>
      <c r="E3100" s="6">
        <v>24</v>
      </c>
    </row>
    <row r="3101" spans="1:5" x14ac:dyDescent="0.25">
      <c r="A3101" s="4" t="s">
        <v>7</v>
      </c>
      <c r="B3101" s="4" t="s">
        <v>8551</v>
      </c>
      <c r="C3101" s="1" t="s">
        <v>8552</v>
      </c>
      <c r="D3101" s="1" t="s">
        <v>8553</v>
      </c>
      <c r="E3101" s="6">
        <v>15</v>
      </c>
    </row>
    <row r="3102" spans="1:5" x14ac:dyDescent="0.25">
      <c r="A3102" s="4" t="s">
        <v>7</v>
      </c>
      <c r="B3102" s="4" t="s">
        <v>8554</v>
      </c>
      <c r="C3102" s="1" t="s">
        <v>8555</v>
      </c>
      <c r="D3102" s="1" t="s">
        <v>8556</v>
      </c>
      <c r="E3102" s="6">
        <v>20</v>
      </c>
    </row>
    <row r="3103" spans="1:5" x14ac:dyDescent="0.25">
      <c r="A3103" s="4" t="s">
        <v>7</v>
      </c>
      <c r="B3103" s="4" t="s">
        <v>8557</v>
      </c>
      <c r="C3103" s="1" t="s">
        <v>8558</v>
      </c>
      <c r="D3103" s="1" t="s">
        <v>8559</v>
      </c>
      <c r="E3103" s="6">
        <v>16</v>
      </c>
    </row>
    <row r="3104" spans="1:5" x14ac:dyDescent="0.25">
      <c r="A3104" s="4" t="s">
        <v>7</v>
      </c>
      <c r="B3104" s="4" t="s">
        <v>8560</v>
      </c>
      <c r="C3104" s="1" t="s">
        <v>8561</v>
      </c>
      <c r="D3104" s="1" t="s">
        <v>8562</v>
      </c>
      <c r="E3104" s="6">
        <v>24</v>
      </c>
    </row>
    <row r="3105" spans="1:5" x14ac:dyDescent="0.25">
      <c r="A3105" s="4" t="s">
        <v>7</v>
      </c>
      <c r="B3105" s="4" t="s">
        <v>8563</v>
      </c>
      <c r="C3105" s="1" t="s">
        <v>8564</v>
      </c>
      <c r="D3105" s="1" t="s">
        <v>8565</v>
      </c>
      <c r="E3105" s="6">
        <v>892</v>
      </c>
    </row>
    <row r="3106" spans="1:5" x14ac:dyDescent="0.25">
      <c r="A3106" s="4" t="s">
        <v>7</v>
      </c>
      <c r="B3106" s="4" t="s">
        <v>8566</v>
      </c>
      <c r="C3106" s="1" t="s">
        <v>8567</v>
      </c>
      <c r="D3106" s="1" t="s">
        <v>8568</v>
      </c>
      <c r="E3106" s="6">
        <v>91</v>
      </c>
    </row>
    <row r="3107" spans="1:5" x14ac:dyDescent="0.25">
      <c r="A3107" s="4" t="s">
        <v>7</v>
      </c>
      <c r="B3107" s="4" t="s">
        <v>8569</v>
      </c>
      <c r="C3107" s="1" t="s">
        <v>8570</v>
      </c>
      <c r="D3107" s="1" t="s">
        <v>8571</v>
      </c>
      <c r="E3107" s="6">
        <v>8</v>
      </c>
    </row>
    <row r="3108" spans="1:5" x14ac:dyDescent="0.25">
      <c r="A3108" s="4" t="s">
        <v>7</v>
      </c>
      <c r="B3108" s="4" t="s">
        <v>8572</v>
      </c>
      <c r="C3108" s="1" t="s">
        <v>8573</v>
      </c>
      <c r="D3108" s="1" t="s">
        <v>8574</v>
      </c>
      <c r="E3108" s="6">
        <v>82</v>
      </c>
    </row>
    <row r="3109" spans="1:5" x14ac:dyDescent="0.25">
      <c r="A3109" s="4" t="s">
        <v>7</v>
      </c>
      <c r="B3109" s="4" t="s">
        <v>8575</v>
      </c>
      <c r="C3109" s="1" t="s">
        <v>8576</v>
      </c>
      <c r="D3109" s="1" t="s">
        <v>8577</v>
      </c>
      <c r="E3109" s="6">
        <v>42</v>
      </c>
    </row>
    <row r="3110" spans="1:5" x14ac:dyDescent="0.25">
      <c r="A3110" s="4" t="s">
        <v>7</v>
      </c>
      <c r="B3110" s="4" t="s">
        <v>8578</v>
      </c>
      <c r="C3110" s="1" t="s">
        <v>8579</v>
      </c>
      <c r="D3110" s="1" t="s">
        <v>8303</v>
      </c>
      <c r="E3110" s="6">
        <v>128</v>
      </c>
    </row>
    <row r="3111" spans="1:5" x14ac:dyDescent="0.25">
      <c r="A3111" s="4" t="s">
        <v>7</v>
      </c>
      <c r="B3111" s="4" t="s">
        <v>8580</v>
      </c>
      <c r="C3111" s="1" t="s">
        <v>8581</v>
      </c>
      <c r="D3111" s="1" t="s">
        <v>8303</v>
      </c>
      <c r="E3111" s="6">
        <v>120</v>
      </c>
    </row>
    <row r="3112" spans="1:5" x14ac:dyDescent="0.25">
      <c r="A3112" s="4" t="s">
        <v>7</v>
      </c>
      <c r="B3112" s="4" t="s">
        <v>8582</v>
      </c>
      <c r="C3112" s="1" t="s">
        <v>8583</v>
      </c>
      <c r="D3112" s="1" t="s">
        <v>8584</v>
      </c>
      <c r="E3112" s="6">
        <v>46</v>
      </c>
    </row>
    <row r="3113" spans="1:5" x14ac:dyDescent="0.25">
      <c r="A3113" s="4" t="s">
        <v>7</v>
      </c>
      <c r="B3113" s="4" t="s">
        <v>8585</v>
      </c>
      <c r="C3113" s="1" t="s">
        <v>8586</v>
      </c>
      <c r="D3113" s="1" t="s">
        <v>8587</v>
      </c>
      <c r="E3113" s="6">
        <v>109</v>
      </c>
    </row>
    <row r="3114" spans="1:5" x14ac:dyDescent="0.25">
      <c r="A3114" s="4" t="s">
        <v>7</v>
      </c>
      <c r="B3114" s="4" t="s">
        <v>8588</v>
      </c>
      <c r="C3114" s="1" t="s">
        <v>8589</v>
      </c>
      <c r="D3114" s="1" t="s">
        <v>8590</v>
      </c>
      <c r="E3114" s="6">
        <v>456</v>
      </c>
    </row>
    <row r="3115" spans="1:5" x14ac:dyDescent="0.25">
      <c r="A3115" s="4" t="s">
        <v>7</v>
      </c>
      <c r="B3115" s="4" t="s">
        <v>8591</v>
      </c>
      <c r="C3115" s="1" t="s">
        <v>8592</v>
      </c>
      <c r="D3115" s="1" t="s">
        <v>8593</v>
      </c>
      <c r="E3115" s="6">
        <v>708</v>
      </c>
    </row>
    <row r="3116" spans="1:5" x14ac:dyDescent="0.25">
      <c r="A3116" s="4" t="s">
        <v>7</v>
      </c>
      <c r="B3116" s="4" t="s">
        <v>8594</v>
      </c>
      <c r="C3116" s="1" t="s">
        <v>8595</v>
      </c>
      <c r="D3116" s="1" t="s">
        <v>8596</v>
      </c>
      <c r="E3116" s="6">
        <v>443</v>
      </c>
    </row>
    <row r="3117" spans="1:5" x14ac:dyDescent="0.25">
      <c r="A3117" s="4" t="s">
        <v>7</v>
      </c>
      <c r="B3117" s="4" t="s">
        <v>8597</v>
      </c>
      <c r="C3117" s="1" t="s">
        <v>8598</v>
      </c>
      <c r="D3117" s="1" t="s">
        <v>8599</v>
      </c>
      <c r="E3117" s="6">
        <v>21</v>
      </c>
    </row>
    <row r="3118" spans="1:5" x14ac:dyDescent="0.25">
      <c r="A3118" s="4" t="s">
        <v>7</v>
      </c>
      <c r="B3118" s="4" t="s">
        <v>8600</v>
      </c>
      <c r="C3118" s="1" t="s">
        <v>8601</v>
      </c>
      <c r="D3118" s="1" t="s">
        <v>8602</v>
      </c>
      <c r="E3118" s="6">
        <v>22.25</v>
      </c>
    </row>
    <row r="3119" spans="1:5" x14ac:dyDescent="0.25">
      <c r="A3119" s="4" t="s">
        <v>7</v>
      </c>
      <c r="B3119" s="4" t="s">
        <v>8603</v>
      </c>
      <c r="C3119" s="1" t="s">
        <v>8604</v>
      </c>
      <c r="D3119" s="1" t="s">
        <v>8602</v>
      </c>
      <c r="E3119" s="6">
        <v>13</v>
      </c>
    </row>
    <row r="3120" spans="1:5" x14ac:dyDescent="0.25">
      <c r="A3120" s="4" t="s">
        <v>7</v>
      </c>
      <c r="B3120" s="4" t="s">
        <v>8605</v>
      </c>
      <c r="C3120" s="1" t="s">
        <v>8606</v>
      </c>
      <c r="D3120" s="1" t="s">
        <v>8599</v>
      </c>
      <c r="E3120" s="6">
        <v>37</v>
      </c>
    </row>
    <row r="3121" spans="1:5" x14ac:dyDescent="0.25">
      <c r="A3121" s="4" t="s">
        <v>7</v>
      </c>
      <c r="B3121" s="4" t="s">
        <v>8607</v>
      </c>
      <c r="C3121" s="1" t="s">
        <v>8608</v>
      </c>
      <c r="D3121" s="1" t="s">
        <v>8602</v>
      </c>
      <c r="E3121" s="6">
        <v>41</v>
      </c>
    </row>
    <row r="3122" spans="1:5" x14ac:dyDescent="0.25">
      <c r="A3122" s="4" t="s">
        <v>7</v>
      </c>
      <c r="B3122" s="4" t="s">
        <v>8609</v>
      </c>
      <c r="C3122" s="1" t="s">
        <v>8610</v>
      </c>
      <c r="D3122" s="1" t="s">
        <v>8611</v>
      </c>
      <c r="E3122" s="6">
        <v>19</v>
      </c>
    </row>
    <row r="3123" spans="1:5" x14ac:dyDescent="0.25">
      <c r="A3123" s="4" t="s">
        <v>7</v>
      </c>
      <c r="B3123" s="4" t="s">
        <v>8612</v>
      </c>
      <c r="C3123" s="1" t="s">
        <v>8613</v>
      </c>
      <c r="D3123" s="1" t="s">
        <v>8614</v>
      </c>
      <c r="E3123" s="6">
        <v>154</v>
      </c>
    </row>
    <row r="3124" spans="1:5" x14ac:dyDescent="0.25">
      <c r="A3124" s="4" t="s">
        <v>7</v>
      </c>
      <c r="B3124" s="4" t="s">
        <v>8615</v>
      </c>
      <c r="C3124" s="1" t="s">
        <v>8616</v>
      </c>
      <c r="D3124" s="1" t="s">
        <v>8617</v>
      </c>
      <c r="E3124" s="6">
        <v>1</v>
      </c>
    </row>
    <row r="3125" spans="1:5" x14ac:dyDescent="0.25">
      <c r="A3125" s="4" t="s">
        <v>7</v>
      </c>
      <c r="B3125" s="4" t="s">
        <v>8618</v>
      </c>
      <c r="C3125" s="1" t="s">
        <v>8619</v>
      </c>
      <c r="D3125" s="1" t="s">
        <v>8620</v>
      </c>
      <c r="E3125" s="6">
        <v>18</v>
      </c>
    </row>
    <row r="3126" spans="1:5" x14ac:dyDescent="0.25">
      <c r="A3126" s="4" t="s">
        <v>7</v>
      </c>
      <c r="B3126" s="4" t="s">
        <v>8621</v>
      </c>
      <c r="C3126" s="1" t="s">
        <v>8622</v>
      </c>
      <c r="D3126" s="1" t="s">
        <v>8623</v>
      </c>
      <c r="E3126" s="6">
        <v>2</v>
      </c>
    </row>
    <row r="3127" spans="1:5" x14ac:dyDescent="0.25">
      <c r="A3127" s="4" t="s">
        <v>7</v>
      </c>
      <c r="B3127" s="4" t="s">
        <v>8624</v>
      </c>
      <c r="C3127" s="1" t="s">
        <v>8625</v>
      </c>
      <c r="D3127" s="1" t="s">
        <v>8626</v>
      </c>
      <c r="E3127" s="6">
        <v>18</v>
      </c>
    </row>
    <row r="3128" spans="1:5" x14ac:dyDescent="0.25">
      <c r="A3128" s="4" t="s">
        <v>7</v>
      </c>
      <c r="B3128" s="4" t="s">
        <v>8627</v>
      </c>
      <c r="C3128" s="1" t="s">
        <v>8628</v>
      </c>
      <c r="D3128" s="1" t="s">
        <v>8629</v>
      </c>
      <c r="E3128" s="6">
        <v>2</v>
      </c>
    </row>
    <row r="3129" spans="1:5" x14ac:dyDescent="0.25">
      <c r="A3129" s="4" t="s">
        <v>7</v>
      </c>
      <c r="B3129" s="4" t="s">
        <v>8630</v>
      </c>
      <c r="C3129" s="1" t="s">
        <v>8631</v>
      </c>
      <c r="D3129" s="1" t="s">
        <v>8632</v>
      </c>
      <c r="E3129" s="6">
        <v>12</v>
      </c>
    </row>
    <row r="3130" spans="1:5" x14ac:dyDescent="0.25">
      <c r="A3130" s="4" t="s">
        <v>7</v>
      </c>
      <c r="B3130" s="4" t="s">
        <v>8633</v>
      </c>
      <c r="C3130" s="1" t="s">
        <v>8634</v>
      </c>
      <c r="D3130" s="1" t="s">
        <v>8635</v>
      </c>
      <c r="E3130" s="6">
        <v>3</v>
      </c>
    </row>
    <row r="3131" spans="1:5" x14ac:dyDescent="0.25">
      <c r="A3131" s="4" t="s">
        <v>7</v>
      </c>
      <c r="B3131" s="4" t="s">
        <v>8636</v>
      </c>
      <c r="C3131" s="1" t="s">
        <v>8637</v>
      </c>
      <c r="D3131" s="1" t="s">
        <v>8638</v>
      </c>
      <c r="E3131" s="6">
        <v>1</v>
      </c>
    </row>
    <row r="3132" spans="1:5" x14ac:dyDescent="0.25">
      <c r="A3132" s="4" t="s">
        <v>7</v>
      </c>
      <c r="B3132" s="4" t="s">
        <v>8639</v>
      </c>
      <c r="C3132" s="1" t="s">
        <v>8640</v>
      </c>
      <c r="D3132" s="1" t="s">
        <v>8641</v>
      </c>
      <c r="E3132" s="6">
        <v>350</v>
      </c>
    </row>
    <row r="3133" spans="1:5" x14ac:dyDescent="0.25">
      <c r="A3133" s="4" t="s">
        <v>7</v>
      </c>
      <c r="B3133" s="4" t="s">
        <v>8642</v>
      </c>
      <c r="C3133" s="1" t="s">
        <v>8643</v>
      </c>
      <c r="D3133" s="1" t="s">
        <v>8644</v>
      </c>
      <c r="E3133" s="6">
        <v>15</v>
      </c>
    </row>
    <row r="3134" spans="1:5" x14ac:dyDescent="0.25">
      <c r="A3134" s="4" t="s">
        <v>7</v>
      </c>
      <c r="B3134" s="4" t="s">
        <v>8645</v>
      </c>
      <c r="C3134" s="1" t="s">
        <v>8646</v>
      </c>
      <c r="D3134" s="1" t="s">
        <v>8647</v>
      </c>
      <c r="E3134" s="6">
        <v>971</v>
      </c>
    </row>
    <row r="3135" spans="1:5" x14ac:dyDescent="0.25">
      <c r="A3135" s="4" t="s">
        <v>7</v>
      </c>
      <c r="B3135" s="4" t="s">
        <v>8648</v>
      </c>
      <c r="C3135" s="1" t="s">
        <v>8649</v>
      </c>
      <c r="D3135" s="1" t="s">
        <v>8650</v>
      </c>
      <c r="E3135" s="6">
        <v>648</v>
      </c>
    </row>
    <row r="3136" spans="1:5" x14ac:dyDescent="0.25">
      <c r="A3136" s="4" t="s">
        <v>7</v>
      </c>
      <c r="B3136" s="4" t="s">
        <v>8651</v>
      </c>
      <c r="C3136" s="1" t="s">
        <v>8652</v>
      </c>
      <c r="D3136" s="1" t="s">
        <v>8653</v>
      </c>
      <c r="E3136" s="6">
        <v>70</v>
      </c>
    </row>
    <row r="3137" spans="1:5" x14ac:dyDescent="0.25">
      <c r="A3137" s="4" t="s">
        <v>7</v>
      </c>
      <c r="B3137" s="4" t="s">
        <v>8654</v>
      </c>
      <c r="C3137" s="1" t="s">
        <v>8655</v>
      </c>
      <c r="D3137" s="1" t="s">
        <v>8656</v>
      </c>
      <c r="E3137" s="6">
        <v>106</v>
      </c>
    </row>
    <row r="3138" spans="1:5" x14ac:dyDescent="0.25">
      <c r="A3138" s="4" t="s">
        <v>7</v>
      </c>
      <c r="B3138" s="4" t="s">
        <v>8657</v>
      </c>
      <c r="C3138" s="1" t="s">
        <v>8658</v>
      </c>
      <c r="D3138" s="1" t="s">
        <v>8659</v>
      </c>
      <c r="E3138" s="6">
        <v>26</v>
      </c>
    </row>
    <row r="3139" spans="1:5" x14ac:dyDescent="0.25">
      <c r="A3139" s="4" t="s">
        <v>7</v>
      </c>
      <c r="B3139" s="4" t="s">
        <v>8660</v>
      </c>
      <c r="C3139" s="1" t="s">
        <v>8661</v>
      </c>
      <c r="D3139" s="1" t="s">
        <v>8662</v>
      </c>
      <c r="E3139" s="6">
        <v>70</v>
      </c>
    </row>
    <row r="3140" spans="1:5" x14ac:dyDescent="0.25">
      <c r="A3140" s="4" t="s">
        <v>7</v>
      </c>
      <c r="B3140" s="4" t="s">
        <v>8663</v>
      </c>
      <c r="C3140" s="1" t="s">
        <v>8664</v>
      </c>
      <c r="D3140" s="1" t="s">
        <v>8665</v>
      </c>
      <c r="E3140" s="6">
        <v>57</v>
      </c>
    </row>
    <row r="3141" spans="1:5" x14ac:dyDescent="0.25">
      <c r="A3141" s="4" t="s">
        <v>7</v>
      </c>
      <c r="B3141" s="4" t="s">
        <v>8666</v>
      </c>
      <c r="C3141" s="1" t="s">
        <v>8667</v>
      </c>
      <c r="D3141" s="1" t="s">
        <v>8668</v>
      </c>
      <c r="E3141" s="6">
        <v>54</v>
      </c>
    </row>
    <row r="3142" spans="1:5" x14ac:dyDescent="0.25">
      <c r="A3142" s="4" t="s">
        <v>7</v>
      </c>
      <c r="B3142" s="4" t="s">
        <v>8669</v>
      </c>
      <c r="C3142" s="1" t="s">
        <v>8670</v>
      </c>
      <c r="D3142" s="1" t="s">
        <v>8671</v>
      </c>
      <c r="E3142" s="6">
        <v>15</v>
      </c>
    </row>
    <row r="3143" spans="1:5" x14ac:dyDescent="0.25">
      <c r="A3143" s="4" t="s">
        <v>7</v>
      </c>
      <c r="B3143" s="4" t="s">
        <v>8672</v>
      </c>
      <c r="C3143" s="1" t="s">
        <v>8673</v>
      </c>
      <c r="D3143" s="1" t="s">
        <v>8674</v>
      </c>
      <c r="E3143" s="6">
        <v>2</v>
      </c>
    </row>
    <row r="3144" spans="1:5" x14ac:dyDescent="0.25">
      <c r="A3144" s="4" t="s">
        <v>7</v>
      </c>
      <c r="B3144" s="4" t="s">
        <v>8675</v>
      </c>
      <c r="C3144" s="1" t="s">
        <v>8676</v>
      </c>
      <c r="D3144" s="1" t="s">
        <v>8677</v>
      </c>
      <c r="E3144" s="6">
        <v>98</v>
      </c>
    </row>
    <row r="3145" spans="1:5" x14ac:dyDescent="0.25">
      <c r="A3145" s="4" t="s">
        <v>7</v>
      </c>
      <c r="B3145" s="4" t="s">
        <v>8678</v>
      </c>
      <c r="C3145" s="1" t="s">
        <v>8679</v>
      </c>
      <c r="D3145" s="1" t="s">
        <v>8680</v>
      </c>
      <c r="E3145" s="6">
        <v>1</v>
      </c>
    </row>
    <row r="3146" spans="1:5" x14ac:dyDescent="0.25">
      <c r="A3146" s="4" t="s">
        <v>7</v>
      </c>
      <c r="B3146" s="4" t="s">
        <v>8681</v>
      </c>
      <c r="C3146" s="1" t="s">
        <v>8682</v>
      </c>
      <c r="D3146" s="1" t="s">
        <v>8683</v>
      </c>
      <c r="E3146" s="6">
        <v>1</v>
      </c>
    </row>
    <row r="3147" spans="1:5" x14ac:dyDescent="0.25">
      <c r="A3147" s="4" t="s">
        <v>7</v>
      </c>
      <c r="B3147" s="4" t="s">
        <v>8684</v>
      </c>
      <c r="C3147" s="1" t="s">
        <v>8685</v>
      </c>
      <c r="D3147" s="1" t="s">
        <v>8683</v>
      </c>
      <c r="E3147" s="6">
        <v>3</v>
      </c>
    </row>
    <row r="3148" spans="1:5" x14ac:dyDescent="0.25">
      <c r="A3148" s="4" t="s">
        <v>7</v>
      </c>
      <c r="B3148" s="4" t="s">
        <v>8686</v>
      </c>
      <c r="C3148" s="1" t="s">
        <v>8687</v>
      </c>
      <c r="D3148" s="1" t="s">
        <v>8688</v>
      </c>
      <c r="E3148" s="6">
        <v>13</v>
      </c>
    </row>
    <row r="3149" spans="1:5" x14ac:dyDescent="0.25">
      <c r="A3149" s="4" t="s">
        <v>7</v>
      </c>
      <c r="B3149" s="4" t="s">
        <v>8689</v>
      </c>
      <c r="C3149" s="1" t="s">
        <v>8690</v>
      </c>
      <c r="D3149" s="1" t="s">
        <v>8691</v>
      </c>
      <c r="E3149" s="6">
        <v>6</v>
      </c>
    </row>
    <row r="3150" spans="1:5" x14ac:dyDescent="0.25">
      <c r="A3150" s="4" t="s">
        <v>7</v>
      </c>
      <c r="B3150" s="4" t="s">
        <v>8692</v>
      </c>
      <c r="C3150" s="1" t="s">
        <v>8693</v>
      </c>
      <c r="D3150" s="1" t="s">
        <v>8691</v>
      </c>
      <c r="E3150" s="6">
        <v>2</v>
      </c>
    </row>
    <row r="3151" spans="1:5" x14ac:dyDescent="0.25">
      <c r="A3151" s="4" t="s">
        <v>7</v>
      </c>
      <c r="B3151" s="4" t="s">
        <v>8694</v>
      </c>
      <c r="C3151" s="1" t="s">
        <v>8695</v>
      </c>
      <c r="D3151" s="1" t="s">
        <v>8696</v>
      </c>
      <c r="E3151" s="6">
        <v>152</v>
      </c>
    </row>
    <row r="3152" spans="1:5" x14ac:dyDescent="0.25">
      <c r="A3152" s="4" t="s">
        <v>7</v>
      </c>
      <c r="B3152" s="4" t="s">
        <v>8697</v>
      </c>
      <c r="C3152" s="1" t="s">
        <v>8698</v>
      </c>
      <c r="D3152" s="1" t="s">
        <v>8699</v>
      </c>
      <c r="E3152" s="6">
        <v>945</v>
      </c>
    </row>
    <row r="3153" spans="1:5" x14ac:dyDescent="0.25">
      <c r="A3153" s="4" t="s">
        <v>7</v>
      </c>
      <c r="B3153" s="4" t="s">
        <v>8700</v>
      </c>
      <c r="C3153" s="1" t="s">
        <v>8701</v>
      </c>
      <c r="D3153" s="1" t="s">
        <v>8702</v>
      </c>
      <c r="E3153" s="6">
        <v>330</v>
      </c>
    </row>
    <row r="3154" spans="1:5" x14ac:dyDescent="0.25">
      <c r="A3154" s="4" t="s">
        <v>7</v>
      </c>
      <c r="B3154" s="4" t="s">
        <v>8703</v>
      </c>
      <c r="C3154" s="1" t="s">
        <v>8704</v>
      </c>
      <c r="D3154" s="1" t="s">
        <v>8705</v>
      </c>
      <c r="E3154" s="6">
        <v>697</v>
      </c>
    </row>
    <row r="3155" spans="1:5" x14ac:dyDescent="0.25">
      <c r="A3155" s="4" t="s">
        <v>7</v>
      </c>
      <c r="B3155" s="4" t="s">
        <v>8706</v>
      </c>
      <c r="C3155" s="1" t="s">
        <v>8707</v>
      </c>
      <c r="D3155" s="1" t="s">
        <v>8708</v>
      </c>
      <c r="E3155" s="6">
        <v>797</v>
      </c>
    </row>
    <row r="3156" spans="1:5" x14ac:dyDescent="0.25">
      <c r="A3156" s="4" t="s">
        <v>7</v>
      </c>
      <c r="B3156" s="4" t="s">
        <v>8709</v>
      </c>
      <c r="C3156" s="1" t="s">
        <v>8710</v>
      </c>
      <c r="D3156" s="1" t="s">
        <v>8711</v>
      </c>
      <c r="E3156" s="6">
        <v>229</v>
      </c>
    </row>
    <row r="3157" spans="1:5" x14ac:dyDescent="0.25">
      <c r="A3157" s="4" t="s">
        <v>7</v>
      </c>
      <c r="B3157" s="4" t="s">
        <v>8712</v>
      </c>
      <c r="C3157" s="1" t="s">
        <v>8713</v>
      </c>
      <c r="D3157" s="1" t="s">
        <v>8714</v>
      </c>
      <c r="E3157" s="6">
        <v>224</v>
      </c>
    </row>
    <row r="3158" spans="1:5" x14ac:dyDescent="0.25">
      <c r="A3158" s="4" t="s">
        <v>7</v>
      </c>
      <c r="B3158" s="4" t="s">
        <v>8715</v>
      </c>
      <c r="C3158" s="1" t="s">
        <v>8716</v>
      </c>
      <c r="D3158" s="1" t="s">
        <v>8717</v>
      </c>
      <c r="E3158" s="6">
        <v>310</v>
      </c>
    </row>
    <row r="3159" spans="1:5" x14ac:dyDescent="0.25">
      <c r="A3159" s="4" t="s">
        <v>7</v>
      </c>
      <c r="B3159" s="4" t="s">
        <v>8718</v>
      </c>
      <c r="C3159" s="1" t="s">
        <v>8719</v>
      </c>
      <c r="D3159" s="1" t="s">
        <v>8720</v>
      </c>
      <c r="E3159" s="6">
        <v>234</v>
      </c>
    </row>
    <row r="3160" spans="1:5" x14ac:dyDescent="0.25">
      <c r="A3160" s="4" t="s">
        <v>7</v>
      </c>
      <c r="B3160" s="4" t="s">
        <v>8721</v>
      </c>
      <c r="C3160" s="1" t="s">
        <v>8722</v>
      </c>
      <c r="D3160" s="1" t="s">
        <v>8723</v>
      </c>
      <c r="E3160" s="6">
        <v>746</v>
      </c>
    </row>
    <row r="3161" spans="1:5" x14ac:dyDescent="0.25">
      <c r="A3161" s="4" t="s">
        <v>7</v>
      </c>
      <c r="B3161" s="4" t="s">
        <v>8724</v>
      </c>
      <c r="C3161" s="1" t="s">
        <v>8725</v>
      </c>
      <c r="D3161" s="1" t="s">
        <v>8726</v>
      </c>
      <c r="E3161" s="6">
        <v>241</v>
      </c>
    </row>
    <row r="3162" spans="1:5" x14ac:dyDescent="0.25">
      <c r="A3162" s="4" t="s">
        <v>7</v>
      </c>
      <c r="B3162" s="4" t="s">
        <v>8727</v>
      </c>
      <c r="C3162" s="1" t="s">
        <v>8728</v>
      </c>
      <c r="D3162" s="1" t="s">
        <v>8729</v>
      </c>
      <c r="E3162" s="6">
        <v>30</v>
      </c>
    </row>
    <row r="3163" spans="1:5" x14ac:dyDescent="0.25">
      <c r="A3163" s="4" t="s">
        <v>7</v>
      </c>
      <c r="B3163" s="4" t="s">
        <v>8730</v>
      </c>
      <c r="C3163" s="1" t="s">
        <v>8731</v>
      </c>
      <c r="D3163" s="1" t="s">
        <v>8732</v>
      </c>
      <c r="E3163" s="6">
        <v>254</v>
      </c>
    </row>
    <row r="3164" spans="1:5" x14ac:dyDescent="0.25">
      <c r="A3164" s="4" t="s">
        <v>7</v>
      </c>
      <c r="B3164" s="4" t="s">
        <v>8733</v>
      </c>
      <c r="C3164" s="1" t="s">
        <v>8734</v>
      </c>
      <c r="D3164" s="1" t="s">
        <v>8735</v>
      </c>
      <c r="E3164" s="6">
        <v>308</v>
      </c>
    </row>
    <row r="3165" spans="1:5" x14ac:dyDescent="0.25">
      <c r="A3165" s="4" t="s">
        <v>7</v>
      </c>
      <c r="B3165" s="4" t="s">
        <v>8736</v>
      </c>
      <c r="C3165" s="1" t="s">
        <v>8737</v>
      </c>
      <c r="D3165" s="1" t="s">
        <v>8738</v>
      </c>
      <c r="E3165" s="6">
        <v>34</v>
      </c>
    </row>
    <row r="3166" spans="1:5" x14ac:dyDescent="0.25">
      <c r="A3166" s="4" t="s">
        <v>7</v>
      </c>
      <c r="B3166" s="4" t="s">
        <v>8739</v>
      </c>
      <c r="C3166" s="1" t="s">
        <v>8740</v>
      </c>
      <c r="D3166" s="1" t="s">
        <v>8741</v>
      </c>
      <c r="E3166" s="6">
        <v>30</v>
      </c>
    </row>
    <row r="3167" spans="1:5" x14ac:dyDescent="0.25">
      <c r="A3167" s="4" t="s">
        <v>7</v>
      </c>
      <c r="B3167" s="4" t="s">
        <v>8742</v>
      </c>
      <c r="C3167" s="1" t="s">
        <v>8743</v>
      </c>
      <c r="D3167" s="1" t="s">
        <v>8744</v>
      </c>
      <c r="E3167" s="6">
        <v>16</v>
      </c>
    </row>
    <row r="3168" spans="1:5" x14ac:dyDescent="0.25">
      <c r="A3168" s="4" t="s">
        <v>7</v>
      </c>
      <c r="B3168" s="4" t="s">
        <v>8745</v>
      </c>
      <c r="C3168" s="1" t="s">
        <v>8746</v>
      </c>
      <c r="D3168" s="1" t="s">
        <v>8747</v>
      </c>
      <c r="E3168" s="6">
        <v>31</v>
      </c>
    </row>
    <row r="3169" spans="1:5" x14ac:dyDescent="0.25">
      <c r="A3169" s="4" t="s">
        <v>7</v>
      </c>
      <c r="B3169" s="4" t="s">
        <v>8748</v>
      </c>
      <c r="C3169" s="1" t="s">
        <v>8749</v>
      </c>
      <c r="D3169" s="1" t="s">
        <v>8750</v>
      </c>
      <c r="E3169" s="6">
        <v>786</v>
      </c>
    </row>
    <row r="3170" spans="1:5" x14ac:dyDescent="0.25">
      <c r="A3170" s="4" t="s">
        <v>7</v>
      </c>
      <c r="B3170" s="4" t="s">
        <v>8751</v>
      </c>
      <c r="C3170" s="1" t="s">
        <v>8752</v>
      </c>
      <c r="D3170" s="1" t="s">
        <v>8753</v>
      </c>
      <c r="E3170" s="6">
        <v>16</v>
      </c>
    </row>
    <row r="3171" spans="1:5" x14ac:dyDescent="0.25">
      <c r="A3171" s="4" t="s">
        <v>7</v>
      </c>
      <c r="B3171" s="4" t="s">
        <v>8754</v>
      </c>
      <c r="C3171" s="1" t="s">
        <v>8755</v>
      </c>
      <c r="D3171" s="1" t="s">
        <v>8756</v>
      </c>
      <c r="E3171" s="6">
        <v>113</v>
      </c>
    </row>
    <row r="3172" spans="1:5" x14ac:dyDescent="0.25">
      <c r="A3172" s="4" t="s">
        <v>7</v>
      </c>
      <c r="B3172" s="4" t="s">
        <v>8757</v>
      </c>
      <c r="C3172" s="1" t="s">
        <v>8758</v>
      </c>
      <c r="D3172" s="1" t="s">
        <v>8759</v>
      </c>
      <c r="E3172" s="6">
        <v>113</v>
      </c>
    </row>
    <row r="3173" spans="1:5" x14ac:dyDescent="0.25">
      <c r="A3173" s="4" t="s">
        <v>7</v>
      </c>
      <c r="B3173" s="4" t="s">
        <v>8760</v>
      </c>
      <c r="C3173" s="1" t="s">
        <v>8761</v>
      </c>
      <c r="D3173" s="1" t="s">
        <v>8762</v>
      </c>
      <c r="E3173" s="6">
        <v>21</v>
      </c>
    </row>
    <row r="3174" spans="1:5" x14ac:dyDescent="0.25">
      <c r="A3174" s="4" t="s">
        <v>7</v>
      </c>
      <c r="B3174" s="4" t="s">
        <v>8763</v>
      </c>
      <c r="C3174" s="1" t="s">
        <v>8764</v>
      </c>
      <c r="D3174" s="1" t="s">
        <v>8765</v>
      </c>
      <c r="E3174" s="6">
        <v>29</v>
      </c>
    </row>
    <row r="3175" spans="1:5" x14ac:dyDescent="0.25">
      <c r="A3175" s="4" t="s">
        <v>7</v>
      </c>
      <c r="B3175" s="4" t="s">
        <v>8766</v>
      </c>
      <c r="C3175" s="1" t="s">
        <v>8767</v>
      </c>
      <c r="D3175" s="1" t="s">
        <v>8768</v>
      </c>
      <c r="E3175" s="6">
        <v>15</v>
      </c>
    </row>
    <row r="3176" spans="1:5" x14ac:dyDescent="0.25">
      <c r="A3176" s="4" t="s">
        <v>7</v>
      </c>
      <c r="B3176" s="4" t="s">
        <v>8769</v>
      </c>
      <c r="C3176" s="1" t="s">
        <v>8770</v>
      </c>
      <c r="D3176" s="1" t="s">
        <v>8771</v>
      </c>
      <c r="E3176" s="6">
        <v>15</v>
      </c>
    </row>
    <row r="3177" spans="1:5" x14ac:dyDescent="0.25">
      <c r="A3177" s="4" t="s">
        <v>7</v>
      </c>
      <c r="B3177" s="4" t="s">
        <v>8772</v>
      </c>
      <c r="C3177" s="1" t="s">
        <v>8773</v>
      </c>
      <c r="D3177" s="1" t="s">
        <v>8774</v>
      </c>
      <c r="E3177" s="6">
        <v>501</v>
      </c>
    </row>
    <row r="3178" spans="1:5" x14ac:dyDescent="0.25">
      <c r="A3178" s="4" t="s">
        <v>7</v>
      </c>
      <c r="B3178" s="4" t="s">
        <v>8775</v>
      </c>
      <c r="C3178" s="1" t="s">
        <v>8776</v>
      </c>
      <c r="D3178" s="1" t="s">
        <v>8777</v>
      </c>
      <c r="E3178" s="6">
        <v>9</v>
      </c>
    </row>
    <row r="3179" spans="1:5" x14ac:dyDescent="0.25">
      <c r="A3179" s="4" t="s">
        <v>7</v>
      </c>
      <c r="B3179" s="4" t="s">
        <v>8778</v>
      </c>
      <c r="C3179" s="1" t="s">
        <v>8779</v>
      </c>
      <c r="D3179" s="1" t="s">
        <v>8780</v>
      </c>
      <c r="E3179" s="6">
        <v>21</v>
      </c>
    </row>
    <row r="3180" spans="1:5" x14ac:dyDescent="0.25">
      <c r="A3180" s="4" t="s">
        <v>7</v>
      </c>
      <c r="B3180" s="4" t="s">
        <v>8781</v>
      </c>
      <c r="C3180" s="1" t="s">
        <v>8782</v>
      </c>
      <c r="D3180" s="1" t="s">
        <v>8782</v>
      </c>
      <c r="E3180" s="6">
        <v>30</v>
      </c>
    </row>
    <row r="3181" spans="1:5" x14ac:dyDescent="0.25">
      <c r="A3181" s="4" t="s">
        <v>7</v>
      </c>
      <c r="B3181" s="4" t="s">
        <v>8783</v>
      </c>
      <c r="C3181" s="1" t="s">
        <v>8784</v>
      </c>
      <c r="D3181" s="1" t="s">
        <v>8785</v>
      </c>
      <c r="E3181" s="6">
        <v>18</v>
      </c>
    </row>
    <row r="3182" spans="1:5" x14ac:dyDescent="0.25">
      <c r="A3182" s="4" t="s">
        <v>7</v>
      </c>
      <c r="B3182" s="4" t="s">
        <v>8786</v>
      </c>
      <c r="C3182" s="1" t="s">
        <v>8787</v>
      </c>
      <c r="D3182" s="1" t="s">
        <v>8788</v>
      </c>
      <c r="E3182" s="6">
        <v>22</v>
      </c>
    </row>
    <row r="3183" spans="1:5" x14ac:dyDescent="0.25">
      <c r="A3183" s="4" t="s">
        <v>7</v>
      </c>
      <c r="B3183" s="4" t="s">
        <v>8789</v>
      </c>
      <c r="C3183" s="1" t="s">
        <v>8790</v>
      </c>
      <c r="D3183" s="1" t="s">
        <v>8791</v>
      </c>
      <c r="E3183" s="6">
        <v>24</v>
      </c>
    </row>
    <row r="3184" spans="1:5" x14ac:dyDescent="0.25">
      <c r="A3184" s="4" t="s">
        <v>7</v>
      </c>
      <c r="B3184" s="4" t="s">
        <v>8792</v>
      </c>
      <c r="C3184" s="1" t="s">
        <v>8793</v>
      </c>
      <c r="D3184" s="1" t="s">
        <v>8794</v>
      </c>
      <c r="E3184" s="6">
        <v>47</v>
      </c>
    </row>
    <row r="3185" spans="1:5" x14ac:dyDescent="0.25">
      <c r="A3185" s="4" t="s">
        <v>7</v>
      </c>
      <c r="B3185" s="4" t="s">
        <v>8795</v>
      </c>
      <c r="C3185" s="1" t="s">
        <v>8796</v>
      </c>
      <c r="D3185" s="1" t="s">
        <v>8797</v>
      </c>
      <c r="E3185" s="6">
        <v>105</v>
      </c>
    </row>
    <row r="3186" spans="1:5" x14ac:dyDescent="0.25">
      <c r="A3186" s="4" t="s">
        <v>7</v>
      </c>
      <c r="B3186" s="4" t="s">
        <v>8798</v>
      </c>
      <c r="C3186" s="1" t="s">
        <v>8799</v>
      </c>
      <c r="D3186" s="1" t="s">
        <v>8800</v>
      </c>
      <c r="E3186" s="6">
        <v>105</v>
      </c>
    </row>
    <row r="3187" spans="1:5" x14ac:dyDescent="0.25">
      <c r="A3187" s="4" t="s">
        <v>7</v>
      </c>
      <c r="B3187" s="4" t="s">
        <v>8801</v>
      </c>
      <c r="C3187" s="1" t="s">
        <v>8802</v>
      </c>
      <c r="D3187" s="1" t="s">
        <v>8803</v>
      </c>
      <c r="E3187" s="6">
        <v>165</v>
      </c>
    </row>
    <row r="3188" spans="1:5" x14ac:dyDescent="0.25">
      <c r="A3188" s="4" t="s">
        <v>7</v>
      </c>
      <c r="B3188" s="4" t="s">
        <v>8804</v>
      </c>
      <c r="C3188" s="1" t="s">
        <v>8805</v>
      </c>
      <c r="D3188" s="1" t="s">
        <v>8806</v>
      </c>
      <c r="E3188" s="6">
        <v>191</v>
      </c>
    </row>
    <row r="3189" spans="1:5" x14ac:dyDescent="0.25">
      <c r="A3189" s="4" t="s">
        <v>7</v>
      </c>
      <c r="B3189" s="4" t="s">
        <v>8807</v>
      </c>
      <c r="C3189" s="1" t="s">
        <v>8808</v>
      </c>
      <c r="D3189" s="1" t="s">
        <v>8809</v>
      </c>
      <c r="E3189" s="6">
        <v>35</v>
      </c>
    </row>
    <row r="3190" spans="1:5" x14ac:dyDescent="0.25">
      <c r="A3190" s="4" t="s">
        <v>7</v>
      </c>
      <c r="B3190" s="4" t="s">
        <v>8810</v>
      </c>
      <c r="C3190" s="1" t="s">
        <v>8811</v>
      </c>
      <c r="D3190" s="1" t="s">
        <v>8812</v>
      </c>
      <c r="E3190" s="6">
        <v>30</v>
      </c>
    </row>
    <row r="3191" spans="1:5" x14ac:dyDescent="0.25">
      <c r="A3191" s="4" t="s">
        <v>7</v>
      </c>
      <c r="B3191" s="4" t="s">
        <v>8813</v>
      </c>
      <c r="C3191" s="1" t="s">
        <v>8814</v>
      </c>
      <c r="D3191" s="1" t="s">
        <v>8815</v>
      </c>
      <c r="E3191" s="6">
        <v>113</v>
      </c>
    </row>
    <row r="3192" spans="1:5" x14ac:dyDescent="0.25">
      <c r="A3192" s="4" t="s">
        <v>7</v>
      </c>
      <c r="B3192" s="4" t="s">
        <v>8816</v>
      </c>
      <c r="C3192" s="1" t="s">
        <v>8817</v>
      </c>
      <c r="D3192" s="1" t="s">
        <v>8818</v>
      </c>
      <c r="E3192" s="6">
        <v>113</v>
      </c>
    </row>
    <row r="3193" spans="1:5" x14ac:dyDescent="0.25">
      <c r="A3193" s="4" t="s">
        <v>7</v>
      </c>
      <c r="B3193" s="4" t="s">
        <v>8819</v>
      </c>
      <c r="C3193" s="1" t="s">
        <v>8820</v>
      </c>
      <c r="D3193" s="1" t="s">
        <v>8821</v>
      </c>
      <c r="E3193" s="6">
        <v>113</v>
      </c>
    </row>
    <row r="3194" spans="1:5" x14ac:dyDescent="0.25">
      <c r="A3194" s="4" t="s">
        <v>7</v>
      </c>
      <c r="B3194" s="4" t="s">
        <v>8822</v>
      </c>
      <c r="C3194" s="1" t="s">
        <v>8823</v>
      </c>
      <c r="D3194" s="1" t="s">
        <v>8824</v>
      </c>
      <c r="E3194" s="6">
        <v>113</v>
      </c>
    </row>
    <row r="3195" spans="1:5" x14ac:dyDescent="0.25">
      <c r="A3195" s="4" t="s">
        <v>7</v>
      </c>
      <c r="B3195" s="4" t="s">
        <v>8825</v>
      </c>
      <c r="C3195" s="1" t="s">
        <v>8826</v>
      </c>
      <c r="D3195" s="1" t="s">
        <v>8827</v>
      </c>
      <c r="E3195" s="6">
        <v>113</v>
      </c>
    </row>
    <row r="3196" spans="1:5" x14ac:dyDescent="0.25">
      <c r="A3196" s="4" t="s">
        <v>7</v>
      </c>
      <c r="B3196" s="4" t="s">
        <v>8828</v>
      </c>
      <c r="C3196" s="1" t="s">
        <v>8829</v>
      </c>
      <c r="D3196" s="1" t="s">
        <v>8830</v>
      </c>
      <c r="E3196" s="6">
        <v>113</v>
      </c>
    </row>
    <row r="3197" spans="1:5" x14ac:dyDescent="0.25">
      <c r="A3197" s="4" t="s">
        <v>7</v>
      </c>
      <c r="B3197" s="4" t="s">
        <v>8831</v>
      </c>
      <c r="C3197" s="1" t="s">
        <v>8832</v>
      </c>
      <c r="D3197" s="1" t="s">
        <v>8833</v>
      </c>
      <c r="E3197" s="6">
        <v>22</v>
      </c>
    </row>
    <row r="3198" spans="1:5" x14ac:dyDescent="0.25">
      <c r="A3198" s="4" t="s">
        <v>7</v>
      </c>
      <c r="B3198" s="4" t="s">
        <v>8834</v>
      </c>
      <c r="C3198" s="1" t="s">
        <v>8835</v>
      </c>
      <c r="D3198" s="1" t="s">
        <v>8836</v>
      </c>
      <c r="E3198" s="6">
        <v>24</v>
      </c>
    </row>
    <row r="3199" spans="1:5" x14ac:dyDescent="0.25">
      <c r="A3199" s="4" t="s">
        <v>7</v>
      </c>
      <c r="B3199" s="4" t="s">
        <v>8837</v>
      </c>
      <c r="C3199" s="1" t="s">
        <v>8838</v>
      </c>
      <c r="D3199" s="1" t="s">
        <v>8839</v>
      </c>
      <c r="E3199" s="6">
        <v>113</v>
      </c>
    </row>
    <row r="3200" spans="1:5" x14ac:dyDescent="0.25">
      <c r="A3200" s="4" t="s">
        <v>7</v>
      </c>
      <c r="B3200" s="4" t="s">
        <v>8840</v>
      </c>
      <c r="C3200" s="1" t="s">
        <v>8841</v>
      </c>
      <c r="D3200" s="1" t="s">
        <v>8842</v>
      </c>
      <c r="E3200" s="6">
        <v>151</v>
      </c>
    </row>
    <row r="3201" spans="1:6" x14ac:dyDescent="0.25">
      <c r="A3201" s="4" t="s">
        <v>7</v>
      </c>
      <c r="B3201" s="4" t="s">
        <v>8843</v>
      </c>
      <c r="C3201" s="1" t="s">
        <v>8844</v>
      </c>
      <c r="D3201" s="1" t="s">
        <v>8845</v>
      </c>
      <c r="E3201" s="6">
        <v>138</v>
      </c>
    </row>
    <row r="3202" spans="1:6" x14ac:dyDescent="0.25">
      <c r="A3202" s="4" t="s">
        <v>7</v>
      </c>
      <c r="B3202" s="4" t="s">
        <v>8846</v>
      </c>
      <c r="C3202" s="1" t="s">
        <v>8847</v>
      </c>
      <c r="D3202" s="1" t="s">
        <v>8848</v>
      </c>
      <c r="E3202" s="6">
        <v>152</v>
      </c>
    </row>
    <row r="3203" spans="1:6" x14ac:dyDescent="0.25">
      <c r="A3203" s="4" t="s">
        <v>7</v>
      </c>
      <c r="B3203" s="4" t="s">
        <v>8849</v>
      </c>
      <c r="C3203" s="1" t="s">
        <v>8850</v>
      </c>
      <c r="D3203" s="1" t="s">
        <v>8851</v>
      </c>
      <c r="E3203" s="6">
        <v>69</v>
      </c>
    </row>
    <row r="3204" spans="1:6" x14ac:dyDescent="0.25">
      <c r="A3204" s="4" t="s">
        <v>7</v>
      </c>
      <c r="B3204" s="4" t="s">
        <v>8852</v>
      </c>
      <c r="C3204" s="1" t="s">
        <v>8853</v>
      </c>
      <c r="D3204" s="1" t="s">
        <v>8854</v>
      </c>
      <c r="E3204" s="6">
        <v>32</v>
      </c>
    </row>
    <row r="3205" spans="1:6" x14ac:dyDescent="0.25">
      <c r="A3205" s="4" t="s">
        <v>7</v>
      </c>
      <c r="B3205" s="4" t="s">
        <v>8855</v>
      </c>
      <c r="C3205" s="1" t="s">
        <v>8856</v>
      </c>
      <c r="D3205" s="1" t="s">
        <v>8857</v>
      </c>
      <c r="E3205" s="6">
        <v>32</v>
      </c>
    </row>
    <row r="3206" spans="1:6" x14ac:dyDescent="0.25">
      <c r="A3206" s="4" t="s">
        <v>7</v>
      </c>
      <c r="B3206" s="4" t="s">
        <v>8858</v>
      </c>
      <c r="C3206" s="1" t="s">
        <v>8859</v>
      </c>
      <c r="D3206" s="1" t="s">
        <v>8860</v>
      </c>
      <c r="E3206" s="6">
        <v>32</v>
      </c>
    </row>
    <row r="3207" spans="1:6" x14ac:dyDescent="0.25">
      <c r="A3207" s="4" t="s">
        <v>7</v>
      </c>
      <c r="B3207" s="4" t="s">
        <v>8861</v>
      </c>
      <c r="C3207" s="1" t="s">
        <v>8862</v>
      </c>
      <c r="D3207" s="1" t="s">
        <v>8863</v>
      </c>
      <c r="E3207" s="6">
        <v>981</v>
      </c>
    </row>
    <row r="3208" spans="1:6" x14ac:dyDescent="0.25">
      <c r="A3208" s="4" t="s">
        <v>7</v>
      </c>
      <c r="B3208" s="4" t="s">
        <v>8864</v>
      </c>
      <c r="C3208" s="1" t="s">
        <v>8865</v>
      </c>
      <c r="D3208" s="1" t="s">
        <v>8866</v>
      </c>
      <c r="E3208" s="6">
        <v>981</v>
      </c>
    </row>
    <row r="3209" spans="1:6" x14ac:dyDescent="0.25">
      <c r="A3209" s="4" t="s">
        <v>7</v>
      </c>
      <c r="B3209" s="4" t="s">
        <v>8867</v>
      </c>
      <c r="C3209" s="1" t="s">
        <v>8868</v>
      </c>
      <c r="D3209" s="1" t="s">
        <v>8869</v>
      </c>
      <c r="E3209" s="6">
        <v>488</v>
      </c>
    </row>
    <row r="3210" spans="1:6" x14ac:dyDescent="0.25">
      <c r="A3210" s="4" t="s">
        <v>7</v>
      </c>
      <c r="B3210" s="4" t="s">
        <v>8870</v>
      </c>
      <c r="C3210" s="1" t="s">
        <v>8871</v>
      </c>
      <c r="D3210" s="1" t="s">
        <v>8872</v>
      </c>
      <c r="E3210" s="6">
        <v>354</v>
      </c>
    </row>
    <row r="3211" spans="1:6" x14ac:dyDescent="0.25">
      <c r="A3211" s="4" t="s">
        <v>7</v>
      </c>
      <c r="B3211" s="4" t="s">
        <v>8873</v>
      </c>
      <c r="C3211" s="1" t="s">
        <v>8874</v>
      </c>
      <c r="D3211" s="1" t="s">
        <v>8875</v>
      </c>
      <c r="E3211" s="6">
        <v>354</v>
      </c>
    </row>
    <row r="3212" spans="1:6" x14ac:dyDescent="0.25">
      <c r="A3212" s="4" t="s">
        <v>7</v>
      </c>
      <c r="B3212" s="4" t="s">
        <v>8876</v>
      </c>
      <c r="C3212" s="1" t="s">
        <v>8877</v>
      </c>
      <c r="D3212" s="1" t="s">
        <v>8878</v>
      </c>
      <c r="E3212" s="6">
        <v>354</v>
      </c>
    </row>
    <row r="3213" spans="1:6" x14ac:dyDescent="0.25">
      <c r="A3213" s="4" t="s">
        <v>7</v>
      </c>
      <c r="B3213" s="4" t="s">
        <v>8879</v>
      </c>
      <c r="C3213" s="1" t="s">
        <v>8880</v>
      </c>
      <c r="D3213" s="1" t="s">
        <v>8881</v>
      </c>
      <c r="E3213" s="6">
        <v>1518</v>
      </c>
      <c r="F3213" s="4" t="s">
        <v>131</v>
      </c>
    </row>
    <row r="3214" spans="1:6" x14ac:dyDescent="0.25">
      <c r="A3214" s="4" t="s">
        <v>7</v>
      </c>
      <c r="B3214" s="4" t="s">
        <v>8882</v>
      </c>
      <c r="C3214" s="1" t="s">
        <v>8883</v>
      </c>
      <c r="D3214" s="1" t="s">
        <v>8884</v>
      </c>
      <c r="E3214" s="6">
        <v>50</v>
      </c>
    </row>
    <row r="3215" spans="1:6" x14ac:dyDescent="0.25">
      <c r="A3215" s="4" t="s">
        <v>7</v>
      </c>
      <c r="B3215" s="4" t="s">
        <v>8885</v>
      </c>
      <c r="C3215" s="1" t="s">
        <v>3572</v>
      </c>
      <c r="D3215" s="1" t="s">
        <v>3572</v>
      </c>
      <c r="E3215" s="6">
        <v>659</v>
      </c>
    </row>
    <row r="3216" spans="1:6" x14ac:dyDescent="0.25">
      <c r="A3216" s="4" t="s">
        <v>7</v>
      </c>
      <c r="B3216" s="4" t="s">
        <v>8886</v>
      </c>
      <c r="C3216" s="1" t="s">
        <v>8887</v>
      </c>
      <c r="D3216" s="1" t="s">
        <v>8887</v>
      </c>
      <c r="E3216" s="6">
        <v>1566</v>
      </c>
    </row>
    <row r="3217" spans="1:5" x14ac:dyDescent="0.25">
      <c r="A3217" s="4" t="s">
        <v>7</v>
      </c>
      <c r="B3217" s="4" t="s">
        <v>8888</v>
      </c>
      <c r="C3217" s="1" t="s">
        <v>8889</v>
      </c>
      <c r="D3217" s="1" t="s">
        <v>8889</v>
      </c>
      <c r="E3217" s="6">
        <v>408</v>
      </c>
    </row>
    <row r="3218" spans="1:5" x14ac:dyDescent="0.25">
      <c r="A3218" s="4" t="s">
        <v>7</v>
      </c>
      <c r="B3218" s="4" t="s">
        <v>8890</v>
      </c>
      <c r="C3218" s="1" t="s">
        <v>8891</v>
      </c>
      <c r="D3218" s="1" t="s">
        <v>8892</v>
      </c>
      <c r="E3218" s="6">
        <v>488</v>
      </c>
    </row>
    <row r="3219" spans="1:5" x14ac:dyDescent="0.25">
      <c r="A3219" s="4" t="s">
        <v>7</v>
      </c>
      <c r="B3219" s="4" t="s">
        <v>8893</v>
      </c>
      <c r="C3219" s="1" t="s">
        <v>8894</v>
      </c>
      <c r="D3219" s="1" t="s">
        <v>8894</v>
      </c>
      <c r="E3219" s="6">
        <v>837</v>
      </c>
    </row>
    <row r="3220" spans="1:5" x14ac:dyDescent="0.25">
      <c r="A3220" s="4" t="s">
        <v>7</v>
      </c>
      <c r="B3220" s="4" t="s">
        <v>8895</v>
      </c>
      <c r="C3220" s="1" t="s">
        <v>8896</v>
      </c>
      <c r="D3220" s="1" t="s">
        <v>8896</v>
      </c>
      <c r="E3220" s="6">
        <v>3620</v>
      </c>
    </row>
    <row r="3221" spans="1:5" x14ac:dyDescent="0.25">
      <c r="A3221" s="4" t="s">
        <v>7</v>
      </c>
      <c r="B3221" s="4" t="s">
        <v>8897</v>
      </c>
      <c r="C3221" s="1" t="s">
        <v>8898</v>
      </c>
      <c r="D3221" s="1" t="s">
        <v>8899</v>
      </c>
      <c r="E3221" s="6">
        <v>3620</v>
      </c>
    </row>
    <row r="3222" spans="1:5" x14ac:dyDescent="0.25">
      <c r="A3222" s="4" t="s">
        <v>7</v>
      </c>
      <c r="B3222" s="4" t="s">
        <v>8900</v>
      </c>
      <c r="C3222" s="1" t="s">
        <v>8901</v>
      </c>
      <c r="D3222" s="1" t="s">
        <v>8902</v>
      </c>
      <c r="E3222" s="6">
        <v>2580</v>
      </c>
    </row>
    <row r="3223" spans="1:5" x14ac:dyDescent="0.25">
      <c r="A3223" s="4" t="s">
        <v>7</v>
      </c>
      <c r="B3223" s="4" t="s">
        <v>8903</v>
      </c>
      <c r="C3223" s="1" t="s">
        <v>8904</v>
      </c>
      <c r="D3223" s="1" t="s">
        <v>8905</v>
      </c>
      <c r="E3223" s="6">
        <v>7444</v>
      </c>
    </row>
    <row r="3224" spans="1:5" x14ac:dyDescent="0.25">
      <c r="A3224" s="4" t="s">
        <v>7</v>
      </c>
      <c r="B3224" s="4" t="s">
        <v>8906</v>
      </c>
      <c r="C3224" s="1" t="s">
        <v>8907</v>
      </c>
      <c r="D3224" s="1" t="s">
        <v>8908</v>
      </c>
      <c r="E3224" s="6">
        <v>407</v>
      </c>
    </row>
    <row r="3225" spans="1:5" x14ac:dyDescent="0.25">
      <c r="A3225" s="4" t="s">
        <v>7</v>
      </c>
      <c r="B3225" s="4" t="s">
        <v>8909</v>
      </c>
      <c r="C3225" s="1" t="s">
        <v>8910</v>
      </c>
      <c r="D3225" s="1" t="s">
        <v>8911</v>
      </c>
      <c r="E3225" s="6">
        <v>211</v>
      </c>
    </row>
    <row r="3226" spans="1:5" x14ac:dyDescent="0.25">
      <c r="A3226" s="4" t="s">
        <v>7</v>
      </c>
      <c r="B3226" s="4" t="s">
        <v>8912</v>
      </c>
      <c r="C3226" s="1" t="s">
        <v>8913</v>
      </c>
      <c r="D3226" s="1" t="s">
        <v>8913</v>
      </c>
      <c r="E3226" s="6">
        <v>405</v>
      </c>
    </row>
    <row r="3227" spans="1:5" x14ac:dyDescent="0.25">
      <c r="A3227" s="4" t="s">
        <v>7</v>
      </c>
      <c r="B3227" s="4" t="s">
        <v>8914</v>
      </c>
      <c r="C3227" s="1" t="s">
        <v>8915</v>
      </c>
      <c r="D3227" s="1" t="s">
        <v>8916</v>
      </c>
      <c r="E3227" s="6">
        <v>484</v>
      </c>
    </row>
    <row r="3228" spans="1:5" x14ac:dyDescent="0.25">
      <c r="A3228" s="4" t="s">
        <v>7</v>
      </c>
      <c r="B3228" s="4" t="s">
        <v>8917</v>
      </c>
      <c r="C3228" s="1" t="s">
        <v>8918</v>
      </c>
      <c r="D3228" s="1" t="s">
        <v>8918</v>
      </c>
      <c r="E3228" s="6">
        <v>423</v>
      </c>
    </row>
    <row r="3229" spans="1:5" x14ac:dyDescent="0.25">
      <c r="A3229" s="4" t="s">
        <v>7</v>
      </c>
      <c r="B3229" s="4" t="s">
        <v>8919</v>
      </c>
      <c r="C3229" s="1" t="s">
        <v>8920</v>
      </c>
      <c r="D3229" s="1" t="s">
        <v>8921</v>
      </c>
      <c r="E3229" s="6">
        <v>837</v>
      </c>
    </row>
    <row r="3230" spans="1:5" x14ac:dyDescent="0.25">
      <c r="A3230" s="4" t="s">
        <v>7</v>
      </c>
      <c r="B3230" s="4" t="s">
        <v>8922</v>
      </c>
      <c r="C3230" s="1" t="s">
        <v>8923</v>
      </c>
      <c r="D3230" s="1" t="s">
        <v>8924</v>
      </c>
      <c r="E3230" s="6">
        <v>354</v>
      </c>
    </row>
    <row r="3231" spans="1:5" x14ac:dyDescent="0.25">
      <c r="A3231" s="4" t="s">
        <v>7</v>
      </c>
      <c r="B3231" s="4" t="s">
        <v>8925</v>
      </c>
      <c r="C3231" s="1" t="s">
        <v>8926</v>
      </c>
      <c r="D3231" s="1" t="s">
        <v>8926</v>
      </c>
      <c r="E3231" s="6">
        <v>354</v>
      </c>
    </row>
    <row r="3232" spans="1:5" x14ac:dyDescent="0.25">
      <c r="A3232" s="4" t="s">
        <v>7</v>
      </c>
      <c r="B3232" s="4" t="s">
        <v>8927</v>
      </c>
      <c r="C3232" s="1" t="s">
        <v>8928</v>
      </c>
      <c r="D3232" s="1" t="s">
        <v>8928</v>
      </c>
      <c r="E3232" s="6">
        <v>255</v>
      </c>
    </row>
    <row r="3233" spans="1:5" x14ac:dyDescent="0.25">
      <c r="A3233" s="4" t="s">
        <v>7</v>
      </c>
      <c r="B3233" s="4" t="s">
        <v>8929</v>
      </c>
      <c r="C3233" s="1" t="s">
        <v>2406</v>
      </c>
      <c r="D3233" s="1" t="s">
        <v>2406</v>
      </c>
      <c r="E3233" s="6">
        <v>225</v>
      </c>
    </row>
    <row r="3234" spans="1:5" x14ac:dyDescent="0.25">
      <c r="A3234" s="4" t="s">
        <v>7</v>
      </c>
      <c r="B3234" s="4" t="s">
        <v>8930</v>
      </c>
      <c r="C3234" s="1" t="s">
        <v>8931</v>
      </c>
      <c r="D3234" s="1" t="s">
        <v>8932</v>
      </c>
      <c r="E3234" s="6">
        <v>1565</v>
      </c>
    </row>
    <row r="3235" spans="1:5" x14ac:dyDescent="0.25">
      <c r="A3235" s="4" t="s">
        <v>7</v>
      </c>
      <c r="B3235" s="4" t="s">
        <v>8933</v>
      </c>
      <c r="C3235" s="1" t="s">
        <v>8934</v>
      </c>
      <c r="D3235" s="1" t="s">
        <v>8935</v>
      </c>
      <c r="E3235" s="6">
        <v>274</v>
      </c>
    </row>
    <row r="3236" spans="1:5" x14ac:dyDescent="0.25">
      <c r="A3236" s="4" t="s">
        <v>7</v>
      </c>
      <c r="B3236" s="4" t="s">
        <v>8936</v>
      </c>
      <c r="C3236" s="1" t="s">
        <v>8937</v>
      </c>
      <c r="D3236" s="1" t="s">
        <v>8938</v>
      </c>
      <c r="E3236" s="6">
        <v>274</v>
      </c>
    </row>
    <row r="3237" spans="1:5" x14ac:dyDescent="0.25">
      <c r="A3237" s="4" t="s">
        <v>7</v>
      </c>
      <c r="B3237" s="4" t="s">
        <v>8939</v>
      </c>
      <c r="C3237" s="1" t="s">
        <v>8940</v>
      </c>
      <c r="D3237" s="1" t="s">
        <v>8941</v>
      </c>
      <c r="E3237" s="6">
        <v>981</v>
      </c>
    </row>
    <row r="3238" spans="1:5" x14ac:dyDescent="0.25">
      <c r="A3238" s="4" t="s">
        <v>7</v>
      </c>
      <c r="B3238" s="4" t="s">
        <v>8942</v>
      </c>
      <c r="C3238" s="1" t="s">
        <v>8943</v>
      </c>
      <c r="D3238" s="1" t="s">
        <v>8944</v>
      </c>
      <c r="E3238" s="6">
        <v>981</v>
      </c>
    </row>
    <row r="3239" spans="1:5" x14ac:dyDescent="0.25">
      <c r="A3239" s="4" t="s">
        <v>7</v>
      </c>
      <c r="B3239" s="4" t="s">
        <v>8945</v>
      </c>
      <c r="C3239" s="1" t="s">
        <v>8946</v>
      </c>
      <c r="D3239" s="1" t="s">
        <v>8947</v>
      </c>
      <c r="E3239" s="6">
        <v>837</v>
      </c>
    </row>
    <row r="3240" spans="1:5" x14ac:dyDescent="0.25">
      <c r="A3240" s="4" t="s">
        <v>7</v>
      </c>
      <c r="B3240" s="4" t="s">
        <v>8948</v>
      </c>
      <c r="C3240" s="1" t="s">
        <v>8949</v>
      </c>
      <c r="D3240" s="1" t="s">
        <v>8950</v>
      </c>
      <c r="E3240" s="6">
        <v>837</v>
      </c>
    </row>
    <row r="3241" spans="1:5" x14ac:dyDescent="0.25">
      <c r="A3241" s="4" t="s">
        <v>7</v>
      </c>
      <c r="B3241" s="4" t="s">
        <v>8951</v>
      </c>
      <c r="C3241" s="1" t="s">
        <v>8952</v>
      </c>
      <c r="D3241" s="1" t="s">
        <v>8953</v>
      </c>
      <c r="E3241" s="6">
        <v>837</v>
      </c>
    </row>
    <row r="3242" spans="1:5" x14ac:dyDescent="0.25">
      <c r="A3242" s="4" t="s">
        <v>7</v>
      </c>
      <c r="B3242" s="4" t="s">
        <v>8954</v>
      </c>
      <c r="C3242" s="1" t="s">
        <v>8955</v>
      </c>
      <c r="D3242" s="1" t="s">
        <v>8956</v>
      </c>
      <c r="E3242" s="6">
        <v>1025</v>
      </c>
    </row>
    <row r="3243" spans="1:5" x14ac:dyDescent="0.25">
      <c r="A3243" s="4" t="s">
        <v>7</v>
      </c>
      <c r="B3243" s="4" t="s">
        <v>8957</v>
      </c>
      <c r="C3243" s="1" t="s">
        <v>8958</v>
      </c>
      <c r="D3243" s="1" t="s">
        <v>8956</v>
      </c>
      <c r="E3243" s="6">
        <v>993</v>
      </c>
    </row>
    <row r="3244" spans="1:5" x14ac:dyDescent="0.25">
      <c r="A3244" s="4" t="s">
        <v>7</v>
      </c>
      <c r="B3244" s="4" t="s">
        <v>8959</v>
      </c>
      <c r="C3244" s="1" t="s">
        <v>8960</v>
      </c>
      <c r="D3244" s="1" t="s">
        <v>8961</v>
      </c>
      <c r="E3244" s="6">
        <v>254</v>
      </c>
    </row>
    <row r="3245" spans="1:5" x14ac:dyDescent="0.25">
      <c r="A3245" s="4" t="s">
        <v>7</v>
      </c>
      <c r="B3245" s="4" t="s">
        <v>8962</v>
      </c>
      <c r="C3245" s="1" t="s">
        <v>8963</v>
      </c>
      <c r="D3245" s="1" t="s">
        <v>8964</v>
      </c>
      <c r="E3245" s="6">
        <v>135</v>
      </c>
    </row>
    <row r="3246" spans="1:5" x14ac:dyDescent="0.25">
      <c r="A3246" s="4" t="s">
        <v>7</v>
      </c>
      <c r="B3246" s="4" t="s">
        <v>8965</v>
      </c>
      <c r="C3246" s="1" t="s">
        <v>8966</v>
      </c>
      <c r="D3246" s="1" t="s">
        <v>8967</v>
      </c>
      <c r="E3246" s="6">
        <v>594</v>
      </c>
    </row>
    <row r="3247" spans="1:5" x14ac:dyDescent="0.25">
      <c r="A3247" s="4" t="s">
        <v>7</v>
      </c>
      <c r="B3247" s="4" t="s">
        <v>8968</v>
      </c>
      <c r="C3247" s="1" t="s">
        <v>8969</v>
      </c>
      <c r="D3247" s="1" t="s">
        <v>8970</v>
      </c>
      <c r="E3247" s="6">
        <v>961</v>
      </c>
    </row>
    <row r="3248" spans="1:5" x14ac:dyDescent="0.25">
      <c r="A3248" s="4" t="s">
        <v>7</v>
      </c>
      <c r="B3248" s="4" t="s">
        <v>8971</v>
      </c>
      <c r="C3248" s="1" t="s">
        <v>8972</v>
      </c>
      <c r="D3248" s="1" t="s">
        <v>8970</v>
      </c>
      <c r="E3248" s="6">
        <v>3740</v>
      </c>
    </row>
    <row r="3249" spans="1:6" x14ac:dyDescent="0.25">
      <c r="A3249" s="4" t="s">
        <v>7</v>
      </c>
      <c r="B3249" s="4" t="s">
        <v>8973</v>
      </c>
      <c r="C3249" s="1" t="s">
        <v>8974</v>
      </c>
      <c r="D3249" s="1" t="s">
        <v>8974</v>
      </c>
      <c r="E3249" s="6">
        <v>609</v>
      </c>
    </row>
    <row r="3250" spans="1:6" x14ac:dyDescent="0.25">
      <c r="A3250" s="4" t="s">
        <v>7</v>
      </c>
      <c r="B3250" s="4" t="s">
        <v>8975</v>
      </c>
      <c r="C3250" s="1" t="s">
        <v>8976</v>
      </c>
      <c r="D3250" s="1" t="s">
        <v>8976</v>
      </c>
      <c r="E3250" s="6">
        <v>609</v>
      </c>
    </row>
    <row r="3251" spans="1:6" x14ac:dyDescent="0.25">
      <c r="A3251" s="4" t="s">
        <v>7</v>
      </c>
      <c r="B3251" s="4" t="s">
        <v>8977</v>
      </c>
      <c r="C3251" s="1" t="s">
        <v>8978</v>
      </c>
      <c r="D3251" s="1" t="s">
        <v>8979</v>
      </c>
      <c r="E3251" s="6">
        <v>3740</v>
      </c>
      <c r="F3251" s="4" t="s">
        <v>131</v>
      </c>
    </row>
    <row r="3252" spans="1:6" x14ac:dyDescent="0.25">
      <c r="A3252" s="4" t="s">
        <v>7</v>
      </c>
      <c r="B3252" s="4" t="s">
        <v>8980</v>
      </c>
      <c r="C3252" s="1" t="s">
        <v>8981</v>
      </c>
      <c r="D3252" s="1" t="s">
        <v>8982</v>
      </c>
      <c r="E3252" s="6">
        <v>961</v>
      </c>
      <c r="F3252" s="4" t="s">
        <v>131</v>
      </c>
    </row>
    <row r="3253" spans="1:6" x14ac:dyDescent="0.25">
      <c r="A3253" s="4" t="s">
        <v>7</v>
      </c>
      <c r="B3253" s="4" t="s">
        <v>8983</v>
      </c>
      <c r="C3253" s="1" t="s">
        <v>8984</v>
      </c>
      <c r="D3253" s="1" t="s">
        <v>8985</v>
      </c>
      <c r="E3253" s="6">
        <v>7038</v>
      </c>
    </row>
    <row r="3254" spans="1:6" x14ac:dyDescent="0.25">
      <c r="A3254" s="4" t="s">
        <v>7</v>
      </c>
      <c r="B3254" s="4" t="s">
        <v>8986</v>
      </c>
      <c r="C3254" s="1" t="s">
        <v>8987</v>
      </c>
      <c r="D3254" s="1" t="s">
        <v>8988</v>
      </c>
      <c r="E3254" s="6">
        <v>260</v>
      </c>
    </row>
    <row r="3255" spans="1:6" x14ac:dyDescent="0.25">
      <c r="A3255" s="4" t="s">
        <v>7</v>
      </c>
      <c r="B3255" s="4" t="s">
        <v>8989</v>
      </c>
      <c r="C3255" s="1" t="s">
        <v>8990</v>
      </c>
      <c r="D3255" s="1" t="s">
        <v>8991</v>
      </c>
      <c r="E3255" s="6">
        <v>306</v>
      </c>
    </row>
    <row r="3256" spans="1:6" x14ac:dyDescent="0.25">
      <c r="A3256" s="4" t="s">
        <v>7</v>
      </c>
      <c r="B3256" s="4" t="s">
        <v>8992</v>
      </c>
      <c r="C3256" s="1" t="s">
        <v>8993</v>
      </c>
      <c r="D3256" s="1" t="s">
        <v>8994</v>
      </c>
      <c r="E3256" s="6">
        <v>458</v>
      </c>
    </row>
    <row r="3257" spans="1:6" x14ac:dyDescent="0.25">
      <c r="A3257" s="4" t="s">
        <v>7</v>
      </c>
      <c r="B3257" s="4" t="s">
        <v>8995</v>
      </c>
      <c r="C3257" s="1" t="s">
        <v>8996</v>
      </c>
      <c r="D3257" s="1" t="s">
        <v>8997</v>
      </c>
      <c r="E3257" s="6">
        <v>612</v>
      </c>
    </row>
    <row r="3258" spans="1:6" x14ac:dyDescent="0.25">
      <c r="A3258" s="4" t="s">
        <v>7</v>
      </c>
      <c r="B3258" s="4" t="s">
        <v>8998</v>
      </c>
      <c r="C3258" s="1" t="s">
        <v>8999</v>
      </c>
      <c r="D3258" s="1" t="s">
        <v>8999</v>
      </c>
      <c r="E3258" s="6">
        <v>153</v>
      </c>
    </row>
    <row r="3259" spans="1:6" x14ac:dyDescent="0.25">
      <c r="A3259" s="4" t="s">
        <v>7</v>
      </c>
      <c r="B3259" s="4" t="s">
        <v>9000</v>
      </c>
      <c r="C3259" s="1" t="s">
        <v>9001</v>
      </c>
      <c r="D3259" s="1" t="s">
        <v>9002</v>
      </c>
      <c r="E3259" s="6">
        <v>213</v>
      </c>
    </row>
    <row r="3260" spans="1:6" x14ac:dyDescent="0.25">
      <c r="A3260" s="4" t="s">
        <v>7</v>
      </c>
      <c r="B3260" s="4" t="s">
        <v>9003</v>
      </c>
      <c r="C3260" s="1" t="s">
        <v>9004</v>
      </c>
      <c r="D3260" s="1" t="s">
        <v>9005</v>
      </c>
      <c r="E3260" s="6">
        <v>194</v>
      </c>
    </row>
    <row r="3261" spans="1:6" x14ac:dyDescent="0.25">
      <c r="A3261" s="4" t="s">
        <v>7</v>
      </c>
      <c r="B3261" s="4" t="s">
        <v>9006</v>
      </c>
      <c r="C3261" s="1" t="s">
        <v>9007</v>
      </c>
      <c r="D3261" s="1" t="s">
        <v>9008</v>
      </c>
      <c r="E3261" s="6">
        <v>89</v>
      </c>
    </row>
    <row r="3262" spans="1:6" x14ac:dyDescent="0.25">
      <c r="A3262" s="4" t="s">
        <v>7</v>
      </c>
      <c r="B3262" s="4" t="s">
        <v>9009</v>
      </c>
      <c r="C3262" s="1" t="s">
        <v>9010</v>
      </c>
      <c r="D3262" s="1" t="s">
        <v>9011</v>
      </c>
      <c r="E3262" s="6">
        <v>89</v>
      </c>
    </row>
    <row r="3263" spans="1:6" x14ac:dyDescent="0.25">
      <c r="A3263" s="4" t="s">
        <v>7</v>
      </c>
      <c r="B3263" s="4" t="s">
        <v>9012</v>
      </c>
      <c r="C3263" s="1" t="s">
        <v>9013</v>
      </c>
      <c r="D3263" s="1" t="s">
        <v>9014</v>
      </c>
      <c r="E3263" s="6">
        <v>164</v>
      </c>
    </row>
    <row r="3264" spans="1:6" x14ac:dyDescent="0.25">
      <c r="A3264" s="4" t="s">
        <v>7</v>
      </c>
      <c r="B3264" s="4" t="s">
        <v>9015</v>
      </c>
      <c r="C3264" s="1" t="s">
        <v>9016</v>
      </c>
      <c r="D3264" s="1" t="s">
        <v>9017</v>
      </c>
      <c r="E3264" s="6">
        <v>144</v>
      </c>
    </row>
    <row r="3265" spans="1:5" x14ac:dyDescent="0.25">
      <c r="A3265" s="4" t="s">
        <v>7</v>
      </c>
      <c r="B3265" s="4" t="s">
        <v>9018</v>
      </c>
      <c r="C3265" s="1" t="s">
        <v>9019</v>
      </c>
      <c r="D3265" s="1" t="s">
        <v>9020</v>
      </c>
      <c r="E3265" s="6">
        <v>786</v>
      </c>
    </row>
    <row r="3266" spans="1:5" x14ac:dyDescent="0.25">
      <c r="A3266" s="4" t="s">
        <v>7</v>
      </c>
      <c r="B3266" s="4" t="s">
        <v>9021</v>
      </c>
      <c r="C3266" s="1" t="s">
        <v>9022</v>
      </c>
      <c r="D3266" s="1" t="s">
        <v>9023</v>
      </c>
      <c r="E3266" s="6">
        <v>474</v>
      </c>
    </row>
    <row r="3267" spans="1:5" x14ac:dyDescent="0.25">
      <c r="A3267" s="4" t="s">
        <v>7</v>
      </c>
      <c r="B3267" s="4" t="s">
        <v>9024</v>
      </c>
      <c r="C3267" s="1" t="s">
        <v>9025</v>
      </c>
      <c r="D3267" s="1" t="s">
        <v>9026</v>
      </c>
      <c r="E3267" s="6">
        <v>432</v>
      </c>
    </row>
    <row r="3268" spans="1:5" x14ac:dyDescent="0.25">
      <c r="A3268" s="4" t="s">
        <v>7</v>
      </c>
      <c r="B3268" s="4" t="s">
        <v>9027</v>
      </c>
      <c r="C3268" s="1" t="s">
        <v>9028</v>
      </c>
      <c r="D3268" s="1" t="s">
        <v>9029</v>
      </c>
      <c r="E3268" s="6">
        <v>432</v>
      </c>
    </row>
    <row r="3269" spans="1:5" x14ac:dyDescent="0.25">
      <c r="A3269" s="4" t="s">
        <v>7</v>
      </c>
      <c r="B3269" s="4" t="s">
        <v>9030</v>
      </c>
      <c r="C3269" s="1" t="s">
        <v>9031</v>
      </c>
      <c r="D3269" s="1" t="s">
        <v>9032</v>
      </c>
      <c r="E3269" s="6">
        <v>261</v>
      </c>
    </row>
    <row r="3270" spans="1:5" x14ac:dyDescent="0.25">
      <c r="A3270" s="4" t="s">
        <v>7</v>
      </c>
      <c r="B3270" s="4" t="s">
        <v>9033</v>
      </c>
      <c r="C3270" s="1" t="s">
        <v>9034</v>
      </c>
      <c r="D3270" s="1" t="s">
        <v>9035</v>
      </c>
      <c r="E3270" s="6">
        <v>261</v>
      </c>
    </row>
    <row r="3271" spans="1:5" x14ac:dyDescent="0.25">
      <c r="A3271" s="4" t="s">
        <v>7</v>
      </c>
      <c r="B3271" s="4" t="s">
        <v>9036</v>
      </c>
      <c r="C3271" s="1" t="s">
        <v>9037</v>
      </c>
      <c r="D3271" s="1" t="s">
        <v>9038</v>
      </c>
      <c r="E3271" s="6">
        <v>261</v>
      </c>
    </row>
    <row r="3272" spans="1:5" x14ac:dyDescent="0.25">
      <c r="A3272" s="4" t="s">
        <v>7</v>
      </c>
      <c r="B3272" s="4" t="s">
        <v>9039</v>
      </c>
      <c r="C3272" s="1" t="s">
        <v>9040</v>
      </c>
      <c r="D3272" s="1" t="s">
        <v>9041</v>
      </c>
      <c r="E3272" s="6">
        <v>254</v>
      </c>
    </row>
    <row r="3273" spans="1:5" x14ac:dyDescent="0.25">
      <c r="A3273" s="4" t="s">
        <v>7</v>
      </c>
      <c r="B3273" s="4" t="s">
        <v>9042</v>
      </c>
      <c r="C3273" s="1" t="s">
        <v>9043</v>
      </c>
      <c r="D3273" s="1" t="s">
        <v>9044</v>
      </c>
      <c r="E3273" s="6">
        <v>254</v>
      </c>
    </row>
    <row r="3274" spans="1:5" x14ac:dyDescent="0.25">
      <c r="A3274" s="4" t="s">
        <v>7</v>
      </c>
      <c r="B3274" s="4" t="s">
        <v>9045</v>
      </c>
      <c r="C3274" s="1" t="s">
        <v>9046</v>
      </c>
      <c r="D3274" s="1" t="s">
        <v>9047</v>
      </c>
      <c r="E3274" s="6">
        <v>546</v>
      </c>
    </row>
    <row r="3275" spans="1:5" x14ac:dyDescent="0.25">
      <c r="A3275" s="4" t="s">
        <v>7</v>
      </c>
      <c r="B3275" s="4" t="s">
        <v>9048</v>
      </c>
      <c r="C3275" s="1" t="s">
        <v>9049</v>
      </c>
      <c r="D3275" s="1" t="s">
        <v>9050</v>
      </c>
      <c r="E3275" s="6">
        <v>75</v>
      </c>
    </row>
    <row r="3276" spans="1:5" x14ac:dyDescent="0.25">
      <c r="A3276" s="4" t="s">
        <v>7</v>
      </c>
      <c r="B3276" s="4" t="s">
        <v>9051</v>
      </c>
      <c r="C3276" s="1" t="s">
        <v>9052</v>
      </c>
      <c r="D3276" s="1" t="s">
        <v>9053</v>
      </c>
      <c r="E3276" s="6">
        <v>341</v>
      </c>
    </row>
    <row r="3277" spans="1:5" x14ac:dyDescent="0.25">
      <c r="A3277" s="4" t="s">
        <v>7</v>
      </c>
      <c r="B3277" s="4" t="s">
        <v>9054</v>
      </c>
      <c r="C3277" s="1" t="s">
        <v>9055</v>
      </c>
      <c r="D3277" s="1" t="s">
        <v>9056</v>
      </c>
      <c r="E3277" s="6">
        <v>347</v>
      </c>
    </row>
    <row r="3278" spans="1:5" x14ac:dyDescent="0.25">
      <c r="A3278" s="4" t="s">
        <v>7</v>
      </c>
      <c r="B3278" s="4" t="s">
        <v>9057</v>
      </c>
      <c r="C3278" s="1" t="s">
        <v>9058</v>
      </c>
      <c r="D3278" s="1" t="s">
        <v>9059</v>
      </c>
      <c r="E3278" s="6">
        <v>2640</v>
      </c>
    </row>
    <row r="3279" spans="1:5" x14ac:dyDescent="0.25">
      <c r="A3279" s="4" t="s">
        <v>7</v>
      </c>
      <c r="B3279" s="4" t="s">
        <v>9060</v>
      </c>
      <c r="C3279" s="1" t="s">
        <v>9061</v>
      </c>
      <c r="D3279" s="1" t="s">
        <v>9059</v>
      </c>
      <c r="E3279" s="6">
        <v>2640</v>
      </c>
    </row>
    <row r="3280" spans="1:5" x14ac:dyDescent="0.25">
      <c r="A3280" s="4" t="s">
        <v>7</v>
      </c>
      <c r="B3280" s="4" t="s">
        <v>9062</v>
      </c>
      <c r="C3280" s="1" t="s">
        <v>9063</v>
      </c>
      <c r="D3280" s="1" t="s">
        <v>9064</v>
      </c>
      <c r="E3280" s="6">
        <v>462</v>
      </c>
    </row>
    <row r="3281" spans="1:5" x14ac:dyDescent="0.25">
      <c r="A3281" s="4" t="s">
        <v>7</v>
      </c>
      <c r="B3281" s="4" t="s">
        <v>9065</v>
      </c>
      <c r="C3281" s="1" t="s">
        <v>9066</v>
      </c>
      <c r="D3281" s="1" t="s">
        <v>9067</v>
      </c>
      <c r="E3281" s="6">
        <v>693</v>
      </c>
    </row>
    <row r="3282" spans="1:5" x14ac:dyDescent="0.25">
      <c r="A3282" s="4" t="s">
        <v>7</v>
      </c>
      <c r="B3282" s="4" t="s">
        <v>9068</v>
      </c>
      <c r="C3282" s="1" t="s">
        <v>9069</v>
      </c>
      <c r="D3282" s="1" t="s">
        <v>9070</v>
      </c>
      <c r="E3282" s="6">
        <v>1155</v>
      </c>
    </row>
    <row r="3283" spans="1:5" x14ac:dyDescent="0.25">
      <c r="A3283" s="4" t="s">
        <v>7</v>
      </c>
      <c r="B3283" s="4" t="s">
        <v>9073</v>
      </c>
      <c r="C3283" s="1" t="s">
        <v>9074</v>
      </c>
      <c r="D3283" s="1" t="s">
        <v>9074</v>
      </c>
      <c r="E3283" s="6">
        <v>473</v>
      </c>
    </row>
    <row r="3284" spans="1:5" x14ac:dyDescent="0.25">
      <c r="A3284" s="4" t="s">
        <v>7</v>
      </c>
      <c r="B3284" s="4" t="s">
        <v>9075</v>
      </c>
      <c r="C3284" s="1" t="s">
        <v>9076</v>
      </c>
      <c r="D3284" s="1" t="s">
        <v>9077</v>
      </c>
      <c r="E3284" s="6">
        <v>4962</v>
      </c>
    </row>
    <row r="3285" spans="1:5" x14ac:dyDescent="0.25">
      <c r="A3285" s="4" t="s">
        <v>7</v>
      </c>
      <c r="B3285" s="4" t="s">
        <v>9078</v>
      </c>
      <c r="C3285" s="1" t="s">
        <v>9079</v>
      </c>
      <c r="D3285" s="1" t="s">
        <v>9079</v>
      </c>
      <c r="E3285" s="6">
        <v>929</v>
      </c>
    </row>
    <row r="3286" spans="1:5" x14ac:dyDescent="0.25">
      <c r="A3286" s="4" t="s">
        <v>7</v>
      </c>
      <c r="B3286" s="4" t="s">
        <v>9080</v>
      </c>
      <c r="C3286" s="1" t="s">
        <v>9081</v>
      </c>
      <c r="D3286" s="1" t="s">
        <v>9082</v>
      </c>
      <c r="E3286" s="6">
        <v>1394</v>
      </c>
    </row>
    <row r="3287" spans="1:5" x14ac:dyDescent="0.25">
      <c r="A3287" s="4" t="s">
        <v>7</v>
      </c>
      <c r="B3287" s="4" t="s">
        <v>9083</v>
      </c>
      <c r="C3287" s="1" t="s">
        <v>9084</v>
      </c>
      <c r="D3287" s="1" t="s">
        <v>9084</v>
      </c>
      <c r="E3287" s="6">
        <v>2626</v>
      </c>
    </row>
    <row r="3288" spans="1:5" x14ac:dyDescent="0.25">
      <c r="A3288" s="4" t="s">
        <v>7</v>
      </c>
      <c r="B3288" s="4" t="s">
        <v>9085</v>
      </c>
      <c r="C3288" s="1" t="s">
        <v>9086</v>
      </c>
      <c r="D3288" s="1" t="s">
        <v>9086</v>
      </c>
      <c r="E3288" s="6">
        <v>3815</v>
      </c>
    </row>
    <row r="3289" spans="1:5" x14ac:dyDescent="0.25">
      <c r="A3289" s="4" t="s">
        <v>7</v>
      </c>
      <c r="B3289" s="4" t="s">
        <v>9087</v>
      </c>
      <c r="C3289" s="1" t="s">
        <v>9088</v>
      </c>
      <c r="D3289" s="1" t="s">
        <v>9089</v>
      </c>
      <c r="E3289" s="6">
        <v>659</v>
      </c>
    </row>
    <row r="3290" spans="1:5" x14ac:dyDescent="0.25">
      <c r="A3290" s="4" t="s">
        <v>7</v>
      </c>
      <c r="B3290" s="4" t="s">
        <v>9090</v>
      </c>
      <c r="C3290" s="1" t="s">
        <v>9091</v>
      </c>
      <c r="D3290" s="1" t="s">
        <v>9092</v>
      </c>
      <c r="E3290" s="6">
        <v>1419</v>
      </c>
    </row>
    <row r="3291" spans="1:5" x14ac:dyDescent="0.25">
      <c r="A3291" s="4" t="s">
        <v>7</v>
      </c>
      <c r="B3291" s="4" t="s">
        <v>9093</v>
      </c>
      <c r="C3291" s="1" t="s">
        <v>9094</v>
      </c>
      <c r="D3291" s="1" t="s">
        <v>9095</v>
      </c>
      <c r="E3291" s="6">
        <v>616</v>
      </c>
    </row>
    <row r="3292" spans="1:5" x14ac:dyDescent="0.25">
      <c r="A3292" s="4" t="s">
        <v>7</v>
      </c>
      <c r="B3292" s="4" t="s">
        <v>9096</v>
      </c>
      <c r="C3292" s="1" t="s">
        <v>9097</v>
      </c>
      <c r="D3292" s="1" t="s">
        <v>9098</v>
      </c>
      <c r="E3292" s="6">
        <v>267</v>
      </c>
    </row>
    <row r="3293" spans="1:5" x14ac:dyDescent="0.25">
      <c r="A3293" s="4" t="s">
        <v>7</v>
      </c>
      <c r="B3293" s="4" t="s">
        <v>9099</v>
      </c>
      <c r="C3293" s="1" t="s">
        <v>9100</v>
      </c>
      <c r="D3293" s="1" t="s">
        <v>9101</v>
      </c>
      <c r="E3293" s="6">
        <v>560</v>
      </c>
    </row>
    <row r="3294" spans="1:5" x14ac:dyDescent="0.25">
      <c r="A3294" s="4" t="s">
        <v>7</v>
      </c>
      <c r="B3294" s="4" t="s">
        <v>9102</v>
      </c>
      <c r="C3294" s="1" t="s">
        <v>9103</v>
      </c>
      <c r="D3294" s="1" t="s">
        <v>9104</v>
      </c>
      <c r="E3294" s="6">
        <v>250</v>
      </c>
    </row>
    <row r="3295" spans="1:5" x14ac:dyDescent="0.25">
      <c r="A3295" s="4" t="s">
        <v>7</v>
      </c>
      <c r="B3295" s="4" t="s">
        <v>9105</v>
      </c>
      <c r="C3295" s="1" t="s">
        <v>9106</v>
      </c>
      <c r="D3295" s="1" t="s">
        <v>9107</v>
      </c>
      <c r="E3295" s="6">
        <v>228</v>
      </c>
    </row>
    <row r="3296" spans="1:5" x14ac:dyDescent="0.25">
      <c r="A3296" s="4" t="s">
        <v>7</v>
      </c>
      <c r="B3296" s="4" t="s">
        <v>9108</v>
      </c>
      <c r="C3296" s="1" t="s">
        <v>9109</v>
      </c>
      <c r="D3296" s="1" t="s">
        <v>9110</v>
      </c>
      <c r="E3296" s="6">
        <v>148</v>
      </c>
    </row>
    <row r="3297" spans="1:5" x14ac:dyDescent="0.25">
      <c r="A3297" s="4" t="s">
        <v>7</v>
      </c>
      <c r="B3297" s="4" t="s">
        <v>9111</v>
      </c>
      <c r="C3297" s="1" t="s">
        <v>9112</v>
      </c>
      <c r="D3297" s="1" t="s">
        <v>9113</v>
      </c>
      <c r="E3297" s="6">
        <v>397</v>
      </c>
    </row>
    <row r="3298" spans="1:5" x14ac:dyDescent="0.25">
      <c r="A3298" s="4" t="s">
        <v>7</v>
      </c>
      <c r="B3298" s="4" t="s">
        <v>9114</v>
      </c>
      <c r="C3298" s="1" t="s">
        <v>9115</v>
      </c>
      <c r="D3298" s="1" t="s">
        <v>9116</v>
      </c>
      <c r="E3298" s="6">
        <v>139</v>
      </c>
    </row>
    <row r="3299" spans="1:5" x14ac:dyDescent="0.25">
      <c r="A3299" s="4" t="s">
        <v>7</v>
      </c>
      <c r="B3299" s="4" t="s">
        <v>9117</v>
      </c>
      <c r="C3299" s="1" t="s">
        <v>9118</v>
      </c>
      <c r="D3299" s="1" t="s">
        <v>9119</v>
      </c>
      <c r="E3299" s="6">
        <v>251</v>
      </c>
    </row>
    <row r="3300" spans="1:5" x14ac:dyDescent="0.25">
      <c r="A3300" s="4" t="s">
        <v>7</v>
      </c>
      <c r="B3300" s="4" t="s">
        <v>9120</v>
      </c>
      <c r="C3300" s="1" t="s">
        <v>9121</v>
      </c>
      <c r="D3300" s="1" t="s">
        <v>9122</v>
      </c>
      <c r="E3300" s="6">
        <v>167</v>
      </c>
    </row>
    <row r="3301" spans="1:5" x14ac:dyDescent="0.25">
      <c r="A3301" s="4" t="s">
        <v>7</v>
      </c>
      <c r="B3301" s="4" t="s">
        <v>9123</v>
      </c>
      <c r="C3301" s="1" t="s">
        <v>9124</v>
      </c>
      <c r="D3301" s="1" t="s">
        <v>9125</v>
      </c>
      <c r="E3301" s="6">
        <v>1657</v>
      </c>
    </row>
    <row r="3302" spans="1:5" x14ac:dyDescent="0.25">
      <c r="A3302" s="4" t="s">
        <v>7</v>
      </c>
      <c r="B3302" s="4" t="s">
        <v>9126</v>
      </c>
      <c r="C3302" s="1" t="s">
        <v>9127</v>
      </c>
      <c r="D3302" s="1" t="s">
        <v>9128</v>
      </c>
      <c r="E3302" s="6">
        <v>2166</v>
      </c>
    </row>
    <row r="3303" spans="1:5" x14ac:dyDescent="0.25">
      <c r="A3303" s="4" t="s">
        <v>7</v>
      </c>
      <c r="B3303" s="4" t="s">
        <v>9129</v>
      </c>
      <c r="C3303" s="1" t="s">
        <v>9130</v>
      </c>
      <c r="D3303" s="1" t="s">
        <v>9131</v>
      </c>
      <c r="E3303" s="6">
        <v>2492</v>
      </c>
    </row>
    <row r="3304" spans="1:5" x14ac:dyDescent="0.25">
      <c r="A3304" s="4" t="s">
        <v>7</v>
      </c>
      <c r="B3304" s="4" t="s">
        <v>9132</v>
      </c>
      <c r="C3304" s="1" t="s">
        <v>9133</v>
      </c>
      <c r="D3304" s="1" t="s">
        <v>9134</v>
      </c>
      <c r="E3304" s="6">
        <v>75</v>
      </c>
    </row>
    <row r="3305" spans="1:5" x14ac:dyDescent="0.25">
      <c r="A3305" s="4" t="s">
        <v>7</v>
      </c>
      <c r="B3305" s="4" t="s">
        <v>9135</v>
      </c>
      <c r="C3305" s="1" t="s">
        <v>9136</v>
      </c>
      <c r="D3305" s="1" t="s">
        <v>9137</v>
      </c>
      <c r="E3305" s="6">
        <v>34</v>
      </c>
    </row>
    <row r="3306" spans="1:5" x14ac:dyDescent="0.25">
      <c r="A3306" s="4" t="s">
        <v>7</v>
      </c>
      <c r="B3306" s="4" t="s">
        <v>9138</v>
      </c>
      <c r="C3306" s="1" t="s">
        <v>9139</v>
      </c>
      <c r="D3306" s="1" t="s">
        <v>9140</v>
      </c>
      <c r="E3306" s="6">
        <v>118.81</v>
      </c>
    </row>
    <row r="3307" spans="1:5" x14ac:dyDescent="0.25">
      <c r="A3307" s="4" t="s">
        <v>7</v>
      </c>
      <c r="B3307" s="4" t="s">
        <v>9141</v>
      </c>
      <c r="C3307" s="1" t="s">
        <v>9142</v>
      </c>
      <c r="D3307" s="1" t="s">
        <v>3575</v>
      </c>
      <c r="E3307" s="6">
        <v>319</v>
      </c>
    </row>
    <row r="3308" spans="1:5" x14ac:dyDescent="0.25">
      <c r="A3308" s="4" t="s">
        <v>7</v>
      </c>
      <c r="B3308" s="4" t="s">
        <v>9143</v>
      </c>
      <c r="C3308" s="1" t="s">
        <v>3574</v>
      </c>
      <c r="D3308" s="1" t="s">
        <v>3575</v>
      </c>
      <c r="E3308" s="6">
        <v>182</v>
      </c>
    </row>
    <row r="3309" spans="1:5" x14ac:dyDescent="0.25">
      <c r="A3309" s="4" t="s">
        <v>7</v>
      </c>
      <c r="B3309" s="4" t="s">
        <v>9144</v>
      </c>
      <c r="C3309" s="1" t="s">
        <v>3577</v>
      </c>
      <c r="D3309" s="1" t="s">
        <v>3578</v>
      </c>
      <c r="E3309" s="6">
        <v>157</v>
      </c>
    </row>
    <row r="3310" spans="1:5" x14ac:dyDescent="0.25">
      <c r="A3310" s="4" t="s">
        <v>7</v>
      </c>
      <c r="B3310" s="4" t="s">
        <v>9145</v>
      </c>
      <c r="C3310" s="1" t="s">
        <v>9146</v>
      </c>
      <c r="D3310" s="1" t="s">
        <v>9147</v>
      </c>
      <c r="E3310" s="6">
        <v>1964</v>
      </c>
    </row>
    <row r="3311" spans="1:5" x14ac:dyDescent="0.25">
      <c r="A3311" s="4" t="s">
        <v>7</v>
      </c>
      <c r="B3311" s="4" t="s">
        <v>9148</v>
      </c>
      <c r="C3311" s="1" t="s">
        <v>9149</v>
      </c>
      <c r="D3311" s="1" t="s">
        <v>9150</v>
      </c>
      <c r="E3311" s="6">
        <v>3118</v>
      </c>
    </row>
    <row r="3312" spans="1:5" x14ac:dyDescent="0.25">
      <c r="A3312" s="4" t="s">
        <v>7</v>
      </c>
      <c r="B3312" s="4" t="s">
        <v>9151</v>
      </c>
      <c r="C3312" s="1" t="s">
        <v>9152</v>
      </c>
      <c r="D3312" s="1" t="s">
        <v>9153</v>
      </c>
      <c r="E3312" s="6">
        <v>4620</v>
      </c>
    </row>
    <row r="3313" spans="1:5" x14ac:dyDescent="0.25">
      <c r="A3313" s="4" t="s">
        <v>7</v>
      </c>
      <c r="B3313" s="4" t="s">
        <v>9154</v>
      </c>
      <c r="C3313" s="1" t="s">
        <v>9155</v>
      </c>
      <c r="D3313" s="1" t="s">
        <v>9156</v>
      </c>
      <c r="E3313" s="6">
        <v>6352</v>
      </c>
    </row>
    <row r="3314" spans="1:5" x14ac:dyDescent="0.25">
      <c r="A3314" s="4" t="s">
        <v>7</v>
      </c>
      <c r="B3314" s="4" t="s">
        <v>9157</v>
      </c>
      <c r="C3314" s="1" t="s">
        <v>9158</v>
      </c>
      <c r="D3314" s="1" t="s">
        <v>9159</v>
      </c>
      <c r="E3314" s="6">
        <v>8316</v>
      </c>
    </row>
    <row r="3315" spans="1:5" x14ac:dyDescent="0.25">
      <c r="A3315" s="4" t="s">
        <v>7</v>
      </c>
      <c r="B3315" s="4" t="s">
        <v>9160</v>
      </c>
      <c r="C3315" s="1" t="s">
        <v>9161</v>
      </c>
      <c r="D3315" s="1" t="s">
        <v>9162</v>
      </c>
      <c r="E3315" s="6">
        <v>10395</v>
      </c>
    </row>
    <row r="3316" spans="1:5" x14ac:dyDescent="0.25">
      <c r="A3316" s="4" t="s">
        <v>7</v>
      </c>
      <c r="B3316" s="4" t="s">
        <v>9163</v>
      </c>
      <c r="C3316" s="1" t="s">
        <v>9164</v>
      </c>
      <c r="D3316" s="1" t="s">
        <v>9165</v>
      </c>
      <c r="E3316" s="6">
        <v>12705</v>
      </c>
    </row>
    <row r="3317" spans="1:5" x14ac:dyDescent="0.25">
      <c r="A3317" s="4" t="s">
        <v>7</v>
      </c>
      <c r="B3317" s="4" t="s">
        <v>9166</v>
      </c>
      <c r="C3317" s="1" t="s">
        <v>9167</v>
      </c>
      <c r="D3317" s="1" t="s">
        <v>9168</v>
      </c>
      <c r="E3317" s="6">
        <v>550</v>
      </c>
    </row>
    <row r="3318" spans="1:5" x14ac:dyDescent="0.25">
      <c r="A3318" s="4" t="s">
        <v>7</v>
      </c>
      <c r="B3318" s="4" t="s">
        <v>9169</v>
      </c>
      <c r="C3318" s="1" t="s">
        <v>9170</v>
      </c>
      <c r="D3318" s="1" t="s">
        <v>9171</v>
      </c>
      <c r="E3318" s="6">
        <v>550</v>
      </c>
    </row>
    <row r="3319" spans="1:5" x14ac:dyDescent="0.25">
      <c r="A3319" s="4" t="s">
        <v>7</v>
      </c>
      <c r="B3319" s="4" t="s">
        <v>9172</v>
      </c>
      <c r="C3319" s="1" t="s">
        <v>9173</v>
      </c>
      <c r="D3319" s="1" t="s">
        <v>9174</v>
      </c>
      <c r="E3319" s="6">
        <v>550</v>
      </c>
    </row>
    <row r="3320" spans="1:5" x14ac:dyDescent="0.25">
      <c r="A3320" s="4" t="s">
        <v>7</v>
      </c>
      <c r="B3320" s="4" t="s">
        <v>9175</v>
      </c>
      <c r="C3320" s="1" t="s">
        <v>9176</v>
      </c>
      <c r="D3320" s="1" t="s">
        <v>9177</v>
      </c>
      <c r="E3320" s="6">
        <v>550</v>
      </c>
    </row>
    <row r="3321" spans="1:5" x14ac:dyDescent="0.25">
      <c r="A3321" s="4" t="s">
        <v>7</v>
      </c>
      <c r="B3321" s="4" t="s">
        <v>9178</v>
      </c>
      <c r="C3321" s="1" t="s">
        <v>9179</v>
      </c>
      <c r="D3321" s="1" t="s">
        <v>9180</v>
      </c>
      <c r="E3321" s="6">
        <v>550</v>
      </c>
    </row>
    <row r="3322" spans="1:5" x14ac:dyDescent="0.25">
      <c r="A3322" s="4" t="s">
        <v>7</v>
      </c>
      <c r="B3322" s="4" t="s">
        <v>9181</v>
      </c>
      <c r="C3322" s="1" t="s">
        <v>9182</v>
      </c>
      <c r="D3322" s="1" t="s">
        <v>9183</v>
      </c>
      <c r="E3322" s="6">
        <v>550</v>
      </c>
    </row>
    <row r="3323" spans="1:5" x14ac:dyDescent="0.25">
      <c r="A3323" s="4" t="s">
        <v>7</v>
      </c>
      <c r="B3323" s="4" t="s">
        <v>9184</v>
      </c>
      <c r="C3323" s="1" t="s">
        <v>9185</v>
      </c>
      <c r="D3323" s="1" t="s">
        <v>9186</v>
      </c>
      <c r="E3323" s="6">
        <v>2044</v>
      </c>
    </row>
    <row r="3324" spans="1:5" x14ac:dyDescent="0.25">
      <c r="A3324" s="4" t="s">
        <v>7</v>
      </c>
      <c r="B3324" s="4" t="s">
        <v>9187</v>
      </c>
      <c r="C3324" s="1" t="s">
        <v>9188</v>
      </c>
      <c r="D3324" s="1" t="s">
        <v>9189</v>
      </c>
      <c r="E3324" s="6">
        <v>1523</v>
      </c>
    </row>
    <row r="3325" spans="1:5" x14ac:dyDescent="0.25">
      <c r="A3325" s="4" t="s">
        <v>7</v>
      </c>
      <c r="B3325" s="4" t="s">
        <v>9190</v>
      </c>
      <c r="C3325" s="1" t="s">
        <v>9049</v>
      </c>
      <c r="D3325" s="1" t="s">
        <v>9050</v>
      </c>
      <c r="E3325" s="6">
        <v>75</v>
      </c>
    </row>
    <row r="3326" spans="1:5" x14ac:dyDescent="0.25">
      <c r="A3326" s="4" t="s">
        <v>7</v>
      </c>
      <c r="B3326" s="4" t="s">
        <v>9191</v>
      </c>
      <c r="C3326" s="1" t="s">
        <v>9052</v>
      </c>
      <c r="D3326" s="1" t="s">
        <v>9053</v>
      </c>
      <c r="E3326" s="6">
        <v>75</v>
      </c>
    </row>
    <row r="3327" spans="1:5" x14ac:dyDescent="0.25">
      <c r="A3327" s="4" t="s">
        <v>7</v>
      </c>
      <c r="B3327" s="4" t="s">
        <v>9192</v>
      </c>
      <c r="C3327" s="1" t="s">
        <v>9055</v>
      </c>
      <c r="D3327" s="1" t="s">
        <v>9193</v>
      </c>
      <c r="E3327" s="6">
        <v>75</v>
      </c>
    </row>
    <row r="3328" spans="1:5" x14ac:dyDescent="0.25">
      <c r="A3328" s="4" t="s">
        <v>7</v>
      </c>
      <c r="B3328" s="4" t="s">
        <v>9194</v>
      </c>
      <c r="C3328" s="1" t="s">
        <v>9195</v>
      </c>
      <c r="D3328" s="1" t="s">
        <v>9196</v>
      </c>
      <c r="E3328" s="6">
        <v>1119</v>
      </c>
    </row>
    <row r="3329" spans="1:5" x14ac:dyDescent="0.25">
      <c r="A3329" s="4" t="s">
        <v>7</v>
      </c>
      <c r="B3329" s="4" t="s">
        <v>9197</v>
      </c>
      <c r="C3329" s="1" t="s">
        <v>9198</v>
      </c>
      <c r="D3329" s="1" t="s">
        <v>9199</v>
      </c>
      <c r="E3329" s="6">
        <v>1119</v>
      </c>
    </row>
    <row r="3330" spans="1:5" x14ac:dyDescent="0.25">
      <c r="A3330" s="4" t="s">
        <v>7</v>
      </c>
      <c r="B3330" s="4" t="s">
        <v>9200</v>
      </c>
      <c r="C3330" s="1" t="s">
        <v>9201</v>
      </c>
      <c r="D3330" s="1" t="s">
        <v>9202</v>
      </c>
      <c r="E3330" s="6">
        <v>1119</v>
      </c>
    </row>
    <row r="3331" spans="1:5" x14ac:dyDescent="0.25">
      <c r="A3331" s="4" t="s">
        <v>7</v>
      </c>
      <c r="B3331" s="4" t="s">
        <v>9203</v>
      </c>
      <c r="C3331" s="1" t="s">
        <v>9204</v>
      </c>
      <c r="D3331" s="1" t="s">
        <v>9205</v>
      </c>
      <c r="E3331" s="6">
        <v>1119</v>
      </c>
    </row>
    <row r="3332" spans="1:5" x14ac:dyDescent="0.25">
      <c r="A3332" s="4" t="s">
        <v>7</v>
      </c>
      <c r="B3332" s="4" t="s">
        <v>9206</v>
      </c>
      <c r="C3332" s="1" t="s">
        <v>9207</v>
      </c>
      <c r="D3332" s="1" t="s">
        <v>9208</v>
      </c>
      <c r="E3332" s="6">
        <v>1119</v>
      </c>
    </row>
    <row r="3333" spans="1:5" x14ac:dyDescent="0.25">
      <c r="A3333" s="4" t="s">
        <v>7</v>
      </c>
      <c r="B3333" s="4" t="s">
        <v>9209</v>
      </c>
      <c r="C3333" s="1" t="s">
        <v>9210</v>
      </c>
      <c r="D3333" s="1" t="s">
        <v>9211</v>
      </c>
      <c r="E3333" s="6">
        <v>1119</v>
      </c>
    </row>
    <row r="3334" spans="1:5" x14ac:dyDescent="0.25">
      <c r="A3334" s="4" t="s">
        <v>7</v>
      </c>
      <c r="B3334" s="4" t="s">
        <v>9212</v>
      </c>
      <c r="C3334" s="1" t="s">
        <v>9058</v>
      </c>
      <c r="D3334" s="1" t="s">
        <v>9059</v>
      </c>
      <c r="E3334" s="6">
        <v>2640</v>
      </c>
    </row>
    <row r="3335" spans="1:5" x14ac:dyDescent="0.25">
      <c r="A3335" s="4" t="s">
        <v>7</v>
      </c>
      <c r="B3335" s="4" t="s">
        <v>9213</v>
      </c>
      <c r="C3335" s="1" t="s">
        <v>9061</v>
      </c>
      <c r="D3335" s="1" t="s">
        <v>9059</v>
      </c>
      <c r="E3335" s="6">
        <v>2640</v>
      </c>
    </row>
    <row r="3336" spans="1:5" x14ac:dyDescent="0.25">
      <c r="A3336" s="4" t="s">
        <v>7</v>
      </c>
      <c r="B3336" s="4" t="s">
        <v>9214</v>
      </c>
      <c r="C3336" s="1" t="s">
        <v>9133</v>
      </c>
      <c r="D3336" s="1" t="s">
        <v>9134</v>
      </c>
      <c r="E3336" s="6">
        <v>75</v>
      </c>
    </row>
    <row r="3337" spans="1:5" x14ac:dyDescent="0.25">
      <c r="A3337" s="4" t="s">
        <v>7</v>
      </c>
      <c r="B3337" s="4" t="s">
        <v>9215</v>
      </c>
      <c r="C3337" s="1" t="s">
        <v>9136</v>
      </c>
      <c r="D3337" s="1" t="s">
        <v>9137</v>
      </c>
      <c r="E3337" s="6">
        <v>34</v>
      </c>
    </row>
    <row r="3338" spans="1:5" x14ac:dyDescent="0.25">
      <c r="A3338" s="4" t="s">
        <v>7</v>
      </c>
      <c r="B3338" s="4" t="s">
        <v>9216</v>
      </c>
      <c r="C3338" s="1" t="s">
        <v>9094</v>
      </c>
      <c r="D3338" s="1" t="s">
        <v>9095</v>
      </c>
      <c r="E3338" s="6">
        <v>616</v>
      </c>
    </row>
    <row r="3339" spans="1:5" x14ac:dyDescent="0.25">
      <c r="A3339" s="4" t="s">
        <v>7</v>
      </c>
      <c r="B3339" s="4" t="s">
        <v>9217</v>
      </c>
      <c r="C3339" s="1" t="s">
        <v>9097</v>
      </c>
      <c r="D3339" s="1" t="s">
        <v>9098</v>
      </c>
      <c r="E3339" s="6">
        <v>267</v>
      </c>
    </row>
    <row r="3340" spans="1:5" x14ac:dyDescent="0.25">
      <c r="A3340" s="4" t="s">
        <v>7</v>
      </c>
      <c r="B3340" s="4" t="s">
        <v>9218</v>
      </c>
      <c r="C3340" s="1" t="s">
        <v>9100</v>
      </c>
      <c r="D3340" s="1" t="s">
        <v>9101</v>
      </c>
      <c r="E3340" s="6">
        <v>560</v>
      </c>
    </row>
    <row r="3341" spans="1:5" x14ac:dyDescent="0.25">
      <c r="A3341" s="4" t="s">
        <v>7</v>
      </c>
      <c r="B3341" s="4" t="s">
        <v>9219</v>
      </c>
      <c r="C3341" s="1" t="s">
        <v>9103</v>
      </c>
      <c r="D3341" s="1" t="s">
        <v>9104</v>
      </c>
      <c r="E3341" s="6">
        <v>250</v>
      </c>
    </row>
    <row r="3342" spans="1:5" x14ac:dyDescent="0.25">
      <c r="A3342" s="4" t="s">
        <v>7</v>
      </c>
      <c r="B3342" s="4" t="s">
        <v>9220</v>
      </c>
      <c r="C3342" s="1" t="s">
        <v>9106</v>
      </c>
      <c r="D3342" s="1" t="s">
        <v>9107</v>
      </c>
      <c r="E3342" s="6">
        <v>228</v>
      </c>
    </row>
    <row r="3343" spans="1:5" x14ac:dyDescent="0.25">
      <c r="A3343" s="4" t="s">
        <v>7</v>
      </c>
      <c r="B3343" s="4" t="s">
        <v>9221</v>
      </c>
      <c r="C3343" s="1" t="s">
        <v>9109</v>
      </c>
      <c r="D3343" s="1" t="s">
        <v>9110</v>
      </c>
      <c r="E3343" s="6">
        <v>148</v>
      </c>
    </row>
    <row r="3344" spans="1:5" x14ac:dyDescent="0.25">
      <c r="A3344" s="4" t="s">
        <v>7</v>
      </c>
      <c r="B3344" s="4" t="s">
        <v>9222</v>
      </c>
      <c r="C3344" s="1" t="s">
        <v>9112</v>
      </c>
      <c r="D3344" s="1" t="s">
        <v>9113</v>
      </c>
      <c r="E3344" s="6">
        <v>397</v>
      </c>
    </row>
    <row r="3345" spans="1:5" x14ac:dyDescent="0.25">
      <c r="A3345" s="4" t="s">
        <v>7</v>
      </c>
      <c r="B3345" s="4" t="s">
        <v>9223</v>
      </c>
      <c r="C3345" s="1" t="s">
        <v>9115</v>
      </c>
      <c r="D3345" s="1" t="s">
        <v>9116</v>
      </c>
      <c r="E3345" s="6">
        <v>139</v>
      </c>
    </row>
    <row r="3346" spans="1:5" x14ac:dyDescent="0.25">
      <c r="A3346" s="4" t="s">
        <v>7</v>
      </c>
      <c r="B3346" s="4" t="s">
        <v>9224</v>
      </c>
      <c r="C3346" s="1" t="s">
        <v>9118</v>
      </c>
      <c r="D3346" s="1" t="s">
        <v>9119</v>
      </c>
      <c r="E3346" s="6">
        <v>251</v>
      </c>
    </row>
    <row r="3347" spans="1:5" x14ac:dyDescent="0.25">
      <c r="A3347" s="4" t="s">
        <v>7</v>
      </c>
      <c r="B3347" s="4" t="s">
        <v>9225</v>
      </c>
      <c r="C3347" s="1" t="s">
        <v>9121</v>
      </c>
      <c r="D3347" s="1" t="s">
        <v>9122</v>
      </c>
      <c r="E3347" s="6">
        <v>167</v>
      </c>
    </row>
    <row r="3348" spans="1:5" x14ac:dyDescent="0.25">
      <c r="A3348" s="4" t="s">
        <v>7</v>
      </c>
      <c r="B3348" s="4" t="s">
        <v>9226</v>
      </c>
      <c r="C3348" s="1" t="s">
        <v>9227</v>
      </c>
      <c r="D3348" s="1" t="s">
        <v>9227</v>
      </c>
      <c r="E3348" s="6">
        <v>880</v>
      </c>
    </row>
    <row r="3349" spans="1:5" x14ac:dyDescent="0.25">
      <c r="A3349" s="4" t="s">
        <v>7</v>
      </c>
      <c r="B3349" s="4" t="s">
        <v>9228</v>
      </c>
      <c r="C3349" s="1" t="s">
        <v>9229</v>
      </c>
      <c r="D3349" s="1" t="s">
        <v>9229</v>
      </c>
      <c r="E3349" s="6">
        <v>1905</v>
      </c>
    </row>
    <row r="3350" spans="1:5" x14ac:dyDescent="0.25">
      <c r="A3350" s="4" t="s">
        <v>7</v>
      </c>
      <c r="B3350" s="4" t="s">
        <v>9230</v>
      </c>
      <c r="C3350" s="1" t="s">
        <v>9231</v>
      </c>
      <c r="D3350" s="1" t="s">
        <v>9231</v>
      </c>
      <c r="E3350" s="6">
        <v>4630</v>
      </c>
    </row>
    <row r="3351" spans="1:5" x14ac:dyDescent="0.25">
      <c r="A3351" s="4" t="s">
        <v>7</v>
      </c>
      <c r="B3351" s="4" t="s">
        <v>9232</v>
      </c>
      <c r="C3351" s="1" t="s">
        <v>9233</v>
      </c>
      <c r="D3351" s="1" t="s">
        <v>9234</v>
      </c>
      <c r="E3351" s="6">
        <v>426</v>
      </c>
    </row>
    <row r="3352" spans="1:5" x14ac:dyDescent="0.25">
      <c r="A3352" s="4" t="s">
        <v>7</v>
      </c>
      <c r="B3352" s="4" t="s">
        <v>9235</v>
      </c>
      <c r="C3352" s="1" t="s">
        <v>9236</v>
      </c>
      <c r="D3352" s="1" t="s">
        <v>9237</v>
      </c>
      <c r="E3352" s="6">
        <v>426</v>
      </c>
    </row>
    <row r="3353" spans="1:5" x14ac:dyDescent="0.25">
      <c r="A3353" s="4" t="s">
        <v>7</v>
      </c>
      <c r="B3353" s="4" t="s">
        <v>9238</v>
      </c>
      <c r="C3353" s="1" t="s">
        <v>9239</v>
      </c>
      <c r="D3353" s="1" t="s">
        <v>9240</v>
      </c>
      <c r="E3353" s="6">
        <v>3632</v>
      </c>
    </row>
    <row r="3354" spans="1:5" x14ac:dyDescent="0.25">
      <c r="A3354" s="4" t="s">
        <v>7</v>
      </c>
      <c r="B3354" s="4" t="s">
        <v>9241</v>
      </c>
      <c r="C3354" s="1" t="s">
        <v>9242</v>
      </c>
      <c r="D3354" s="1" t="s">
        <v>9243</v>
      </c>
      <c r="E3354" s="6">
        <v>303</v>
      </c>
    </row>
    <row r="3355" spans="1:5" x14ac:dyDescent="0.25">
      <c r="A3355" s="4" t="s">
        <v>7</v>
      </c>
      <c r="B3355" s="4" t="s">
        <v>9244</v>
      </c>
      <c r="C3355" s="1" t="s">
        <v>9245</v>
      </c>
      <c r="D3355" s="1" t="s">
        <v>9246</v>
      </c>
      <c r="E3355" s="6">
        <v>303</v>
      </c>
    </row>
    <row r="3356" spans="1:5" x14ac:dyDescent="0.25">
      <c r="A3356" s="4" t="s">
        <v>7</v>
      </c>
      <c r="B3356" s="4" t="s">
        <v>9247</v>
      </c>
      <c r="C3356" s="1" t="s">
        <v>3287</v>
      </c>
      <c r="D3356" s="1" t="s">
        <v>3288</v>
      </c>
      <c r="E3356" s="6">
        <v>2183</v>
      </c>
    </row>
    <row r="3357" spans="1:5" x14ac:dyDescent="0.25">
      <c r="A3357" s="4" t="s">
        <v>7</v>
      </c>
      <c r="B3357" s="4" t="s">
        <v>9250</v>
      </c>
      <c r="C3357" s="1" t="s">
        <v>9251</v>
      </c>
      <c r="D3357" s="1" t="s">
        <v>9252</v>
      </c>
      <c r="E3357" s="6">
        <v>1826</v>
      </c>
    </row>
    <row r="3358" spans="1:5" x14ac:dyDescent="0.25">
      <c r="A3358" s="4" t="s">
        <v>7</v>
      </c>
      <c r="B3358" s="4" t="s">
        <v>9253</v>
      </c>
      <c r="C3358" s="1" t="s">
        <v>9254</v>
      </c>
      <c r="D3358" s="1" t="s">
        <v>9255</v>
      </c>
      <c r="E3358" s="6">
        <v>3276</v>
      </c>
    </row>
    <row r="3359" spans="1:5" x14ac:dyDescent="0.25">
      <c r="A3359" s="4" t="s">
        <v>7</v>
      </c>
      <c r="B3359" s="4" t="s">
        <v>9256</v>
      </c>
      <c r="C3359" s="1" t="s">
        <v>9257</v>
      </c>
      <c r="D3359" s="1" t="s">
        <v>9255</v>
      </c>
      <c r="E3359" s="6">
        <v>3276</v>
      </c>
    </row>
    <row r="3360" spans="1:5" x14ac:dyDescent="0.25">
      <c r="A3360" s="4" t="s">
        <v>7</v>
      </c>
      <c r="B3360" s="4" t="s">
        <v>9258</v>
      </c>
      <c r="C3360" s="1" t="s">
        <v>9259</v>
      </c>
      <c r="D3360" s="1" t="s">
        <v>9260</v>
      </c>
      <c r="E3360" s="6">
        <v>338</v>
      </c>
    </row>
    <row r="3361" spans="1:5" x14ac:dyDescent="0.25">
      <c r="A3361" s="4" t="s">
        <v>7</v>
      </c>
      <c r="B3361" s="4" t="s">
        <v>9261</v>
      </c>
      <c r="C3361" s="1" t="s">
        <v>2789</v>
      </c>
      <c r="D3361" s="1" t="s">
        <v>9262</v>
      </c>
      <c r="E3361" s="6">
        <v>651</v>
      </c>
    </row>
    <row r="3362" spans="1:5" x14ac:dyDescent="0.25">
      <c r="A3362" s="4" t="s">
        <v>7</v>
      </c>
      <c r="B3362" s="4" t="s">
        <v>9263</v>
      </c>
      <c r="C3362" s="1" t="s">
        <v>9264</v>
      </c>
      <c r="D3362" s="1" t="s">
        <v>9265</v>
      </c>
      <c r="E3362" s="6">
        <v>244</v>
      </c>
    </row>
    <row r="3363" spans="1:5" x14ac:dyDescent="0.25">
      <c r="A3363" s="4" t="s">
        <v>7</v>
      </c>
      <c r="B3363" s="4" t="s">
        <v>9266</v>
      </c>
      <c r="C3363" s="1" t="s">
        <v>2672</v>
      </c>
      <c r="D3363" s="1" t="s">
        <v>2673</v>
      </c>
      <c r="E3363" s="6">
        <v>986</v>
      </c>
    </row>
    <row r="3364" spans="1:5" x14ac:dyDescent="0.25">
      <c r="A3364" s="4" t="s">
        <v>7</v>
      </c>
      <c r="B3364" s="4" t="s">
        <v>9267</v>
      </c>
      <c r="C3364" s="1" t="s">
        <v>9268</v>
      </c>
      <c r="D3364" s="1" t="s">
        <v>9269</v>
      </c>
      <c r="E3364" s="6">
        <v>429</v>
      </c>
    </row>
    <row r="3365" spans="1:5" x14ac:dyDescent="0.25">
      <c r="A3365" s="4" t="s">
        <v>7</v>
      </c>
      <c r="B3365" s="4" t="s">
        <v>9270</v>
      </c>
      <c r="C3365" s="1" t="s">
        <v>9271</v>
      </c>
      <c r="D3365" s="1" t="s">
        <v>9272</v>
      </c>
      <c r="E3365" s="6">
        <v>1508</v>
      </c>
    </row>
    <row r="3366" spans="1:5" x14ac:dyDescent="0.25">
      <c r="A3366" s="4" t="s">
        <v>7</v>
      </c>
      <c r="B3366" s="4" t="s">
        <v>9273</v>
      </c>
      <c r="C3366" s="1" t="s">
        <v>9274</v>
      </c>
      <c r="D3366" s="1" t="s">
        <v>9275</v>
      </c>
      <c r="E3366" s="6">
        <v>1197</v>
      </c>
    </row>
    <row r="3367" spans="1:5" x14ac:dyDescent="0.25">
      <c r="A3367" s="4" t="s">
        <v>7</v>
      </c>
      <c r="B3367" s="4" t="s">
        <v>9276</v>
      </c>
      <c r="C3367" s="1" t="s">
        <v>9277</v>
      </c>
      <c r="D3367" s="1" t="s">
        <v>9278</v>
      </c>
      <c r="E3367" s="6">
        <v>880</v>
      </c>
    </row>
    <row r="3368" spans="1:5" x14ac:dyDescent="0.25">
      <c r="A3368" s="4" t="s">
        <v>7</v>
      </c>
      <c r="B3368" s="4" t="s">
        <v>9279</v>
      </c>
      <c r="C3368" s="1" t="s">
        <v>4511</v>
      </c>
      <c r="D3368" s="1" t="s">
        <v>9280</v>
      </c>
      <c r="E3368" s="6">
        <v>338</v>
      </c>
    </row>
    <row r="3369" spans="1:5" x14ac:dyDescent="0.25">
      <c r="A3369" s="4" t="s">
        <v>7</v>
      </c>
      <c r="B3369" s="4" t="s">
        <v>9281</v>
      </c>
      <c r="C3369" s="1" t="s">
        <v>9282</v>
      </c>
      <c r="D3369" s="1" t="s">
        <v>9283</v>
      </c>
      <c r="E3369" s="6">
        <v>454</v>
      </c>
    </row>
    <row r="3370" spans="1:5" x14ac:dyDescent="0.25">
      <c r="A3370" s="4" t="s">
        <v>7</v>
      </c>
      <c r="B3370" s="4" t="s">
        <v>9284</v>
      </c>
      <c r="C3370" s="1" t="s">
        <v>9285</v>
      </c>
      <c r="D3370" s="1" t="s">
        <v>9286</v>
      </c>
      <c r="E3370" s="6">
        <v>266</v>
      </c>
    </row>
    <row r="3371" spans="1:5" x14ac:dyDescent="0.25">
      <c r="A3371" s="4" t="s">
        <v>7</v>
      </c>
      <c r="B3371" s="4" t="s">
        <v>9287</v>
      </c>
      <c r="C3371" s="1" t="s">
        <v>9288</v>
      </c>
      <c r="D3371" s="1" t="s">
        <v>9289</v>
      </c>
      <c r="E3371" s="6">
        <v>2928</v>
      </c>
    </row>
    <row r="3372" spans="1:5" x14ac:dyDescent="0.25">
      <c r="A3372" s="4" t="s">
        <v>7</v>
      </c>
      <c r="B3372" s="4" t="s">
        <v>9290</v>
      </c>
      <c r="C3372" s="1" t="s">
        <v>9291</v>
      </c>
      <c r="D3372" s="1" t="s">
        <v>9292</v>
      </c>
      <c r="E3372" s="6">
        <v>1391</v>
      </c>
    </row>
    <row r="3373" spans="1:5" x14ac:dyDescent="0.25">
      <c r="A3373" s="4" t="s">
        <v>7</v>
      </c>
      <c r="B3373" s="4" t="s">
        <v>9293</v>
      </c>
      <c r="C3373" s="1" t="s">
        <v>9294</v>
      </c>
      <c r="D3373" s="1" t="s">
        <v>9295</v>
      </c>
      <c r="E3373" s="6">
        <v>3141</v>
      </c>
    </row>
    <row r="3374" spans="1:5" x14ac:dyDescent="0.25">
      <c r="A3374" s="4" t="s">
        <v>7</v>
      </c>
      <c r="B3374" s="4" t="s">
        <v>9296</v>
      </c>
      <c r="C3374" s="1" t="s">
        <v>9297</v>
      </c>
      <c r="D3374" s="1" t="s">
        <v>9298</v>
      </c>
      <c r="E3374" s="6">
        <v>2341</v>
      </c>
    </row>
    <row r="3375" spans="1:5" x14ac:dyDescent="0.25">
      <c r="A3375" s="4" t="s">
        <v>7</v>
      </c>
      <c r="B3375" s="4" t="s">
        <v>9299</v>
      </c>
      <c r="C3375" s="1" t="s">
        <v>9300</v>
      </c>
      <c r="D3375" s="1" t="s">
        <v>9301</v>
      </c>
      <c r="E3375" s="6">
        <v>4107</v>
      </c>
    </row>
    <row r="3376" spans="1:5" x14ac:dyDescent="0.25">
      <c r="A3376" s="4" t="s">
        <v>7</v>
      </c>
      <c r="B3376" s="4" t="s">
        <v>9302</v>
      </c>
      <c r="C3376" s="1" t="s">
        <v>9303</v>
      </c>
      <c r="D3376" s="1" t="s">
        <v>9304</v>
      </c>
      <c r="E3376" s="6">
        <v>10908</v>
      </c>
    </row>
    <row r="3377" spans="1:5" x14ac:dyDescent="0.25">
      <c r="A3377" s="4" t="s">
        <v>7</v>
      </c>
      <c r="B3377" s="4" t="s">
        <v>9305</v>
      </c>
      <c r="C3377" s="1" t="s">
        <v>9306</v>
      </c>
      <c r="D3377" s="1" t="s">
        <v>9307</v>
      </c>
      <c r="E3377" s="6">
        <v>1240.03</v>
      </c>
    </row>
    <row r="3378" spans="1:5" x14ac:dyDescent="0.25">
      <c r="A3378" s="4" t="s">
        <v>7</v>
      </c>
      <c r="B3378" s="4" t="s">
        <v>9308</v>
      </c>
      <c r="C3378" s="1" t="s">
        <v>9309</v>
      </c>
      <c r="D3378" s="1" t="s">
        <v>9310</v>
      </c>
      <c r="E3378" s="6">
        <v>651</v>
      </c>
    </row>
    <row r="3379" spans="1:5" x14ac:dyDescent="0.25">
      <c r="A3379" s="4" t="s">
        <v>7</v>
      </c>
      <c r="B3379" s="4" t="s">
        <v>9311</v>
      </c>
      <c r="C3379" s="1" t="s">
        <v>9312</v>
      </c>
      <c r="D3379" s="1" t="s">
        <v>9313</v>
      </c>
      <c r="E3379" s="6">
        <v>180</v>
      </c>
    </row>
    <row r="3380" spans="1:5" x14ac:dyDescent="0.25">
      <c r="A3380" s="4" t="s">
        <v>7</v>
      </c>
      <c r="B3380" s="4" t="s">
        <v>9314</v>
      </c>
      <c r="C3380" s="1" t="s">
        <v>9315</v>
      </c>
      <c r="D3380" s="1" t="s">
        <v>9316</v>
      </c>
      <c r="E3380" s="6">
        <v>180</v>
      </c>
    </row>
    <row r="3381" spans="1:5" x14ac:dyDescent="0.25">
      <c r="A3381" s="4" t="s">
        <v>7</v>
      </c>
      <c r="B3381" s="4" t="s">
        <v>9317</v>
      </c>
      <c r="C3381" s="1" t="s">
        <v>9318</v>
      </c>
      <c r="D3381" s="1" t="s">
        <v>9319</v>
      </c>
      <c r="E3381" s="6">
        <v>180</v>
      </c>
    </row>
    <row r="3382" spans="1:5" x14ac:dyDescent="0.25">
      <c r="A3382" s="4" t="s">
        <v>7</v>
      </c>
      <c r="B3382" s="4" t="s">
        <v>9320</v>
      </c>
      <c r="C3382" s="1" t="s">
        <v>9321</v>
      </c>
      <c r="D3382" s="1" t="s">
        <v>9322</v>
      </c>
      <c r="E3382" s="6">
        <v>180</v>
      </c>
    </row>
    <row r="3383" spans="1:5" x14ac:dyDescent="0.25">
      <c r="A3383" s="4" t="s">
        <v>7</v>
      </c>
      <c r="B3383" s="4" t="s">
        <v>9323</v>
      </c>
      <c r="C3383" s="1" t="s">
        <v>9324</v>
      </c>
      <c r="D3383" s="1" t="s">
        <v>9325</v>
      </c>
      <c r="E3383" s="6">
        <v>1877</v>
      </c>
    </row>
    <row r="3384" spans="1:5" x14ac:dyDescent="0.25">
      <c r="A3384" s="4" t="s">
        <v>7</v>
      </c>
      <c r="B3384" s="4" t="s">
        <v>9326</v>
      </c>
      <c r="C3384" s="1" t="s">
        <v>9327</v>
      </c>
      <c r="D3384" s="1" t="s">
        <v>9328</v>
      </c>
      <c r="E3384" s="6">
        <v>986</v>
      </c>
    </row>
    <row r="3385" spans="1:5" x14ac:dyDescent="0.25">
      <c r="A3385" s="4" t="s">
        <v>7</v>
      </c>
      <c r="B3385" s="4" t="s">
        <v>9329</v>
      </c>
      <c r="C3385" s="1" t="s">
        <v>9330</v>
      </c>
      <c r="D3385" s="1" t="s">
        <v>9331</v>
      </c>
      <c r="E3385" s="6">
        <v>180</v>
      </c>
    </row>
    <row r="3386" spans="1:5" x14ac:dyDescent="0.25">
      <c r="A3386" s="4" t="s">
        <v>7</v>
      </c>
      <c r="B3386" s="4" t="s">
        <v>9332</v>
      </c>
      <c r="C3386" s="1" t="s">
        <v>9333</v>
      </c>
      <c r="D3386" s="1" t="s">
        <v>9334</v>
      </c>
      <c r="E3386" s="6">
        <v>180</v>
      </c>
    </row>
    <row r="3387" spans="1:5" x14ac:dyDescent="0.25">
      <c r="A3387" s="4" t="s">
        <v>7</v>
      </c>
      <c r="B3387" s="4" t="s">
        <v>9335</v>
      </c>
      <c r="C3387" s="1" t="s">
        <v>9336</v>
      </c>
      <c r="D3387" s="1" t="s">
        <v>9337</v>
      </c>
      <c r="E3387" s="6">
        <v>6360</v>
      </c>
    </row>
    <row r="3388" spans="1:5" x14ac:dyDescent="0.25">
      <c r="A3388" s="4" t="s">
        <v>7</v>
      </c>
      <c r="B3388" s="4" t="s">
        <v>9338</v>
      </c>
      <c r="C3388" s="1" t="s">
        <v>9339</v>
      </c>
      <c r="D3388" s="1" t="s">
        <v>9340</v>
      </c>
      <c r="E3388" s="6">
        <v>2006</v>
      </c>
    </row>
    <row r="3389" spans="1:5" x14ac:dyDescent="0.25">
      <c r="A3389" s="4" t="s">
        <v>7</v>
      </c>
      <c r="B3389" s="4" t="s">
        <v>9341</v>
      </c>
      <c r="C3389" s="1" t="s">
        <v>9342</v>
      </c>
      <c r="D3389" s="1" t="s">
        <v>9343</v>
      </c>
      <c r="E3389" s="6">
        <v>1058</v>
      </c>
    </row>
    <row r="3390" spans="1:5" x14ac:dyDescent="0.25">
      <c r="A3390" s="4" t="s">
        <v>7</v>
      </c>
      <c r="B3390" s="4" t="s">
        <v>9344</v>
      </c>
      <c r="C3390" s="1" t="s">
        <v>9345</v>
      </c>
      <c r="D3390" s="1" t="s">
        <v>9346</v>
      </c>
      <c r="E3390" s="6">
        <v>11234.33</v>
      </c>
    </row>
    <row r="3391" spans="1:5" x14ac:dyDescent="0.25">
      <c r="A3391" s="4" t="s">
        <v>7</v>
      </c>
      <c r="B3391" s="4" t="s">
        <v>9347</v>
      </c>
      <c r="C3391" s="1" t="s">
        <v>9348</v>
      </c>
      <c r="D3391" s="1" t="s">
        <v>9349</v>
      </c>
      <c r="E3391" s="6">
        <v>180</v>
      </c>
    </row>
    <row r="3392" spans="1:5" x14ac:dyDescent="0.25">
      <c r="A3392" s="4" t="s">
        <v>7</v>
      </c>
      <c r="B3392" s="4" t="s">
        <v>9350</v>
      </c>
      <c r="C3392" s="1" t="s">
        <v>9351</v>
      </c>
      <c r="D3392" s="1" t="s">
        <v>9352</v>
      </c>
      <c r="E3392" s="6">
        <v>180</v>
      </c>
    </row>
    <row r="3393" spans="1:5" x14ac:dyDescent="0.25">
      <c r="A3393" s="4" t="s">
        <v>7</v>
      </c>
      <c r="B3393" s="4" t="s">
        <v>9353</v>
      </c>
      <c r="C3393" s="1" t="s">
        <v>9354</v>
      </c>
      <c r="D3393" s="1" t="s">
        <v>9355</v>
      </c>
      <c r="E3393" s="6">
        <v>180</v>
      </c>
    </row>
    <row r="3394" spans="1:5" x14ac:dyDescent="0.25">
      <c r="A3394" s="4" t="s">
        <v>7</v>
      </c>
      <c r="B3394" s="4" t="s">
        <v>9356</v>
      </c>
      <c r="C3394" s="1" t="s">
        <v>9357</v>
      </c>
      <c r="D3394" s="1" t="s">
        <v>9358</v>
      </c>
      <c r="E3394" s="6">
        <v>338</v>
      </c>
    </row>
    <row r="3395" spans="1:5" x14ac:dyDescent="0.25">
      <c r="A3395" s="4" t="s">
        <v>7</v>
      </c>
      <c r="B3395" s="4" t="s">
        <v>9359</v>
      </c>
      <c r="C3395" s="1" t="s">
        <v>9360</v>
      </c>
      <c r="D3395" s="1" t="s">
        <v>9361</v>
      </c>
      <c r="E3395" s="6">
        <v>240</v>
      </c>
    </row>
    <row r="3396" spans="1:5" x14ac:dyDescent="0.25">
      <c r="A3396" s="4" t="s">
        <v>7</v>
      </c>
      <c r="B3396" s="4" t="s">
        <v>9362</v>
      </c>
      <c r="C3396" s="1" t="s">
        <v>9363</v>
      </c>
      <c r="D3396" s="1" t="s">
        <v>9310</v>
      </c>
      <c r="E3396" s="6">
        <v>338</v>
      </c>
    </row>
    <row r="3397" spans="1:5" x14ac:dyDescent="0.25">
      <c r="A3397" s="4" t="s">
        <v>7</v>
      </c>
      <c r="B3397" s="4" t="s">
        <v>9364</v>
      </c>
      <c r="C3397" s="1" t="s">
        <v>2490</v>
      </c>
      <c r="D3397" s="1" t="s">
        <v>2491</v>
      </c>
      <c r="E3397" s="6">
        <v>1898</v>
      </c>
    </row>
    <row r="3398" spans="1:5" x14ac:dyDescent="0.25">
      <c r="A3398" s="4" t="s">
        <v>7</v>
      </c>
      <c r="B3398" s="4" t="s">
        <v>9365</v>
      </c>
      <c r="C3398" s="1" t="s">
        <v>1852</v>
      </c>
      <c r="D3398" s="1" t="s">
        <v>1852</v>
      </c>
      <c r="E3398" s="6">
        <v>69</v>
      </c>
    </row>
    <row r="3399" spans="1:5" x14ac:dyDescent="0.25">
      <c r="A3399" s="4" t="s">
        <v>7</v>
      </c>
      <c r="B3399" s="4" t="s">
        <v>9366</v>
      </c>
      <c r="C3399" s="1" t="s">
        <v>9367</v>
      </c>
      <c r="D3399" s="1" t="s">
        <v>9367</v>
      </c>
      <c r="E3399" s="6">
        <v>210.34</v>
      </c>
    </row>
    <row r="3400" spans="1:5" x14ac:dyDescent="0.25">
      <c r="A3400" s="4" t="s">
        <v>7</v>
      </c>
      <c r="B3400" s="4" t="s">
        <v>9368</v>
      </c>
      <c r="C3400" s="1" t="s">
        <v>9369</v>
      </c>
      <c r="D3400" s="1" t="s">
        <v>9370</v>
      </c>
      <c r="E3400" s="6">
        <v>100</v>
      </c>
    </row>
    <row r="3401" spans="1:5" x14ac:dyDescent="0.25">
      <c r="A3401" s="4" t="s">
        <v>7</v>
      </c>
      <c r="B3401" s="4" t="s">
        <v>9371</v>
      </c>
      <c r="C3401" s="1" t="s">
        <v>9372</v>
      </c>
      <c r="D3401" s="1" t="s">
        <v>9373</v>
      </c>
      <c r="E3401" s="6">
        <v>124</v>
      </c>
    </row>
    <row r="3402" spans="1:5" x14ac:dyDescent="0.25">
      <c r="A3402" s="4" t="s">
        <v>7</v>
      </c>
      <c r="B3402" s="4" t="s">
        <v>9374</v>
      </c>
      <c r="C3402" s="1" t="s">
        <v>9375</v>
      </c>
      <c r="D3402" s="1" t="s">
        <v>9376</v>
      </c>
      <c r="E3402" s="6">
        <v>20</v>
      </c>
    </row>
    <row r="3403" spans="1:5" x14ac:dyDescent="0.25">
      <c r="A3403" s="4" t="s">
        <v>7</v>
      </c>
      <c r="B3403" s="4" t="s">
        <v>9377</v>
      </c>
      <c r="C3403" s="1" t="s">
        <v>1837</v>
      </c>
      <c r="D3403" s="1" t="s">
        <v>1838</v>
      </c>
      <c r="E3403" s="6">
        <v>19</v>
      </c>
    </row>
    <row r="3404" spans="1:5" x14ac:dyDescent="0.25">
      <c r="A3404" s="4" t="s">
        <v>7</v>
      </c>
      <c r="B3404" s="4" t="s">
        <v>9378</v>
      </c>
      <c r="C3404" s="1" t="s">
        <v>9379</v>
      </c>
      <c r="D3404" s="1" t="s">
        <v>9379</v>
      </c>
      <c r="E3404" s="6">
        <v>60.4</v>
      </c>
    </row>
    <row r="3405" spans="1:5" x14ac:dyDescent="0.25">
      <c r="A3405" s="4" t="s">
        <v>7</v>
      </c>
      <c r="B3405" s="4" t="s">
        <v>9380</v>
      </c>
      <c r="C3405" s="1" t="s">
        <v>9381</v>
      </c>
      <c r="D3405" s="1" t="s">
        <v>9381</v>
      </c>
      <c r="E3405" s="6">
        <v>30</v>
      </c>
    </row>
    <row r="3406" spans="1:5" x14ac:dyDescent="0.25">
      <c r="A3406" s="4" t="s">
        <v>7</v>
      </c>
      <c r="B3406" s="4" t="s">
        <v>9382</v>
      </c>
      <c r="C3406" s="1" t="s">
        <v>9383</v>
      </c>
      <c r="D3406" s="1" t="s">
        <v>9384</v>
      </c>
      <c r="E3406" s="6">
        <v>26</v>
      </c>
    </row>
    <row r="3407" spans="1:5" x14ac:dyDescent="0.25">
      <c r="A3407" s="4" t="s">
        <v>7</v>
      </c>
      <c r="B3407" s="4" t="s">
        <v>9385</v>
      </c>
      <c r="C3407" s="1" t="s">
        <v>1896</v>
      </c>
      <c r="D3407" s="1" t="s">
        <v>1897</v>
      </c>
      <c r="E3407" s="6">
        <v>35</v>
      </c>
    </row>
    <row r="3408" spans="1:5" x14ac:dyDescent="0.25">
      <c r="A3408" s="4" t="s">
        <v>7</v>
      </c>
      <c r="B3408" s="4" t="s">
        <v>9386</v>
      </c>
      <c r="C3408" s="1" t="s">
        <v>1919</v>
      </c>
      <c r="D3408" s="1" t="s">
        <v>1920</v>
      </c>
      <c r="E3408" s="6">
        <v>13</v>
      </c>
    </row>
    <row r="3409" spans="1:5" x14ac:dyDescent="0.25">
      <c r="A3409" s="4" t="s">
        <v>7</v>
      </c>
      <c r="B3409" s="4" t="s">
        <v>9387</v>
      </c>
      <c r="C3409" s="1" t="s">
        <v>9388</v>
      </c>
      <c r="D3409" s="1" t="s">
        <v>9388</v>
      </c>
      <c r="E3409" s="6">
        <v>35</v>
      </c>
    </row>
    <row r="3410" spans="1:5" x14ac:dyDescent="0.25">
      <c r="A3410" s="4" t="s">
        <v>7</v>
      </c>
      <c r="B3410" s="4" t="s">
        <v>9389</v>
      </c>
      <c r="C3410" s="1" t="s">
        <v>1942</v>
      </c>
      <c r="D3410" s="1" t="s">
        <v>1943</v>
      </c>
      <c r="E3410" s="6">
        <v>100</v>
      </c>
    </row>
    <row r="3411" spans="1:5" x14ac:dyDescent="0.25">
      <c r="A3411" s="4" t="s">
        <v>7</v>
      </c>
      <c r="B3411" s="4" t="s">
        <v>9390</v>
      </c>
      <c r="C3411" s="1" t="s">
        <v>9391</v>
      </c>
      <c r="D3411" s="1" t="s">
        <v>9391</v>
      </c>
      <c r="E3411" s="6">
        <v>20</v>
      </c>
    </row>
    <row r="3412" spans="1:5" x14ac:dyDescent="0.25">
      <c r="A3412" s="4" t="s">
        <v>7</v>
      </c>
      <c r="B3412" s="4" t="s">
        <v>9392</v>
      </c>
      <c r="C3412" s="1" t="s">
        <v>9393</v>
      </c>
      <c r="D3412" s="1" t="s">
        <v>9393</v>
      </c>
      <c r="E3412" s="6">
        <v>30</v>
      </c>
    </row>
    <row r="3413" spans="1:5" x14ac:dyDescent="0.25">
      <c r="A3413" s="4" t="s">
        <v>7</v>
      </c>
      <c r="B3413" s="4" t="s">
        <v>9394</v>
      </c>
      <c r="C3413" s="1" t="s">
        <v>9395</v>
      </c>
      <c r="D3413" s="1" t="s">
        <v>9395</v>
      </c>
      <c r="E3413" s="6">
        <v>51</v>
      </c>
    </row>
    <row r="3414" spans="1:5" x14ac:dyDescent="0.25">
      <c r="A3414" s="4" t="s">
        <v>7</v>
      </c>
      <c r="B3414" s="4" t="s">
        <v>9396</v>
      </c>
      <c r="C3414" s="1" t="s">
        <v>9397</v>
      </c>
      <c r="D3414" s="1" t="s">
        <v>9397</v>
      </c>
      <c r="E3414" s="6">
        <v>40</v>
      </c>
    </row>
    <row r="3415" spans="1:5" x14ac:dyDescent="0.25">
      <c r="A3415" s="4" t="s">
        <v>7</v>
      </c>
      <c r="B3415" s="4" t="s">
        <v>9398</v>
      </c>
      <c r="C3415" s="1" t="s">
        <v>2006</v>
      </c>
      <c r="D3415" s="1" t="s">
        <v>2007</v>
      </c>
      <c r="E3415" s="6">
        <v>16</v>
      </c>
    </row>
    <row r="3416" spans="1:5" x14ac:dyDescent="0.25">
      <c r="A3416" s="4" t="s">
        <v>7</v>
      </c>
      <c r="B3416" s="4" t="s">
        <v>9399</v>
      </c>
      <c r="C3416" s="1" t="s">
        <v>9400</v>
      </c>
      <c r="D3416" s="1" t="s">
        <v>9401</v>
      </c>
      <c r="E3416" s="6">
        <v>32</v>
      </c>
    </row>
    <row r="3417" spans="1:5" x14ac:dyDescent="0.25">
      <c r="A3417" s="4" t="s">
        <v>7</v>
      </c>
      <c r="B3417" s="4" t="s">
        <v>9402</v>
      </c>
      <c r="C3417" s="1" t="s">
        <v>9403</v>
      </c>
      <c r="D3417" s="1" t="s">
        <v>9404</v>
      </c>
      <c r="E3417" s="6">
        <v>40.799999999999997</v>
      </c>
    </row>
    <row r="3418" spans="1:5" x14ac:dyDescent="0.25">
      <c r="A3418" s="4" t="s">
        <v>7</v>
      </c>
      <c r="B3418" s="4" t="s">
        <v>9405</v>
      </c>
      <c r="C3418" s="1" t="s">
        <v>2027</v>
      </c>
      <c r="D3418" s="1" t="s">
        <v>2028</v>
      </c>
      <c r="E3418" s="6">
        <v>85</v>
      </c>
    </row>
    <row r="3419" spans="1:5" x14ac:dyDescent="0.25">
      <c r="A3419" s="4" t="s">
        <v>7</v>
      </c>
      <c r="B3419" s="4" t="s">
        <v>9406</v>
      </c>
      <c r="C3419" s="1" t="s">
        <v>9407</v>
      </c>
      <c r="D3419" s="1" t="s">
        <v>9408</v>
      </c>
      <c r="E3419" s="6">
        <v>28</v>
      </c>
    </row>
    <row r="3420" spans="1:5" x14ac:dyDescent="0.25">
      <c r="A3420" s="4" t="s">
        <v>7</v>
      </c>
      <c r="B3420" s="4" t="s">
        <v>9409</v>
      </c>
      <c r="C3420" s="1" t="s">
        <v>2030</v>
      </c>
      <c r="D3420" s="1" t="s">
        <v>2031</v>
      </c>
      <c r="E3420" s="6">
        <v>20</v>
      </c>
    </row>
    <row r="3421" spans="1:5" x14ac:dyDescent="0.25">
      <c r="A3421" s="4" t="s">
        <v>7</v>
      </c>
      <c r="B3421" s="4" t="s">
        <v>9410</v>
      </c>
      <c r="C3421" s="1" t="s">
        <v>9411</v>
      </c>
      <c r="D3421" s="1" t="s">
        <v>9412</v>
      </c>
      <c r="E3421" s="6">
        <v>52.5</v>
      </c>
    </row>
    <row r="3422" spans="1:5" x14ac:dyDescent="0.25">
      <c r="A3422" s="4" t="s">
        <v>7</v>
      </c>
      <c r="B3422" s="4" t="s">
        <v>9413</v>
      </c>
      <c r="C3422" s="1" t="s">
        <v>9414</v>
      </c>
      <c r="D3422" s="1" t="s">
        <v>9412</v>
      </c>
      <c r="E3422" s="6">
        <v>52.5</v>
      </c>
    </row>
    <row r="3423" spans="1:5" x14ac:dyDescent="0.25">
      <c r="A3423" s="4" t="s">
        <v>7</v>
      </c>
      <c r="B3423" s="4" t="s">
        <v>9415</v>
      </c>
      <c r="C3423" s="1" t="s">
        <v>2036</v>
      </c>
      <c r="D3423" s="1" t="s">
        <v>2037</v>
      </c>
      <c r="E3423" s="6">
        <v>13</v>
      </c>
    </row>
    <row r="3424" spans="1:5" x14ac:dyDescent="0.25">
      <c r="A3424" s="4" t="s">
        <v>7</v>
      </c>
      <c r="B3424" s="4" t="s">
        <v>9416</v>
      </c>
      <c r="C3424" s="1" t="s">
        <v>9417</v>
      </c>
      <c r="D3424" s="1" t="s">
        <v>9417</v>
      </c>
      <c r="E3424" s="6">
        <v>16</v>
      </c>
    </row>
    <row r="3425" spans="1:5" x14ac:dyDescent="0.25">
      <c r="A3425" s="4" t="s">
        <v>7</v>
      </c>
      <c r="B3425" s="4" t="s">
        <v>9418</v>
      </c>
      <c r="C3425" s="1" t="s">
        <v>2082</v>
      </c>
      <c r="D3425" s="1" t="s">
        <v>2082</v>
      </c>
      <c r="E3425" s="6">
        <v>20.36</v>
      </c>
    </row>
    <row r="3426" spans="1:5" x14ac:dyDescent="0.25">
      <c r="A3426" s="4" t="s">
        <v>7</v>
      </c>
      <c r="B3426" s="4" t="s">
        <v>9419</v>
      </c>
      <c r="C3426" s="1" t="s">
        <v>2080</v>
      </c>
      <c r="D3426" s="1" t="s">
        <v>2080</v>
      </c>
      <c r="E3426" s="6">
        <v>28</v>
      </c>
    </row>
    <row r="3427" spans="1:5" x14ac:dyDescent="0.25">
      <c r="A3427" s="4" t="s">
        <v>7</v>
      </c>
      <c r="B3427" s="4" t="s">
        <v>9420</v>
      </c>
      <c r="C3427" s="1" t="s">
        <v>9421</v>
      </c>
      <c r="D3427" s="1" t="s">
        <v>9422</v>
      </c>
      <c r="E3427" s="6">
        <v>28</v>
      </c>
    </row>
    <row r="3428" spans="1:5" x14ac:dyDescent="0.25">
      <c r="A3428" s="4" t="s">
        <v>7</v>
      </c>
      <c r="B3428" s="4" t="s">
        <v>9423</v>
      </c>
      <c r="C3428" s="1" t="s">
        <v>9424</v>
      </c>
      <c r="D3428" s="1" t="s">
        <v>9425</v>
      </c>
      <c r="E3428" s="6">
        <v>28</v>
      </c>
    </row>
    <row r="3429" spans="1:5" x14ac:dyDescent="0.25">
      <c r="A3429" s="4" t="s">
        <v>7</v>
      </c>
      <c r="B3429" s="4" t="s">
        <v>9426</v>
      </c>
      <c r="C3429" s="1" t="s">
        <v>9427</v>
      </c>
      <c r="D3429" s="1" t="s">
        <v>9428</v>
      </c>
      <c r="E3429" s="6">
        <v>40</v>
      </c>
    </row>
    <row r="3430" spans="1:5" x14ac:dyDescent="0.25">
      <c r="A3430" s="4" t="s">
        <v>7</v>
      </c>
      <c r="B3430" s="4" t="s">
        <v>9429</v>
      </c>
      <c r="C3430" s="1" t="s">
        <v>9430</v>
      </c>
      <c r="D3430" s="1" t="s">
        <v>9431</v>
      </c>
      <c r="E3430" s="6">
        <v>60</v>
      </c>
    </row>
    <row r="3431" spans="1:5" x14ac:dyDescent="0.25">
      <c r="A3431" s="4" t="s">
        <v>7</v>
      </c>
      <c r="B3431" s="4" t="s">
        <v>9432</v>
      </c>
      <c r="C3431" s="1" t="s">
        <v>2282</v>
      </c>
      <c r="D3431" s="1" t="s">
        <v>2282</v>
      </c>
      <c r="E3431" s="6">
        <v>45</v>
      </c>
    </row>
    <row r="3432" spans="1:5" x14ac:dyDescent="0.25">
      <c r="A3432" s="4" t="s">
        <v>7</v>
      </c>
      <c r="B3432" s="4" t="s">
        <v>9433</v>
      </c>
      <c r="C3432" s="1" t="s">
        <v>9434</v>
      </c>
      <c r="D3432" s="1" t="s">
        <v>9435</v>
      </c>
      <c r="E3432" s="6">
        <v>14.51</v>
      </c>
    </row>
    <row r="3433" spans="1:5" x14ac:dyDescent="0.25">
      <c r="A3433" s="4" t="s">
        <v>7</v>
      </c>
      <c r="B3433" s="4" t="s">
        <v>9436</v>
      </c>
      <c r="C3433" s="1" t="s">
        <v>9437</v>
      </c>
      <c r="D3433" s="1" t="s">
        <v>9437</v>
      </c>
      <c r="E3433" s="6">
        <v>10</v>
      </c>
    </row>
    <row r="3434" spans="1:5" x14ac:dyDescent="0.25">
      <c r="A3434" s="4" t="s">
        <v>7</v>
      </c>
      <c r="B3434" s="4" t="s">
        <v>9438</v>
      </c>
      <c r="C3434" s="1" t="s">
        <v>9439</v>
      </c>
      <c r="D3434" s="1" t="s">
        <v>9440</v>
      </c>
      <c r="E3434" s="6">
        <v>75</v>
      </c>
    </row>
    <row r="3435" spans="1:5" x14ac:dyDescent="0.25">
      <c r="A3435" s="4" t="s">
        <v>7</v>
      </c>
      <c r="B3435" s="4" t="s">
        <v>9441</v>
      </c>
      <c r="C3435" s="1" t="s">
        <v>2355</v>
      </c>
      <c r="D3435" s="1" t="s">
        <v>2356</v>
      </c>
      <c r="E3435" s="6">
        <v>18</v>
      </c>
    </row>
    <row r="3436" spans="1:5" x14ac:dyDescent="0.25">
      <c r="A3436" s="4" t="s">
        <v>7</v>
      </c>
      <c r="B3436" s="4" t="s">
        <v>9442</v>
      </c>
      <c r="C3436" s="1" t="s">
        <v>9443</v>
      </c>
      <c r="D3436" s="1" t="s">
        <v>9444</v>
      </c>
      <c r="E3436" s="6">
        <v>160</v>
      </c>
    </row>
    <row r="3437" spans="1:5" x14ac:dyDescent="0.25">
      <c r="A3437" s="4" t="s">
        <v>7</v>
      </c>
      <c r="B3437" s="4" t="s">
        <v>9445</v>
      </c>
      <c r="C3437" s="1" t="s">
        <v>9446</v>
      </c>
      <c r="D3437" s="1" t="s">
        <v>9447</v>
      </c>
      <c r="E3437" s="6">
        <v>260</v>
      </c>
    </row>
    <row r="3438" spans="1:5" x14ac:dyDescent="0.25">
      <c r="A3438" s="4" t="s">
        <v>7</v>
      </c>
      <c r="B3438" s="4" t="s">
        <v>9448</v>
      </c>
      <c r="C3438" s="1" t="s">
        <v>9449</v>
      </c>
      <c r="D3438" s="1" t="s">
        <v>9450</v>
      </c>
      <c r="E3438" s="6">
        <v>750</v>
      </c>
    </row>
    <row r="3439" spans="1:5" x14ac:dyDescent="0.25">
      <c r="A3439" s="4" t="s">
        <v>7</v>
      </c>
      <c r="B3439" s="4" t="s">
        <v>9451</v>
      </c>
      <c r="C3439" s="1" t="s">
        <v>9452</v>
      </c>
      <c r="D3439" s="1" t="s">
        <v>2309</v>
      </c>
      <c r="E3439" s="6">
        <v>300</v>
      </c>
    </row>
    <row r="3440" spans="1:5" x14ac:dyDescent="0.25">
      <c r="A3440" s="4" t="s">
        <v>7</v>
      </c>
      <c r="B3440" s="4" t="s">
        <v>9453</v>
      </c>
      <c r="C3440" s="1" t="s">
        <v>9454</v>
      </c>
      <c r="D3440" s="1" t="s">
        <v>9455</v>
      </c>
      <c r="E3440" s="6">
        <v>20</v>
      </c>
    </row>
    <row r="3441" spans="1:5" x14ac:dyDescent="0.25">
      <c r="A3441" s="4" t="s">
        <v>7</v>
      </c>
      <c r="B3441" s="4" t="s">
        <v>9456</v>
      </c>
      <c r="C3441" s="1" t="s">
        <v>2182</v>
      </c>
      <c r="D3441" s="1" t="s">
        <v>2183</v>
      </c>
      <c r="E3441" s="6">
        <v>35</v>
      </c>
    </row>
    <row r="3442" spans="1:5" x14ac:dyDescent="0.25">
      <c r="A3442" s="4" t="s">
        <v>7</v>
      </c>
      <c r="B3442" s="4" t="s">
        <v>9457</v>
      </c>
      <c r="C3442" s="1" t="s">
        <v>9458</v>
      </c>
      <c r="D3442" s="1" t="s">
        <v>1864</v>
      </c>
      <c r="E3442" s="6">
        <v>9.65</v>
      </c>
    </row>
    <row r="3443" spans="1:5" x14ac:dyDescent="0.25">
      <c r="A3443" s="4" t="s">
        <v>7</v>
      </c>
      <c r="B3443" s="4" t="s">
        <v>9459</v>
      </c>
      <c r="C3443" s="1" t="s">
        <v>9367</v>
      </c>
      <c r="D3443" s="1" t="s">
        <v>9367</v>
      </c>
      <c r="E3443" s="6">
        <v>100</v>
      </c>
    </row>
    <row r="3444" spans="1:5" x14ac:dyDescent="0.25">
      <c r="A3444" s="4" t="s">
        <v>7</v>
      </c>
      <c r="B3444" s="4" t="s">
        <v>9460</v>
      </c>
      <c r="C3444" s="1" t="s">
        <v>9461</v>
      </c>
      <c r="D3444" s="1" t="s">
        <v>9461</v>
      </c>
      <c r="E3444" s="6">
        <v>0.01</v>
      </c>
    </row>
    <row r="3445" spans="1:5" x14ac:dyDescent="0.25">
      <c r="A3445" s="4" t="s">
        <v>7</v>
      </c>
      <c r="B3445" s="4" t="s">
        <v>9462</v>
      </c>
      <c r="C3445" s="1" t="s">
        <v>9369</v>
      </c>
      <c r="D3445" s="1" t="s">
        <v>9370</v>
      </c>
      <c r="E3445" s="6">
        <v>32.58</v>
      </c>
    </row>
    <row r="3446" spans="1:5" x14ac:dyDescent="0.25">
      <c r="A3446" s="4" t="s">
        <v>7</v>
      </c>
      <c r="B3446" s="4" t="s">
        <v>9463</v>
      </c>
      <c r="C3446" s="1" t="s">
        <v>9379</v>
      </c>
      <c r="D3446" s="1" t="s">
        <v>9379</v>
      </c>
      <c r="E3446" s="6">
        <v>10.59</v>
      </c>
    </row>
    <row r="3447" spans="1:5" x14ac:dyDescent="0.25">
      <c r="A3447" s="4" t="s">
        <v>7</v>
      </c>
      <c r="B3447" s="4" t="s">
        <v>9464</v>
      </c>
      <c r="C3447" s="1" t="s">
        <v>9465</v>
      </c>
      <c r="D3447" s="1" t="s">
        <v>9466</v>
      </c>
      <c r="E3447" s="6">
        <v>23.03</v>
      </c>
    </row>
    <row r="3448" spans="1:5" x14ac:dyDescent="0.25">
      <c r="A3448" s="4" t="s">
        <v>7</v>
      </c>
      <c r="B3448" s="4" t="s">
        <v>9467</v>
      </c>
      <c r="C3448" s="1" t="s">
        <v>9468</v>
      </c>
      <c r="D3448" s="1" t="s">
        <v>9469</v>
      </c>
      <c r="E3448" s="6">
        <v>8.9600000000000009</v>
      </c>
    </row>
    <row r="3449" spans="1:5" x14ac:dyDescent="0.25">
      <c r="A3449" s="4" t="s">
        <v>7</v>
      </c>
      <c r="B3449" s="4" t="s">
        <v>9470</v>
      </c>
      <c r="C3449" s="1" t="s">
        <v>1852</v>
      </c>
      <c r="D3449" s="1" t="s">
        <v>1852</v>
      </c>
      <c r="E3449" s="6">
        <v>51.31</v>
      </c>
    </row>
    <row r="3450" spans="1:5" x14ac:dyDescent="0.25">
      <c r="A3450" s="4" t="s">
        <v>7</v>
      </c>
      <c r="B3450" s="4" t="s">
        <v>9471</v>
      </c>
      <c r="C3450" s="1" t="s">
        <v>9472</v>
      </c>
      <c r="D3450" s="1" t="s">
        <v>9473</v>
      </c>
      <c r="E3450" s="6">
        <v>46</v>
      </c>
    </row>
    <row r="3451" spans="1:5" x14ac:dyDescent="0.25">
      <c r="A3451" s="4" t="s">
        <v>7</v>
      </c>
      <c r="B3451" s="4" t="s">
        <v>9474</v>
      </c>
      <c r="C3451" s="1" t="s">
        <v>9475</v>
      </c>
      <c r="D3451" s="1" t="s">
        <v>9475</v>
      </c>
      <c r="E3451" s="6">
        <v>39.25</v>
      </c>
    </row>
    <row r="3452" spans="1:5" x14ac:dyDescent="0.25">
      <c r="A3452" s="4" t="s">
        <v>7</v>
      </c>
      <c r="B3452" s="4" t="s">
        <v>9476</v>
      </c>
      <c r="C3452" s="1" t="s">
        <v>9372</v>
      </c>
      <c r="D3452" s="1" t="s">
        <v>9373</v>
      </c>
      <c r="E3452" s="6">
        <v>15.74</v>
      </c>
    </row>
    <row r="3453" spans="1:5" x14ac:dyDescent="0.25">
      <c r="A3453" s="4" t="s">
        <v>7</v>
      </c>
      <c r="B3453" s="4" t="s">
        <v>9477</v>
      </c>
      <c r="C3453" s="1" t="s">
        <v>9478</v>
      </c>
      <c r="D3453" s="1" t="s">
        <v>9376</v>
      </c>
      <c r="E3453" s="6">
        <v>10.119999999999999</v>
      </c>
    </row>
    <row r="3454" spans="1:5" x14ac:dyDescent="0.25">
      <c r="A3454" s="4" t="s">
        <v>7</v>
      </c>
      <c r="B3454" s="4" t="s">
        <v>9479</v>
      </c>
      <c r="C3454" s="1" t="s">
        <v>9458</v>
      </c>
      <c r="D3454" s="1" t="s">
        <v>1864</v>
      </c>
      <c r="E3454" s="6">
        <v>17.5</v>
      </c>
    </row>
    <row r="3455" spans="1:5" x14ac:dyDescent="0.25">
      <c r="A3455" s="4" t="s">
        <v>7</v>
      </c>
      <c r="B3455" s="4" t="s">
        <v>9480</v>
      </c>
      <c r="C3455" s="1" t="s">
        <v>1837</v>
      </c>
      <c r="D3455" s="1" t="s">
        <v>1838</v>
      </c>
      <c r="E3455" s="6">
        <v>7.81</v>
      </c>
    </row>
    <row r="3456" spans="1:5" x14ac:dyDescent="0.25">
      <c r="A3456" s="4" t="s">
        <v>7</v>
      </c>
      <c r="B3456" s="4" t="s">
        <v>9481</v>
      </c>
      <c r="C3456" s="1" t="s">
        <v>9482</v>
      </c>
      <c r="D3456" s="1" t="s">
        <v>9483</v>
      </c>
      <c r="E3456" s="6">
        <v>3</v>
      </c>
    </row>
    <row r="3457" spans="1:5" x14ac:dyDescent="0.25">
      <c r="A3457" s="4" t="s">
        <v>7</v>
      </c>
      <c r="B3457" s="4" t="s">
        <v>9484</v>
      </c>
      <c r="C3457" s="1" t="s">
        <v>1849</v>
      </c>
      <c r="D3457" s="1" t="s">
        <v>1850</v>
      </c>
      <c r="E3457" s="6">
        <v>35.33</v>
      </c>
    </row>
    <row r="3458" spans="1:5" x14ac:dyDescent="0.25">
      <c r="A3458" s="4" t="s">
        <v>7</v>
      </c>
      <c r="B3458" s="4" t="s">
        <v>9485</v>
      </c>
      <c r="C3458" s="1" t="s">
        <v>9393</v>
      </c>
      <c r="D3458" s="1" t="s">
        <v>9393</v>
      </c>
      <c r="E3458" s="6">
        <v>3</v>
      </c>
    </row>
    <row r="3459" spans="1:5" x14ac:dyDescent="0.25">
      <c r="A3459" s="4" t="s">
        <v>7</v>
      </c>
      <c r="B3459" s="4" t="s">
        <v>9486</v>
      </c>
      <c r="C3459" s="1" t="s">
        <v>9487</v>
      </c>
      <c r="D3459" s="1" t="s">
        <v>9488</v>
      </c>
      <c r="E3459" s="6">
        <v>7.9</v>
      </c>
    </row>
    <row r="3460" spans="1:5" x14ac:dyDescent="0.25">
      <c r="A3460" s="4" t="s">
        <v>7</v>
      </c>
      <c r="B3460" s="4" t="s">
        <v>9489</v>
      </c>
      <c r="C3460" s="1" t="s">
        <v>9490</v>
      </c>
      <c r="D3460" s="1" t="s">
        <v>9491</v>
      </c>
      <c r="E3460" s="6">
        <v>6.79</v>
      </c>
    </row>
    <row r="3461" spans="1:5" x14ac:dyDescent="0.25">
      <c r="A3461" s="4" t="s">
        <v>7</v>
      </c>
      <c r="B3461" s="4" t="s">
        <v>9492</v>
      </c>
      <c r="C3461" s="1" t="s">
        <v>9493</v>
      </c>
      <c r="D3461" s="1" t="s">
        <v>9493</v>
      </c>
      <c r="E3461" s="6">
        <v>3</v>
      </c>
    </row>
    <row r="3462" spans="1:5" x14ac:dyDescent="0.25">
      <c r="A3462" s="4" t="s">
        <v>7</v>
      </c>
      <c r="B3462" s="4" t="s">
        <v>9494</v>
      </c>
      <c r="C3462" s="1" t="s">
        <v>9495</v>
      </c>
      <c r="D3462" s="1" t="s">
        <v>1864</v>
      </c>
      <c r="E3462" s="6">
        <v>17.5</v>
      </c>
    </row>
    <row r="3463" spans="1:5" x14ac:dyDescent="0.25">
      <c r="A3463" s="4" t="s">
        <v>7</v>
      </c>
      <c r="B3463" s="4" t="s">
        <v>9496</v>
      </c>
      <c r="C3463" s="1" t="s">
        <v>9497</v>
      </c>
      <c r="D3463" s="1" t="s">
        <v>9497</v>
      </c>
      <c r="E3463" s="6">
        <v>3</v>
      </c>
    </row>
    <row r="3464" spans="1:5" x14ac:dyDescent="0.25">
      <c r="A3464" s="4" t="s">
        <v>7</v>
      </c>
      <c r="B3464" s="4" t="s">
        <v>9498</v>
      </c>
      <c r="C3464" s="1" t="s">
        <v>9499</v>
      </c>
      <c r="D3464" s="1" t="s">
        <v>9499</v>
      </c>
      <c r="E3464" s="6">
        <v>29.38</v>
      </c>
    </row>
    <row r="3465" spans="1:5" x14ac:dyDescent="0.25">
      <c r="A3465" s="4" t="s">
        <v>7</v>
      </c>
      <c r="B3465" s="4" t="s">
        <v>9500</v>
      </c>
      <c r="C3465" s="1" t="s">
        <v>9501</v>
      </c>
      <c r="D3465" s="1" t="s">
        <v>9502</v>
      </c>
      <c r="E3465" s="6">
        <v>77</v>
      </c>
    </row>
    <row r="3466" spans="1:5" x14ac:dyDescent="0.25">
      <c r="A3466" s="4" t="s">
        <v>7</v>
      </c>
      <c r="B3466" s="4" t="s">
        <v>9503</v>
      </c>
      <c r="C3466" s="1" t="s">
        <v>2082</v>
      </c>
      <c r="D3466" s="1" t="s">
        <v>2082</v>
      </c>
      <c r="E3466" s="6">
        <v>20.36</v>
      </c>
    </row>
    <row r="3467" spans="1:5" x14ac:dyDescent="0.25">
      <c r="A3467" s="4" t="s">
        <v>7</v>
      </c>
      <c r="B3467" s="4" t="s">
        <v>9504</v>
      </c>
      <c r="C3467" s="1" t="s">
        <v>9505</v>
      </c>
      <c r="D3467" s="1" t="s">
        <v>9506</v>
      </c>
      <c r="E3467" s="6">
        <v>5.29</v>
      </c>
    </row>
    <row r="3468" spans="1:5" x14ac:dyDescent="0.25">
      <c r="A3468" s="4" t="s">
        <v>7</v>
      </c>
      <c r="B3468" s="4" t="s">
        <v>9507</v>
      </c>
      <c r="C3468" s="1" t="s">
        <v>9508</v>
      </c>
      <c r="D3468" s="1" t="s">
        <v>9509</v>
      </c>
      <c r="E3468" s="6">
        <v>175</v>
      </c>
    </row>
    <row r="3469" spans="1:5" x14ac:dyDescent="0.25">
      <c r="A3469" s="4" t="s">
        <v>7</v>
      </c>
      <c r="B3469" s="4" t="s">
        <v>9510</v>
      </c>
      <c r="C3469" s="1" t="s">
        <v>9511</v>
      </c>
      <c r="D3469" s="1" t="s">
        <v>9512</v>
      </c>
      <c r="E3469" s="6">
        <v>76.239999999999995</v>
      </c>
    </row>
    <row r="3470" spans="1:5" x14ac:dyDescent="0.25">
      <c r="A3470" s="4" t="s">
        <v>7</v>
      </c>
      <c r="B3470" s="4" t="s">
        <v>9513</v>
      </c>
      <c r="C3470" s="1" t="s">
        <v>9514</v>
      </c>
      <c r="D3470" s="1" t="s">
        <v>9515</v>
      </c>
      <c r="E3470" s="6">
        <v>6.79</v>
      </c>
    </row>
    <row r="3471" spans="1:5" x14ac:dyDescent="0.25">
      <c r="A3471" s="4" t="s">
        <v>7</v>
      </c>
      <c r="B3471" s="4" t="s">
        <v>9516</v>
      </c>
      <c r="C3471" s="1" t="s">
        <v>9517</v>
      </c>
      <c r="D3471" s="1" t="s">
        <v>9518</v>
      </c>
      <c r="E3471" s="6">
        <v>306.5</v>
      </c>
    </row>
    <row r="3472" spans="1:5" x14ac:dyDescent="0.25">
      <c r="A3472" s="4" t="s">
        <v>7</v>
      </c>
      <c r="B3472" s="4" t="s">
        <v>9519</v>
      </c>
      <c r="C3472" s="1" t="s">
        <v>9520</v>
      </c>
      <c r="D3472" s="1" t="s">
        <v>9520</v>
      </c>
      <c r="E3472" s="6">
        <v>119.5</v>
      </c>
    </row>
    <row r="3473" spans="1:5" x14ac:dyDescent="0.25">
      <c r="A3473" s="4" t="s">
        <v>7</v>
      </c>
      <c r="B3473" s="4" t="s">
        <v>9521</v>
      </c>
      <c r="C3473" s="1" t="s">
        <v>9522</v>
      </c>
      <c r="D3473" s="1" t="s">
        <v>9523</v>
      </c>
      <c r="E3473" s="6">
        <v>170</v>
      </c>
    </row>
    <row r="3474" spans="1:5" x14ac:dyDescent="0.25">
      <c r="A3474" s="4" t="s">
        <v>7</v>
      </c>
      <c r="B3474" s="4" t="s">
        <v>9524</v>
      </c>
      <c r="C3474" s="1" t="s">
        <v>9525</v>
      </c>
      <c r="D3474" s="1" t="s">
        <v>9525</v>
      </c>
      <c r="E3474" s="6">
        <v>2.66</v>
      </c>
    </row>
    <row r="3475" spans="1:5" x14ac:dyDescent="0.25">
      <c r="A3475" s="4" t="s">
        <v>7</v>
      </c>
      <c r="B3475" s="4" t="s">
        <v>9526</v>
      </c>
      <c r="C3475" s="1" t="s">
        <v>9527</v>
      </c>
      <c r="D3475" s="1" t="s">
        <v>9528</v>
      </c>
      <c r="E3475" s="6">
        <v>41.65</v>
      </c>
    </row>
    <row r="3476" spans="1:5" x14ac:dyDescent="0.25">
      <c r="A3476" s="4" t="s">
        <v>7</v>
      </c>
      <c r="B3476" s="4" t="s">
        <v>9529</v>
      </c>
      <c r="C3476" s="1" t="s">
        <v>9530</v>
      </c>
      <c r="D3476" s="1" t="s">
        <v>9530</v>
      </c>
      <c r="E3476" s="6">
        <v>5.75</v>
      </c>
    </row>
    <row r="3477" spans="1:5" x14ac:dyDescent="0.25">
      <c r="A3477" s="4" t="s">
        <v>7</v>
      </c>
      <c r="B3477" s="4" t="s">
        <v>9531</v>
      </c>
      <c r="C3477" s="1" t="s">
        <v>1871</v>
      </c>
      <c r="D3477" s="1" t="s">
        <v>1871</v>
      </c>
      <c r="E3477" s="6">
        <v>2.25</v>
      </c>
    </row>
    <row r="3478" spans="1:5" x14ac:dyDescent="0.25">
      <c r="A3478" s="4" t="s">
        <v>7</v>
      </c>
      <c r="B3478" s="4" t="s">
        <v>9532</v>
      </c>
      <c r="C3478" s="1" t="s">
        <v>9533</v>
      </c>
      <c r="D3478" s="1" t="s">
        <v>9534</v>
      </c>
      <c r="E3478" s="6">
        <v>4.4800000000000004</v>
      </c>
    </row>
    <row r="3479" spans="1:5" x14ac:dyDescent="0.25">
      <c r="A3479" s="4" t="s">
        <v>7</v>
      </c>
      <c r="B3479" s="4" t="s">
        <v>9535</v>
      </c>
      <c r="C3479" s="1" t="s">
        <v>9536</v>
      </c>
      <c r="D3479" s="1" t="s">
        <v>9537</v>
      </c>
      <c r="E3479" s="6">
        <v>2.6</v>
      </c>
    </row>
    <row r="3480" spans="1:5" x14ac:dyDescent="0.25">
      <c r="A3480" s="4" t="s">
        <v>7</v>
      </c>
      <c r="B3480" s="4" t="s">
        <v>9538</v>
      </c>
      <c r="C3480" s="1" t="s">
        <v>9539</v>
      </c>
      <c r="D3480" s="1" t="s">
        <v>9534</v>
      </c>
      <c r="E3480" s="6">
        <v>3.26</v>
      </c>
    </row>
    <row r="3481" spans="1:5" x14ac:dyDescent="0.25">
      <c r="A3481" s="4" t="s">
        <v>7</v>
      </c>
      <c r="B3481" s="4" t="s">
        <v>9540</v>
      </c>
      <c r="C3481" s="1" t="s">
        <v>9541</v>
      </c>
      <c r="D3481" s="1" t="s">
        <v>9541</v>
      </c>
      <c r="E3481" s="6">
        <v>2</v>
      </c>
    </row>
    <row r="3482" spans="1:5" x14ac:dyDescent="0.25">
      <c r="A3482" s="4" t="s">
        <v>7</v>
      </c>
      <c r="B3482" s="4" t="s">
        <v>9542</v>
      </c>
      <c r="C3482" s="1" t="s">
        <v>9543</v>
      </c>
      <c r="D3482" s="1" t="s">
        <v>9543</v>
      </c>
      <c r="E3482" s="6">
        <v>4.2300000000000004</v>
      </c>
    </row>
    <row r="3483" spans="1:5" x14ac:dyDescent="0.25">
      <c r="A3483" s="4" t="s">
        <v>7</v>
      </c>
      <c r="B3483" s="4" t="s">
        <v>9544</v>
      </c>
      <c r="C3483" s="1" t="s">
        <v>9545</v>
      </c>
      <c r="D3483" s="1" t="s">
        <v>9546</v>
      </c>
      <c r="E3483" s="6">
        <v>7.54</v>
      </c>
    </row>
    <row r="3484" spans="1:5" x14ac:dyDescent="0.25">
      <c r="A3484" s="4" t="s">
        <v>7</v>
      </c>
      <c r="B3484" s="4" t="s">
        <v>9547</v>
      </c>
      <c r="C3484" s="1" t="s">
        <v>9548</v>
      </c>
      <c r="D3484" s="1" t="s">
        <v>9549</v>
      </c>
      <c r="E3484" s="6">
        <v>4.07</v>
      </c>
    </row>
    <row r="3485" spans="1:5" x14ac:dyDescent="0.25">
      <c r="A3485" s="4" t="s">
        <v>7</v>
      </c>
      <c r="B3485" s="4" t="s">
        <v>9550</v>
      </c>
      <c r="C3485" s="1" t="s">
        <v>9551</v>
      </c>
      <c r="D3485" s="1" t="s">
        <v>9552</v>
      </c>
      <c r="E3485" s="6">
        <v>11.28</v>
      </c>
    </row>
    <row r="3486" spans="1:5" x14ac:dyDescent="0.25">
      <c r="A3486" s="4" t="s">
        <v>7</v>
      </c>
      <c r="B3486" s="4" t="s">
        <v>9553</v>
      </c>
      <c r="C3486" s="1" t="s">
        <v>9554</v>
      </c>
      <c r="D3486" s="1" t="s">
        <v>9554</v>
      </c>
      <c r="E3486" s="6">
        <v>3.67</v>
      </c>
    </row>
    <row r="3487" spans="1:5" x14ac:dyDescent="0.25">
      <c r="A3487" s="4" t="s">
        <v>7</v>
      </c>
      <c r="B3487" s="4" t="s">
        <v>9555</v>
      </c>
      <c r="C3487" s="1" t="s">
        <v>9556</v>
      </c>
      <c r="D3487" s="1" t="s">
        <v>9557</v>
      </c>
      <c r="E3487" s="6">
        <v>3.67</v>
      </c>
    </row>
    <row r="3488" spans="1:5" x14ac:dyDescent="0.25">
      <c r="A3488" s="4" t="s">
        <v>7</v>
      </c>
      <c r="B3488" s="4" t="s">
        <v>9558</v>
      </c>
      <c r="C3488" s="1" t="s">
        <v>9559</v>
      </c>
      <c r="D3488" s="1" t="s">
        <v>9560</v>
      </c>
      <c r="E3488" s="6">
        <v>6</v>
      </c>
    </row>
    <row r="3489" spans="1:5" x14ac:dyDescent="0.25">
      <c r="A3489" s="4" t="s">
        <v>7</v>
      </c>
      <c r="B3489" s="4" t="s">
        <v>9561</v>
      </c>
      <c r="C3489" s="1" t="s">
        <v>9562</v>
      </c>
      <c r="D3489" s="1" t="s">
        <v>9562</v>
      </c>
      <c r="E3489" s="6">
        <v>9</v>
      </c>
    </row>
    <row r="3490" spans="1:5" x14ac:dyDescent="0.25">
      <c r="A3490" s="4" t="s">
        <v>7</v>
      </c>
      <c r="B3490" s="4" t="s">
        <v>9563</v>
      </c>
      <c r="C3490" s="1" t="s">
        <v>9564</v>
      </c>
      <c r="D3490" s="1" t="s">
        <v>9560</v>
      </c>
      <c r="E3490" s="6">
        <v>6.72</v>
      </c>
    </row>
    <row r="3491" spans="1:5" x14ac:dyDescent="0.25">
      <c r="A3491" s="4" t="s">
        <v>7</v>
      </c>
      <c r="B3491" s="4" t="s">
        <v>9565</v>
      </c>
      <c r="C3491" s="1" t="s">
        <v>9566</v>
      </c>
      <c r="D3491" s="1" t="s">
        <v>9566</v>
      </c>
      <c r="E3491" s="6">
        <v>11.24</v>
      </c>
    </row>
    <row r="3492" spans="1:5" x14ac:dyDescent="0.25">
      <c r="A3492" s="4" t="s">
        <v>7</v>
      </c>
      <c r="B3492" s="4" t="s">
        <v>9567</v>
      </c>
      <c r="C3492" s="1" t="s">
        <v>9568</v>
      </c>
      <c r="D3492" s="1" t="s">
        <v>9569</v>
      </c>
      <c r="E3492" s="6">
        <v>4</v>
      </c>
    </row>
    <row r="3493" spans="1:5" x14ac:dyDescent="0.25">
      <c r="A3493" s="4" t="s">
        <v>7</v>
      </c>
      <c r="B3493" s="4" t="s">
        <v>9570</v>
      </c>
      <c r="C3493" s="1" t="s">
        <v>9383</v>
      </c>
      <c r="D3493" s="1" t="s">
        <v>9384</v>
      </c>
      <c r="E3493" s="6">
        <v>15</v>
      </c>
    </row>
    <row r="3494" spans="1:5" x14ac:dyDescent="0.25">
      <c r="A3494" s="4" t="s">
        <v>7</v>
      </c>
      <c r="B3494" s="4" t="s">
        <v>9571</v>
      </c>
      <c r="C3494" s="1" t="s">
        <v>9572</v>
      </c>
      <c r="D3494" s="1" t="s">
        <v>9573</v>
      </c>
      <c r="E3494" s="6">
        <v>38</v>
      </c>
    </row>
    <row r="3495" spans="1:5" x14ac:dyDescent="0.25">
      <c r="A3495" s="4" t="s">
        <v>7</v>
      </c>
      <c r="B3495" s="4" t="s">
        <v>9574</v>
      </c>
      <c r="C3495" s="1" t="s">
        <v>9575</v>
      </c>
      <c r="D3495" s="1" t="s">
        <v>9575</v>
      </c>
      <c r="E3495" s="6">
        <v>8</v>
      </c>
    </row>
    <row r="3496" spans="1:5" x14ac:dyDescent="0.25">
      <c r="A3496" s="4" t="s">
        <v>7</v>
      </c>
      <c r="B3496" s="4" t="s">
        <v>9576</v>
      </c>
      <c r="C3496" s="1" t="s">
        <v>9577</v>
      </c>
      <c r="D3496" s="1" t="s">
        <v>9577</v>
      </c>
      <c r="E3496" s="6">
        <v>4.1900000000000004</v>
      </c>
    </row>
    <row r="3497" spans="1:5" x14ac:dyDescent="0.25">
      <c r="A3497" s="4" t="s">
        <v>7</v>
      </c>
      <c r="B3497" s="4" t="s">
        <v>9578</v>
      </c>
      <c r="C3497" s="1" t="s">
        <v>9579</v>
      </c>
      <c r="D3497" s="1" t="s">
        <v>9580</v>
      </c>
      <c r="E3497" s="6">
        <v>7.33</v>
      </c>
    </row>
    <row r="3498" spans="1:5" x14ac:dyDescent="0.25">
      <c r="A3498" s="4" t="s">
        <v>7</v>
      </c>
      <c r="B3498" s="4" t="s">
        <v>9581</v>
      </c>
      <c r="C3498" s="1" t="s">
        <v>9582</v>
      </c>
      <c r="D3498" s="1" t="s">
        <v>9582</v>
      </c>
      <c r="E3498" s="6">
        <v>3.5</v>
      </c>
    </row>
    <row r="3499" spans="1:5" x14ac:dyDescent="0.25">
      <c r="A3499" s="4" t="s">
        <v>7</v>
      </c>
      <c r="B3499" s="4" t="s">
        <v>9583</v>
      </c>
      <c r="C3499" s="1" t="s">
        <v>9584</v>
      </c>
      <c r="D3499" s="1" t="s">
        <v>9585</v>
      </c>
      <c r="E3499" s="6">
        <v>11.05</v>
      </c>
    </row>
    <row r="3500" spans="1:5" x14ac:dyDescent="0.25">
      <c r="A3500" s="4" t="s">
        <v>7</v>
      </c>
      <c r="B3500" s="4" t="s">
        <v>9586</v>
      </c>
      <c r="C3500" s="1" t="s">
        <v>9587</v>
      </c>
      <c r="D3500" s="1" t="s">
        <v>9588</v>
      </c>
      <c r="E3500" s="6">
        <v>20.57</v>
      </c>
    </row>
    <row r="3501" spans="1:5" x14ac:dyDescent="0.25">
      <c r="A3501" s="4" t="s">
        <v>7</v>
      </c>
      <c r="B3501" s="4" t="s">
        <v>9589</v>
      </c>
      <c r="C3501" s="1" t="s">
        <v>9590</v>
      </c>
      <c r="D3501" s="1" t="s">
        <v>9591</v>
      </c>
      <c r="E3501" s="6">
        <v>4.6900000000000004</v>
      </c>
    </row>
    <row r="3502" spans="1:5" x14ac:dyDescent="0.25">
      <c r="A3502" s="4" t="s">
        <v>7</v>
      </c>
      <c r="B3502" s="4" t="s">
        <v>9592</v>
      </c>
      <c r="C3502" s="1" t="s">
        <v>9593</v>
      </c>
      <c r="D3502" s="1" t="s">
        <v>9594</v>
      </c>
      <c r="E3502" s="6">
        <v>14.66</v>
      </c>
    </row>
    <row r="3503" spans="1:5" x14ac:dyDescent="0.25">
      <c r="A3503" s="4" t="s">
        <v>7</v>
      </c>
      <c r="B3503" s="4" t="s">
        <v>9595</v>
      </c>
      <c r="C3503" s="1" t="s">
        <v>9596</v>
      </c>
      <c r="D3503" s="1" t="s">
        <v>9597</v>
      </c>
      <c r="E3503" s="6">
        <v>32</v>
      </c>
    </row>
    <row r="3504" spans="1:5" x14ac:dyDescent="0.25">
      <c r="A3504" s="4" t="s">
        <v>7</v>
      </c>
      <c r="B3504" s="4" t="s">
        <v>9598</v>
      </c>
      <c r="C3504" s="1" t="s">
        <v>9599</v>
      </c>
      <c r="D3504" s="1" t="s">
        <v>9600</v>
      </c>
      <c r="E3504" s="6">
        <v>7.74</v>
      </c>
    </row>
    <row r="3505" spans="1:5" x14ac:dyDescent="0.25">
      <c r="A3505" s="4" t="s">
        <v>7</v>
      </c>
      <c r="B3505" s="4" t="s">
        <v>9601</v>
      </c>
      <c r="C3505" s="1" t="s">
        <v>9602</v>
      </c>
      <c r="D3505" s="1" t="s">
        <v>9602</v>
      </c>
      <c r="E3505" s="6">
        <v>6</v>
      </c>
    </row>
    <row r="3506" spans="1:5" x14ac:dyDescent="0.25">
      <c r="A3506" s="4" t="s">
        <v>7</v>
      </c>
      <c r="B3506" s="4" t="s">
        <v>9603</v>
      </c>
      <c r="C3506" s="1" t="s">
        <v>9604</v>
      </c>
      <c r="D3506" s="1" t="s">
        <v>9605</v>
      </c>
      <c r="E3506" s="6">
        <v>14.29</v>
      </c>
    </row>
    <row r="3507" spans="1:5" x14ac:dyDescent="0.25">
      <c r="A3507" s="4" t="s">
        <v>7</v>
      </c>
      <c r="B3507" s="4" t="s">
        <v>9606</v>
      </c>
      <c r="C3507" s="1" t="s">
        <v>9607</v>
      </c>
      <c r="D3507" s="1" t="s">
        <v>9607</v>
      </c>
      <c r="E3507" s="6">
        <v>5.7</v>
      </c>
    </row>
    <row r="3508" spans="1:5" x14ac:dyDescent="0.25">
      <c r="A3508" s="4" t="s">
        <v>7</v>
      </c>
      <c r="B3508" s="4" t="s">
        <v>9608</v>
      </c>
      <c r="C3508" s="1" t="s">
        <v>9609</v>
      </c>
      <c r="D3508" s="1" t="s">
        <v>9609</v>
      </c>
      <c r="E3508" s="6">
        <v>20.48</v>
      </c>
    </row>
    <row r="3509" spans="1:5" x14ac:dyDescent="0.25">
      <c r="A3509" s="4" t="s">
        <v>7</v>
      </c>
      <c r="B3509" s="4" t="s">
        <v>9610</v>
      </c>
      <c r="C3509" s="1" t="s">
        <v>9611</v>
      </c>
      <c r="D3509" s="1" t="s">
        <v>9612</v>
      </c>
      <c r="E3509" s="6">
        <v>2.2799999999999998</v>
      </c>
    </row>
    <row r="3510" spans="1:5" x14ac:dyDescent="0.25">
      <c r="A3510" s="4" t="s">
        <v>7</v>
      </c>
      <c r="B3510" s="4" t="s">
        <v>9613</v>
      </c>
      <c r="C3510" s="1" t="s">
        <v>9614</v>
      </c>
      <c r="D3510" s="1" t="s">
        <v>9614</v>
      </c>
      <c r="E3510" s="6">
        <v>5.2</v>
      </c>
    </row>
    <row r="3511" spans="1:5" x14ac:dyDescent="0.25">
      <c r="A3511" s="4" t="s">
        <v>7</v>
      </c>
      <c r="B3511" s="4" t="s">
        <v>9615</v>
      </c>
      <c r="C3511" s="1" t="s">
        <v>9616</v>
      </c>
      <c r="D3511" s="1" t="s">
        <v>9617</v>
      </c>
      <c r="E3511" s="6">
        <v>148.9</v>
      </c>
    </row>
    <row r="3512" spans="1:5" x14ac:dyDescent="0.25">
      <c r="A3512" s="4" t="s">
        <v>7</v>
      </c>
      <c r="B3512" s="4" t="s">
        <v>9618</v>
      </c>
      <c r="C3512" s="1" t="s">
        <v>9619</v>
      </c>
      <c r="D3512" s="1" t="s">
        <v>9620</v>
      </c>
      <c r="E3512" s="6">
        <v>22.48</v>
      </c>
    </row>
    <row r="3513" spans="1:5" x14ac:dyDescent="0.25">
      <c r="A3513" s="4" t="s">
        <v>7</v>
      </c>
      <c r="B3513" s="4" t="s">
        <v>9621</v>
      </c>
      <c r="C3513" s="1" t="s">
        <v>9622</v>
      </c>
      <c r="D3513" s="1" t="s">
        <v>9622</v>
      </c>
      <c r="E3513" s="6">
        <v>50</v>
      </c>
    </row>
    <row r="3514" spans="1:5" x14ac:dyDescent="0.25">
      <c r="A3514" s="4" t="s">
        <v>7</v>
      </c>
      <c r="B3514" s="4" t="s">
        <v>9623</v>
      </c>
      <c r="C3514" s="1" t="s">
        <v>9624</v>
      </c>
      <c r="D3514" s="1" t="s">
        <v>9624</v>
      </c>
      <c r="E3514" s="6">
        <v>135</v>
      </c>
    </row>
    <row r="3515" spans="1:5" x14ac:dyDescent="0.25">
      <c r="A3515" s="4" t="s">
        <v>7</v>
      </c>
      <c r="B3515" s="4" t="s">
        <v>9625</v>
      </c>
      <c r="C3515" s="1" t="s">
        <v>9626</v>
      </c>
      <c r="D3515" s="1" t="s">
        <v>1906</v>
      </c>
      <c r="E3515" s="6">
        <v>1.65</v>
      </c>
    </row>
    <row r="3516" spans="1:5" x14ac:dyDescent="0.25">
      <c r="A3516" s="4" t="s">
        <v>7</v>
      </c>
      <c r="B3516" s="4" t="s">
        <v>9627</v>
      </c>
      <c r="C3516" s="1" t="s">
        <v>9628</v>
      </c>
      <c r="D3516" s="1" t="s">
        <v>1906</v>
      </c>
      <c r="E3516" s="6">
        <v>2</v>
      </c>
    </row>
    <row r="3517" spans="1:5" x14ac:dyDescent="0.25">
      <c r="A3517" s="4" t="s">
        <v>7</v>
      </c>
      <c r="B3517" s="4" t="s">
        <v>9629</v>
      </c>
      <c r="C3517" s="1" t="s">
        <v>9630</v>
      </c>
      <c r="D3517" s="1" t="s">
        <v>9631</v>
      </c>
      <c r="E3517" s="6">
        <v>2.85</v>
      </c>
    </row>
    <row r="3518" spans="1:5" x14ac:dyDescent="0.25">
      <c r="A3518" s="4" t="s">
        <v>7</v>
      </c>
      <c r="B3518" s="4" t="s">
        <v>9632</v>
      </c>
      <c r="C3518" s="1" t="s">
        <v>9633</v>
      </c>
      <c r="D3518" s="1" t="s">
        <v>9633</v>
      </c>
      <c r="E3518" s="6">
        <v>12.14</v>
      </c>
    </row>
    <row r="3519" spans="1:5" x14ac:dyDescent="0.25">
      <c r="A3519" s="4" t="s">
        <v>7</v>
      </c>
      <c r="B3519" s="4" t="s">
        <v>9634</v>
      </c>
      <c r="C3519" s="1" t="s">
        <v>9635</v>
      </c>
      <c r="D3519" s="1" t="s">
        <v>9636</v>
      </c>
      <c r="E3519" s="6">
        <v>5</v>
      </c>
    </row>
    <row r="3520" spans="1:5" x14ac:dyDescent="0.25">
      <c r="A3520" s="4" t="s">
        <v>7</v>
      </c>
      <c r="B3520" s="4" t="s">
        <v>9637</v>
      </c>
      <c r="C3520" s="1" t="s">
        <v>9638</v>
      </c>
      <c r="D3520" s="1" t="s">
        <v>9639</v>
      </c>
      <c r="E3520" s="6">
        <v>4.8899999999999997</v>
      </c>
    </row>
    <row r="3521" spans="1:5" x14ac:dyDescent="0.25">
      <c r="A3521" s="4" t="s">
        <v>7</v>
      </c>
      <c r="B3521" s="4" t="s">
        <v>9640</v>
      </c>
      <c r="C3521" s="1" t="s">
        <v>9641</v>
      </c>
      <c r="D3521" s="1" t="s">
        <v>9642</v>
      </c>
      <c r="E3521" s="6">
        <v>165</v>
      </c>
    </row>
    <row r="3522" spans="1:5" x14ac:dyDescent="0.25">
      <c r="A3522" s="4" t="s">
        <v>7</v>
      </c>
      <c r="B3522" s="4" t="s">
        <v>9643</v>
      </c>
      <c r="C3522" s="1" t="s">
        <v>9644</v>
      </c>
      <c r="D3522" s="1" t="s">
        <v>9644</v>
      </c>
      <c r="E3522" s="6">
        <v>11.81</v>
      </c>
    </row>
    <row r="3523" spans="1:5" x14ac:dyDescent="0.25">
      <c r="A3523" s="4" t="s">
        <v>7</v>
      </c>
      <c r="B3523" s="4" t="s">
        <v>9645</v>
      </c>
      <c r="C3523" s="1" t="s">
        <v>9646</v>
      </c>
      <c r="D3523" s="1" t="s">
        <v>9646</v>
      </c>
      <c r="E3523" s="6">
        <v>52.94</v>
      </c>
    </row>
    <row r="3524" spans="1:5" x14ac:dyDescent="0.25">
      <c r="A3524" s="4" t="s">
        <v>7</v>
      </c>
      <c r="B3524" s="4" t="s">
        <v>9647</v>
      </c>
      <c r="C3524" s="1" t="s">
        <v>9648</v>
      </c>
      <c r="D3524" s="1" t="s">
        <v>9648</v>
      </c>
      <c r="E3524" s="6">
        <v>7.33</v>
      </c>
    </row>
    <row r="3525" spans="1:5" x14ac:dyDescent="0.25">
      <c r="A3525" s="4" t="s">
        <v>7</v>
      </c>
      <c r="B3525" s="4" t="s">
        <v>9649</v>
      </c>
      <c r="C3525" s="1" t="s">
        <v>9650</v>
      </c>
      <c r="D3525" s="1" t="s">
        <v>9650</v>
      </c>
      <c r="E3525" s="6">
        <v>5</v>
      </c>
    </row>
    <row r="3526" spans="1:5" x14ac:dyDescent="0.25">
      <c r="A3526" s="4" t="s">
        <v>7</v>
      </c>
      <c r="B3526" s="4" t="s">
        <v>9651</v>
      </c>
      <c r="C3526" s="1" t="s">
        <v>9652</v>
      </c>
      <c r="D3526" s="1" t="s">
        <v>9652</v>
      </c>
      <c r="E3526" s="6">
        <v>5.7</v>
      </c>
    </row>
    <row r="3527" spans="1:5" x14ac:dyDescent="0.25">
      <c r="A3527" s="4" t="s">
        <v>7</v>
      </c>
      <c r="B3527" s="4" t="s">
        <v>9653</v>
      </c>
      <c r="C3527" s="1" t="s">
        <v>9654</v>
      </c>
      <c r="D3527" s="1" t="s">
        <v>9654</v>
      </c>
      <c r="E3527" s="6">
        <v>6</v>
      </c>
    </row>
    <row r="3528" spans="1:5" x14ac:dyDescent="0.25">
      <c r="A3528" s="4" t="s">
        <v>7</v>
      </c>
      <c r="B3528" s="4" t="s">
        <v>9655</v>
      </c>
      <c r="C3528" s="1" t="s">
        <v>9656</v>
      </c>
      <c r="D3528" s="1" t="s">
        <v>9656</v>
      </c>
      <c r="E3528" s="6">
        <v>10</v>
      </c>
    </row>
    <row r="3529" spans="1:5" x14ac:dyDescent="0.25">
      <c r="A3529" s="4" t="s">
        <v>7</v>
      </c>
      <c r="B3529" s="4" t="s">
        <v>9657</v>
      </c>
      <c r="C3529" s="1" t="s">
        <v>9658</v>
      </c>
      <c r="D3529" s="1" t="s">
        <v>9659</v>
      </c>
      <c r="E3529" s="6">
        <v>16.29</v>
      </c>
    </row>
    <row r="3530" spans="1:5" x14ac:dyDescent="0.25">
      <c r="A3530" s="4" t="s">
        <v>7</v>
      </c>
      <c r="B3530" s="4" t="s">
        <v>9660</v>
      </c>
      <c r="C3530" s="1" t="s">
        <v>9661</v>
      </c>
      <c r="D3530" s="1" t="s">
        <v>9662</v>
      </c>
      <c r="E3530" s="6">
        <v>8.7100000000000009</v>
      </c>
    </row>
    <row r="3531" spans="1:5" x14ac:dyDescent="0.25">
      <c r="A3531" s="4" t="s">
        <v>7</v>
      </c>
      <c r="B3531" s="4" t="s">
        <v>9663</v>
      </c>
      <c r="C3531" s="1" t="s">
        <v>9664</v>
      </c>
      <c r="D3531" s="1" t="s">
        <v>9665</v>
      </c>
      <c r="E3531" s="6">
        <v>4.68</v>
      </c>
    </row>
    <row r="3532" spans="1:5" x14ac:dyDescent="0.25">
      <c r="A3532" s="4" t="s">
        <v>7</v>
      </c>
      <c r="B3532" s="4" t="s">
        <v>9666</v>
      </c>
      <c r="C3532" s="1" t="s">
        <v>9667</v>
      </c>
      <c r="D3532" s="1" t="s">
        <v>9668</v>
      </c>
      <c r="E3532" s="6">
        <v>7.54</v>
      </c>
    </row>
    <row r="3533" spans="1:5" x14ac:dyDescent="0.25">
      <c r="A3533" s="4" t="s">
        <v>7</v>
      </c>
      <c r="B3533" s="4" t="s">
        <v>9669</v>
      </c>
      <c r="C3533" s="1" t="s">
        <v>9670</v>
      </c>
      <c r="D3533" s="1" t="s">
        <v>9671</v>
      </c>
      <c r="E3533" s="6">
        <v>10.52</v>
      </c>
    </row>
    <row r="3534" spans="1:5" x14ac:dyDescent="0.25">
      <c r="A3534" s="4" t="s">
        <v>7</v>
      </c>
      <c r="B3534" s="4" t="s">
        <v>9672</v>
      </c>
      <c r="C3534" s="1" t="s">
        <v>9673</v>
      </c>
      <c r="D3534" s="1" t="s">
        <v>9673</v>
      </c>
      <c r="E3534" s="6">
        <v>8.15</v>
      </c>
    </row>
    <row r="3535" spans="1:5" x14ac:dyDescent="0.25">
      <c r="A3535" s="4" t="s">
        <v>7</v>
      </c>
      <c r="B3535" s="4" t="s">
        <v>9674</v>
      </c>
      <c r="C3535" s="1" t="s">
        <v>9675</v>
      </c>
      <c r="D3535" s="1" t="s">
        <v>9675</v>
      </c>
      <c r="E3535" s="6">
        <v>4.72</v>
      </c>
    </row>
    <row r="3536" spans="1:5" x14ac:dyDescent="0.25">
      <c r="A3536" s="4" t="s">
        <v>7</v>
      </c>
      <c r="B3536" s="4" t="s">
        <v>9676</v>
      </c>
      <c r="C3536" s="1" t="s">
        <v>9677</v>
      </c>
      <c r="D3536" s="1" t="s">
        <v>1926</v>
      </c>
      <c r="E3536" s="6">
        <v>2.25</v>
      </c>
    </row>
    <row r="3537" spans="1:5" x14ac:dyDescent="0.25">
      <c r="A3537" s="4" t="s">
        <v>7</v>
      </c>
      <c r="B3537" s="4" t="s">
        <v>9678</v>
      </c>
      <c r="C3537" s="1" t="s">
        <v>1931</v>
      </c>
      <c r="D3537" s="1" t="s">
        <v>1931</v>
      </c>
      <c r="E3537" s="6">
        <v>2</v>
      </c>
    </row>
    <row r="3538" spans="1:5" x14ac:dyDescent="0.25">
      <c r="A3538" s="4" t="s">
        <v>7</v>
      </c>
      <c r="B3538" s="4" t="s">
        <v>9679</v>
      </c>
      <c r="C3538" s="1" t="s">
        <v>9680</v>
      </c>
      <c r="D3538" s="1" t="s">
        <v>9681</v>
      </c>
      <c r="E3538" s="6">
        <v>4.5</v>
      </c>
    </row>
    <row r="3539" spans="1:5" x14ac:dyDescent="0.25">
      <c r="A3539" s="4" t="s">
        <v>7</v>
      </c>
      <c r="B3539" s="4" t="s">
        <v>9682</v>
      </c>
      <c r="C3539" s="1" t="s">
        <v>1933</v>
      </c>
      <c r="D3539" s="1" t="s">
        <v>1934</v>
      </c>
      <c r="E3539" s="6">
        <v>17.5</v>
      </c>
    </row>
    <row r="3540" spans="1:5" x14ac:dyDescent="0.25">
      <c r="A3540" s="4" t="s">
        <v>7</v>
      </c>
      <c r="B3540" s="4" t="s">
        <v>9683</v>
      </c>
      <c r="C3540" s="1" t="s">
        <v>9684</v>
      </c>
      <c r="D3540" s="1" t="s">
        <v>9685</v>
      </c>
      <c r="E3540" s="6">
        <v>4</v>
      </c>
    </row>
    <row r="3541" spans="1:5" x14ac:dyDescent="0.25">
      <c r="A3541" s="4" t="s">
        <v>7</v>
      </c>
      <c r="B3541" s="4" t="s">
        <v>9686</v>
      </c>
      <c r="C3541" s="1" t="s">
        <v>9687</v>
      </c>
      <c r="D3541" s="1" t="s">
        <v>9688</v>
      </c>
      <c r="E3541" s="6">
        <v>3.26</v>
      </c>
    </row>
    <row r="3542" spans="1:5" x14ac:dyDescent="0.25">
      <c r="A3542" s="4" t="s">
        <v>7</v>
      </c>
      <c r="B3542" s="4" t="s">
        <v>9689</v>
      </c>
      <c r="C3542" s="1" t="s">
        <v>9690</v>
      </c>
      <c r="D3542" s="1" t="s">
        <v>9691</v>
      </c>
      <c r="E3542" s="6">
        <v>7.94</v>
      </c>
    </row>
    <row r="3543" spans="1:5" x14ac:dyDescent="0.25">
      <c r="A3543" s="4" t="s">
        <v>7</v>
      </c>
      <c r="B3543" s="4" t="s">
        <v>9692</v>
      </c>
      <c r="C3543" s="1" t="s">
        <v>9693</v>
      </c>
      <c r="D3543" s="1" t="s">
        <v>9694</v>
      </c>
      <c r="E3543" s="6">
        <v>73.31</v>
      </c>
    </row>
    <row r="3544" spans="1:5" x14ac:dyDescent="0.25">
      <c r="A3544" s="4" t="s">
        <v>7</v>
      </c>
      <c r="B3544" s="4" t="s">
        <v>9695</v>
      </c>
      <c r="C3544" s="1" t="s">
        <v>9696</v>
      </c>
      <c r="D3544" s="1" t="s">
        <v>9697</v>
      </c>
      <c r="E3544" s="6">
        <v>3.67</v>
      </c>
    </row>
    <row r="3545" spans="1:5" x14ac:dyDescent="0.25">
      <c r="A3545" s="4" t="s">
        <v>7</v>
      </c>
      <c r="B3545" s="4" t="s">
        <v>9698</v>
      </c>
      <c r="C3545" s="1" t="s">
        <v>1939</v>
      </c>
      <c r="D3545" s="1" t="s">
        <v>1940</v>
      </c>
      <c r="E3545" s="6">
        <v>5</v>
      </c>
    </row>
    <row r="3546" spans="1:5" x14ac:dyDescent="0.25">
      <c r="A3546" s="4" t="s">
        <v>7</v>
      </c>
      <c r="B3546" s="4" t="s">
        <v>9699</v>
      </c>
      <c r="C3546" s="1" t="s">
        <v>9700</v>
      </c>
      <c r="D3546" s="1" t="s">
        <v>9701</v>
      </c>
      <c r="E3546" s="6">
        <v>9.16</v>
      </c>
    </row>
    <row r="3547" spans="1:5" x14ac:dyDescent="0.25">
      <c r="A3547" s="4" t="s">
        <v>7</v>
      </c>
      <c r="B3547" s="4" t="s">
        <v>9702</v>
      </c>
      <c r="C3547" s="1" t="s">
        <v>9703</v>
      </c>
      <c r="D3547" s="1" t="s">
        <v>9704</v>
      </c>
      <c r="E3547" s="6">
        <v>31</v>
      </c>
    </row>
    <row r="3548" spans="1:5" x14ac:dyDescent="0.25">
      <c r="A3548" s="4" t="s">
        <v>7</v>
      </c>
      <c r="B3548" s="4" t="s">
        <v>9705</v>
      </c>
      <c r="C3548" s="1" t="s">
        <v>9706</v>
      </c>
      <c r="D3548" s="1" t="s">
        <v>9707</v>
      </c>
      <c r="E3548" s="6">
        <v>12.22</v>
      </c>
    </row>
    <row r="3549" spans="1:5" x14ac:dyDescent="0.25">
      <c r="A3549" s="4" t="s">
        <v>7</v>
      </c>
      <c r="B3549" s="4" t="s">
        <v>9708</v>
      </c>
      <c r="C3549" s="1" t="s">
        <v>9709</v>
      </c>
      <c r="D3549" s="1" t="s">
        <v>9710</v>
      </c>
      <c r="E3549" s="6">
        <v>150</v>
      </c>
    </row>
    <row r="3550" spans="1:5" x14ac:dyDescent="0.25">
      <c r="A3550" s="4" t="s">
        <v>7</v>
      </c>
      <c r="B3550" s="4" t="s">
        <v>9711</v>
      </c>
      <c r="C3550" s="1" t="s">
        <v>9712</v>
      </c>
      <c r="D3550" s="1" t="s">
        <v>9713</v>
      </c>
      <c r="E3550" s="6">
        <v>300</v>
      </c>
    </row>
    <row r="3551" spans="1:5" x14ac:dyDescent="0.25">
      <c r="A3551" s="4" t="s">
        <v>7</v>
      </c>
      <c r="B3551" s="4" t="s">
        <v>9714</v>
      </c>
      <c r="C3551" s="1" t="s">
        <v>9715</v>
      </c>
      <c r="D3551" s="1" t="s">
        <v>9716</v>
      </c>
      <c r="E3551" s="6">
        <v>71.75</v>
      </c>
    </row>
    <row r="3552" spans="1:5" x14ac:dyDescent="0.25">
      <c r="A3552" s="4" t="s">
        <v>7</v>
      </c>
      <c r="B3552" s="4" t="s">
        <v>9717</v>
      </c>
      <c r="C3552" s="1" t="s">
        <v>9718</v>
      </c>
      <c r="D3552" s="1" t="s">
        <v>9718</v>
      </c>
      <c r="E3552" s="6">
        <v>3.67</v>
      </c>
    </row>
    <row r="3553" spans="1:5" x14ac:dyDescent="0.25">
      <c r="A3553" s="4" t="s">
        <v>7</v>
      </c>
      <c r="B3553" s="4" t="s">
        <v>9719</v>
      </c>
      <c r="C3553" s="1" t="s">
        <v>9720</v>
      </c>
      <c r="D3553" s="1" t="s">
        <v>9721</v>
      </c>
      <c r="E3553" s="6">
        <v>4</v>
      </c>
    </row>
    <row r="3554" spans="1:5" x14ac:dyDescent="0.25">
      <c r="A3554" s="4" t="s">
        <v>7</v>
      </c>
      <c r="B3554" s="4" t="s">
        <v>9722</v>
      </c>
      <c r="C3554" s="1" t="s">
        <v>9723</v>
      </c>
      <c r="D3554" s="1" t="s">
        <v>9723</v>
      </c>
      <c r="E3554" s="6">
        <v>4.25</v>
      </c>
    </row>
    <row r="3555" spans="1:5" x14ac:dyDescent="0.25">
      <c r="A3555" s="4" t="s">
        <v>7</v>
      </c>
      <c r="B3555" s="4" t="s">
        <v>9724</v>
      </c>
      <c r="C3555" s="1" t="s">
        <v>9725</v>
      </c>
      <c r="D3555" s="1" t="s">
        <v>9726</v>
      </c>
      <c r="E3555" s="6">
        <v>4</v>
      </c>
    </row>
    <row r="3556" spans="1:5" x14ac:dyDescent="0.25">
      <c r="A3556" s="4" t="s">
        <v>7</v>
      </c>
      <c r="B3556" s="4" t="s">
        <v>9727</v>
      </c>
      <c r="C3556" s="1" t="s">
        <v>9728</v>
      </c>
      <c r="D3556" s="1" t="s">
        <v>9729</v>
      </c>
      <c r="E3556" s="6">
        <v>4</v>
      </c>
    </row>
    <row r="3557" spans="1:5" x14ac:dyDescent="0.25">
      <c r="A3557" s="4" t="s">
        <v>7</v>
      </c>
      <c r="B3557" s="4" t="s">
        <v>9730</v>
      </c>
      <c r="C3557" s="1" t="s">
        <v>9731</v>
      </c>
      <c r="D3557" s="1" t="s">
        <v>9732</v>
      </c>
      <c r="E3557" s="6">
        <v>10.34</v>
      </c>
    </row>
    <row r="3558" spans="1:5" x14ac:dyDescent="0.25">
      <c r="A3558" s="4" t="s">
        <v>7</v>
      </c>
      <c r="B3558" s="4" t="s">
        <v>9733</v>
      </c>
      <c r="C3558" s="1" t="s">
        <v>9734</v>
      </c>
      <c r="D3558" s="1" t="s">
        <v>9735</v>
      </c>
      <c r="E3558" s="6">
        <v>5.95</v>
      </c>
    </row>
    <row r="3559" spans="1:5" x14ac:dyDescent="0.25">
      <c r="A3559" s="4" t="s">
        <v>7</v>
      </c>
      <c r="B3559" s="4" t="s">
        <v>9736</v>
      </c>
      <c r="C3559" s="1" t="s">
        <v>9737</v>
      </c>
      <c r="D3559" s="1" t="s">
        <v>9737</v>
      </c>
      <c r="E3559" s="6">
        <v>3.37</v>
      </c>
    </row>
    <row r="3560" spans="1:5" x14ac:dyDescent="0.25">
      <c r="A3560" s="4" t="s">
        <v>7</v>
      </c>
      <c r="B3560" s="4" t="s">
        <v>9738</v>
      </c>
      <c r="C3560" s="1" t="s">
        <v>9739</v>
      </c>
      <c r="D3560" s="1" t="s">
        <v>9739</v>
      </c>
      <c r="E3560" s="6">
        <v>28.47</v>
      </c>
    </row>
    <row r="3561" spans="1:5" x14ac:dyDescent="0.25">
      <c r="A3561" s="4" t="s">
        <v>7</v>
      </c>
      <c r="B3561" s="4" t="s">
        <v>9740</v>
      </c>
      <c r="C3561" s="1" t="s">
        <v>9741</v>
      </c>
      <c r="D3561" s="1" t="s">
        <v>9742</v>
      </c>
      <c r="E3561" s="6">
        <v>13.85</v>
      </c>
    </row>
    <row r="3562" spans="1:5" x14ac:dyDescent="0.25">
      <c r="A3562" s="4" t="s">
        <v>7</v>
      </c>
      <c r="B3562" s="4" t="s">
        <v>9743</v>
      </c>
      <c r="C3562" s="1" t="s">
        <v>9744</v>
      </c>
      <c r="D3562" s="1" t="s">
        <v>9744</v>
      </c>
      <c r="E3562" s="6">
        <v>35.71</v>
      </c>
    </row>
    <row r="3563" spans="1:5" x14ac:dyDescent="0.25">
      <c r="A3563" s="4" t="s">
        <v>7</v>
      </c>
      <c r="B3563" s="4" t="s">
        <v>9745</v>
      </c>
      <c r="C3563" s="1" t="s">
        <v>9746</v>
      </c>
      <c r="D3563" s="1" t="s">
        <v>9747</v>
      </c>
      <c r="E3563" s="6">
        <v>36.65</v>
      </c>
    </row>
    <row r="3564" spans="1:5" x14ac:dyDescent="0.25">
      <c r="A3564" s="4" t="s">
        <v>7</v>
      </c>
      <c r="B3564" s="4" t="s">
        <v>9748</v>
      </c>
      <c r="C3564" s="1" t="s">
        <v>1947</v>
      </c>
      <c r="D3564" s="1" t="s">
        <v>1948</v>
      </c>
      <c r="E3564" s="6">
        <v>3.67</v>
      </c>
    </row>
    <row r="3565" spans="1:5" x14ac:dyDescent="0.25">
      <c r="A3565" s="4" t="s">
        <v>7</v>
      </c>
      <c r="B3565" s="4" t="s">
        <v>9749</v>
      </c>
      <c r="C3565" s="1" t="s">
        <v>9750</v>
      </c>
      <c r="D3565" s="1" t="s">
        <v>9750</v>
      </c>
      <c r="E3565" s="6">
        <v>6.11</v>
      </c>
    </row>
    <row r="3566" spans="1:5" x14ac:dyDescent="0.25">
      <c r="A3566" s="4" t="s">
        <v>7</v>
      </c>
      <c r="B3566" s="4" t="s">
        <v>9751</v>
      </c>
      <c r="C3566" s="1" t="s">
        <v>9752</v>
      </c>
      <c r="D3566" s="1" t="s">
        <v>9752</v>
      </c>
      <c r="E3566" s="6">
        <v>54</v>
      </c>
    </row>
    <row r="3567" spans="1:5" x14ac:dyDescent="0.25">
      <c r="A3567" s="4" t="s">
        <v>7</v>
      </c>
      <c r="B3567" s="4" t="s">
        <v>9753</v>
      </c>
      <c r="C3567" s="1" t="s">
        <v>1955</v>
      </c>
      <c r="D3567" s="1" t="s">
        <v>1956</v>
      </c>
      <c r="E3567" s="6">
        <v>4</v>
      </c>
    </row>
    <row r="3568" spans="1:5" x14ac:dyDescent="0.25">
      <c r="A3568" s="4" t="s">
        <v>7</v>
      </c>
      <c r="B3568" s="4" t="s">
        <v>9754</v>
      </c>
      <c r="C3568" s="1" t="s">
        <v>9755</v>
      </c>
      <c r="D3568" s="1" t="s">
        <v>9756</v>
      </c>
      <c r="E3568" s="6">
        <v>5.29</v>
      </c>
    </row>
    <row r="3569" spans="1:5" x14ac:dyDescent="0.25">
      <c r="A3569" s="4" t="s">
        <v>7</v>
      </c>
      <c r="B3569" s="4" t="s">
        <v>9757</v>
      </c>
      <c r="C3569" s="1" t="s">
        <v>9758</v>
      </c>
      <c r="D3569" s="1" t="s">
        <v>9759</v>
      </c>
      <c r="E3569" s="6">
        <v>2.44</v>
      </c>
    </row>
    <row r="3570" spans="1:5" x14ac:dyDescent="0.25">
      <c r="A3570" s="4" t="s">
        <v>7</v>
      </c>
      <c r="B3570" s="4" t="s">
        <v>9760</v>
      </c>
      <c r="C3570" s="1" t="s">
        <v>9761</v>
      </c>
      <c r="D3570" s="1" t="s">
        <v>9762</v>
      </c>
      <c r="E3570" s="6">
        <v>65.16</v>
      </c>
    </row>
    <row r="3571" spans="1:5" x14ac:dyDescent="0.25">
      <c r="A3571" s="4" t="s">
        <v>7</v>
      </c>
      <c r="B3571" s="4" t="s">
        <v>9763</v>
      </c>
      <c r="C3571" s="1" t="s">
        <v>9764</v>
      </c>
      <c r="D3571" s="1" t="s">
        <v>9765</v>
      </c>
      <c r="E3571" s="6">
        <v>10.119999999999999</v>
      </c>
    </row>
    <row r="3572" spans="1:5" x14ac:dyDescent="0.25">
      <c r="A3572" s="4" t="s">
        <v>7</v>
      </c>
      <c r="B3572" s="4" t="s">
        <v>9766</v>
      </c>
      <c r="C3572" s="1" t="s">
        <v>1961</v>
      </c>
      <c r="D3572" s="1" t="s">
        <v>1962</v>
      </c>
      <c r="E3572" s="6">
        <v>2</v>
      </c>
    </row>
    <row r="3573" spans="1:5" x14ac:dyDescent="0.25">
      <c r="A3573" s="4" t="s">
        <v>7</v>
      </c>
      <c r="B3573" s="4" t="s">
        <v>9767</v>
      </c>
      <c r="C3573" s="1" t="s">
        <v>9768</v>
      </c>
      <c r="D3573" s="1" t="s">
        <v>9769</v>
      </c>
      <c r="E3573" s="6">
        <v>2.25</v>
      </c>
    </row>
    <row r="3574" spans="1:5" x14ac:dyDescent="0.25">
      <c r="A3574" s="4" t="s">
        <v>7</v>
      </c>
      <c r="B3574" s="4" t="s">
        <v>9770</v>
      </c>
      <c r="C3574" s="1" t="s">
        <v>9771</v>
      </c>
      <c r="D3574" s="1" t="s">
        <v>9772</v>
      </c>
      <c r="E3574" s="6">
        <v>3.26</v>
      </c>
    </row>
    <row r="3575" spans="1:5" x14ac:dyDescent="0.25">
      <c r="A3575" s="4" t="s">
        <v>7</v>
      </c>
      <c r="B3575" s="4" t="s">
        <v>9773</v>
      </c>
      <c r="C3575" s="1" t="s">
        <v>9774</v>
      </c>
      <c r="D3575" s="1" t="s">
        <v>9774</v>
      </c>
      <c r="E3575" s="6">
        <v>11.25</v>
      </c>
    </row>
    <row r="3576" spans="1:5" x14ac:dyDescent="0.25">
      <c r="A3576" s="4" t="s">
        <v>7</v>
      </c>
      <c r="B3576" s="4" t="s">
        <v>9775</v>
      </c>
      <c r="C3576" s="1" t="s">
        <v>9776</v>
      </c>
      <c r="D3576" s="1" t="s">
        <v>9776</v>
      </c>
      <c r="E3576" s="6">
        <v>8.76</v>
      </c>
    </row>
    <row r="3577" spans="1:5" x14ac:dyDescent="0.25">
      <c r="A3577" s="4" t="s">
        <v>7</v>
      </c>
      <c r="B3577" s="4" t="s">
        <v>9777</v>
      </c>
      <c r="C3577" s="1" t="s">
        <v>9778</v>
      </c>
      <c r="D3577" s="1" t="s">
        <v>9779</v>
      </c>
      <c r="E3577" s="6">
        <v>4.5</v>
      </c>
    </row>
    <row r="3578" spans="1:5" x14ac:dyDescent="0.25">
      <c r="A3578" s="4" t="s">
        <v>7</v>
      </c>
      <c r="B3578" s="4" t="s">
        <v>9780</v>
      </c>
      <c r="C3578" s="1" t="s">
        <v>9781</v>
      </c>
      <c r="D3578" s="1" t="s">
        <v>9782</v>
      </c>
      <c r="E3578" s="6">
        <v>45</v>
      </c>
    </row>
    <row r="3579" spans="1:5" x14ac:dyDescent="0.25">
      <c r="A3579" s="4" t="s">
        <v>7</v>
      </c>
      <c r="B3579" s="4" t="s">
        <v>9783</v>
      </c>
      <c r="C3579" s="1" t="s">
        <v>9784</v>
      </c>
      <c r="D3579" s="1" t="s">
        <v>9785</v>
      </c>
      <c r="E3579" s="6">
        <v>15.48</v>
      </c>
    </row>
    <row r="3580" spans="1:5" x14ac:dyDescent="0.25">
      <c r="A3580" s="4" t="s">
        <v>7</v>
      </c>
      <c r="B3580" s="4" t="s">
        <v>9786</v>
      </c>
      <c r="C3580" s="1" t="s">
        <v>9787</v>
      </c>
      <c r="D3580" s="1" t="s">
        <v>9788</v>
      </c>
      <c r="E3580" s="6">
        <v>6</v>
      </c>
    </row>
    <row r="3581" spans="1:5" x14ac:dyDescent="0.25">
      <c r="A3581" s="4" t="s">
        <v>7</v>
      </c>
      <c r="B3581" s="4" t="s">
        <v>9789</v>
      </c>
      <c r="C3581" s="1" t="s">
        <v>9790</v>
      </c>
      <c r="D3581" s="1" t="s">
        <v>9790</v>
      </c>
      <c r="E3581" s="6">
        <v>25</v>
      </c>
    </row>
    <row r="3582" spans="1:5" x14ac:dyDescent="0.25">
      <c r="A3582" s="4" t="s">
        <v>7</v>
      </c>
      <c r="B3582" s="4" t="s">
        <v>9791</v>
      </c>
      <c r="C3582" s="1" t="s">
        <v>9792</v>
      </c>
      <c r="D3582" s="1" t="s">
        <v>9792</v>
      </c>
      <c r="E3582" s="6">
        <v>12.22</v>
      </c>
    </row>
    <row r="3583" spans="1:5" x14ac:dyDescent="0.25">
      <c r="A3583" s="4" t="s">
        <v>7</v>
      </c>
      <c r="B3583" s="4" t="s">
        <v>9793</v>
      </c>
      <c r="C3583" s="1" t="s">
        <v>9794</v>
      </c>
      <c r="D3583" s="1" t="s">
        <v>9795</v>
      </c>
      <c r="E3583" s="6">
        <v>14</v>
      </c>
    </row>
    <row r="3584" spans="1:5" x14ac:dyDescent="0.25">
      <c r="A3584" s="4" t="s">
        <v>7</v>
      </c>
      <c r="B3584" s="4" t="s">
        <v>9796</v>
      </c>
      <c r="C3584" s="1" t="s">
        <v>9797</v>
      </c>
      <c r="D3584" s="1" t="s">
        <v>9795</v>
      </c>
      <c r="E3584" s="6">
        <v>16.29</v>
      </c>
    </row>
    <row r="3585" spans="1:5" x14ac:dyDescent="0.25">
      <c r="A3585" s="4" t="s">
        <v>7</v>
      </c>
      <c r="B3585" s="4" t="s">
        <v>9798</v>
      </c>
      <c r="C3585" s="1" t="s">
        <v>9799</v>
      </c>
      <c r="D3585" s="1" t="s">
        <v>9795</v>
      </c>
      <c r="E3585" s="6">
        <v>16.29</v>
      </c>
    </row>
    <row r="3586" spans="1:5" x14ac:dyDescent="0.25">
      <c r="A3586" s="4" t="s">
        <v>7</v>
      </c>
      <c r="B3586" s="4" t="s">
        <v>9800</v>
      </c>
      <c r="C3586" s="1" t="s">
        <v>9801</v>
      </c>
      <c r="D3586" s="1" t="s">
        <v>9802</v>
      </c>
      <c r="E3586" s="6">
        <v>4.8</v>
      </c>
    </row>
    <row r="3587" spans="1:5" x14ac:dyDescent="0.25">
      <c r="A3587" s="4" t="s">
        <v>7</v>
      </c>
      <c r="B3587" s="4" t="s">
        <v>9803</v>
      </c>
      <c r="C3587" s="1" t="s">
        <v>9804</v>
      </c>
      <c r="D3587" s="1" t="s">
        <v>9805</v>
      </c>
      <c r="E3587" s="6">
        <v>28.61</v>
      </c>
    </row>
    <row r="3588" spans="1:5" x14ac:dyDescent="0.25">
      <c r="A3588" s="4" t="s">
        <v>7</v>
      </c>
      <c r="B3588" s="4" t="s">
        <v>9806</v>
      </c>
      <c r="C3588" s="1" t="s">
        <v>9807</v>
      </c>
      <c r="D3588" s="1" t="s">
        <v>9808</v>
      </c>
      <c r="E3588" s="6">
        <v>4.8899999999999997</v>
      </c>
    </row>
    <row r="3589" spans="1:5" x14ac:dyDescent="0.25">
      <c r="A3589" s="4" t="s">
        <v>7</v>
      </c>
      <c r="B3589" s="4" t="s">
        <v>9809</v>
      </c>
      <c r="C3589" s="1" t="s">
        <v>9810</v>
      </c>
      <c r="D3589" s="1" t="s">
        <v>9810</v>
      </c>
      <c r="E3589" s="6">
        <v>74</v>
      </c>
    </row>
    <row r="3590" spans="1:5" x14ac:dyDescent="0.25">
      <c r="A3590" s="4" t="s">
        <v>7</v>
      </c>
      <c r="B3590" s="4" t="s">
        <v>9811</v>
      </c>
      <c r="C3590" s="1" t="s">
        <v>9812</v>
      </c>
      <c r="D3590" s="1" t="s">
        <v>9812</v>
      </c>
      <c r="E3590" s="6">
        <v>50</v>
      </c>
    </row>
    <row r="3591" spans="1:5" x14ac:dyDescent="0.25">
      <c r="A3591" s="4" t="s">
        <v>7</v>
      </c>
      <c r="B3591" s="4" t="s">
        <v>9813</v>
      </c>
      <c r="C3591" s="1" t="s">
        <v>9814</v>
      </c>
      <c r="D3591" s="1" t="s">
        <v>9815</v>
      </c>
      <c r="E3591" s="6">
        <v>5.09</v>
      </c>
    </row>
    <row r="3592" spans="1:5" x14ac:dyDescent="0.25">
      <c r="A3592" s="4" t="s">
        <v>7</v>
      </c>
      <c r="B3592" s="4" t="s">
        <v>9816</v>
      </c>
      <c r="C3592" s="1" t="s">
        <v>9817</v>
      </c>
      <c r="D3592" s="1" t="s">
        <v>9817</v>
      </c>
      <c r="E3592" s="6">
        <v>3.65</v>
      </c>
    </row>
    <row r="3593" spans="1:5" x14ac:dyDescent="0.25">
      <c r="A3593" s="4" t="s">
        <v>7</v>
      </c>
      <c r="B3593" s="4" t="s">
        <v>9818</v>
      </c>
      <c r="C3593" s="1" t="s">
        <v>9819</v>
      </c>
      <c r="D3593" s="1" t="s">
        <v>9756</v>
      </c>
      <c r="E3593" s="6">
        <v>5.29</v>
      </c>
    </row>
    <row r="3594" spans="1:5" x14ac:dyDescent="0.25">
      <c r="A3594" s="4" t="s">
        <v>7</v>
      </c>
      <c r="B3594" s="4" t="s">
        <v>9820</v>
      </c>
      <c r="C3594" s="1" t="s">
        <v>9821</v>
      </c>
      <c r="D3594" s="1" t="s">
        <v>9822</v>
      </c>
      <c r="E3594" s="6">
        <v>100</v>
      </c>
    </row>
    <row r="3595" spans="1:5" x14ac:dyDescent="0.25">
      <c r="A3595" s="4" t="s">
        <v>7</v>
      </c>
      <c r="B3595" s="4" t="s">
        <v>9823</v>
      </c>
      <c r="C3595" s="1" t="s">
        <v>9824</v>
      </c>
      <c r="D3595" s="1" t="s">
        <v>9824</v>
      </c>
      <c r="E3595" s="6">
        <v>26.23</v>
      </c>
    </row>
    <row r="3596" spans="1:5" x14ac:dyDescent="0.25">
      <c r="A3596" s="4" t="s">
        <v>7</v>
      </c>
      <c r="B3596" s="4" t="s">
        <v>9825</v>
      </c>
      <c r="C3596" s="1" t="s">
        <v>9826</v>
      </c>
      <c r="D3596" s="1" t="s">
        <v>9827</v>
      </c>
      <c r="E3596" s="6">
        <v>12.04</v>
      </c>
    </row>
    <row r="3597" spans="1:5" x14ac:dyDescent="0.25">
      <c r="A3597" s="4" t="s">
        <v>7</v>
      </c>
      <c r="B3597" s="4" t="s">
        <v>9828</v>
      </c>
      <c r="C3597" s="1" t="s">
        <v>9829</v>
      </c>
      <c r="D3597" s="1" t="s">
        <v>9829</v>
      </c>
      <c r="E3597" s="6">
        <v>3.37</v>
      </c>
    </row>
    <row r="3598" spans="1:5" x14ac:dyDescent="0.25">
      <c r="A3598" s="4" t="s">
        <v>7</v>
      </c>
      <c r="B3598" s="4" t="s">
        <v>9830</v>
      </c>
      <c r="C3598" s="1" t="s">
        <v>9831</v>
      </c>
      <c r="D3598" s="1" t="s">
        <v>9831</v>
      </c>
      <c r="E3598" s="6">
        <v>3.26</v>
      </c>
    </row>
    <row r="3599" spans="1:5" x14ac:dyDescent="0.25">
      <c r="A3599" s="4" t="s">
        <v>7</v>
      </c>
      <c r="B3599" s="4" t="s">
        <v>9832</v>
      </c>
      <c r="C3599" s="1" t="s">
        <v>9833</v>
      </c>
      <c r="D3599" s="1" t="s">
        <v>1986</v>
      </c>
      <c r="E3599" s="6">
        <v>2.25</v>
      </c>
    </row>
    <row r="3600" spans="1:5" x14ac:dyDescent="0.25">
      <c r="A3600" s="4" t="s">
        <v>7</v>
      </c>
      <c r="B3600" s="4" t="s">
        <v>9834</v>
      </c>
      <c r="C3600" s="1" t="s">
        <v>1979</v>
      </c>
      <c r="D3600" s="1" t="s">
        <v>1979</v>
      </c>
      <c r="E3600" s="6">
        <v>2.85</v>
      </c>
    </row>
    <row r="3601" spans="1:5" x14ac:dyDescent="0.25">
      <c r="A3601" s="4" t="s">
        <v>7</v>
      </c>
      <c r="B3601" s="4" t="s">
        <v>9835</v>
      </c>
      <c r="C3601" s="1" t="s">
        <v>1981</v>
      </c>
      <c r="D3601" s="1" t="s">
        <v>1981</v>
      </c>
      <c r="E3601" s="6">
        <v>1.43</v>
      </c>
    </row>
    <row r="3602" spans="1:5" x14ac:dyDescent="0.25">
      <c r="A3602" s="4" t="s">
        <v>7</v>
      </c>
      <c r="B3602" s="4" t="s">
        <v>9836</v>
      </c>
      <c r="C3602" s="1" t="s">
        <v>9837</v>
      </c>
      <c r="D3602" s="1" t="s">
        <v>9837</v>
      </c>
      <c r="E3602" s="6">
        <v>2.25</v>
      </c>
    </row>
    <row r="3603" spans="1:5" x14ac:dyDescent="0.25">
      <c r="A3603" s="4" t="s">
        <v>7</v>
      </c>
      <c r="B3603" s="4" t="s">
        <v>9838</v>
      </c>
      <c r="C3603" s="1" t="s">
        <v>1983</v>
      </c>
      <c r="D3603" s="1" t="s">
        <v>1983</v>
      </c>
      <c r="E3603" s="6">
        <v>2.76</v>
      </c>
    </row>
    <row r="3604" spans="1:5" x14ac:dyDescent="0.25">
      <c r="A3604" s="4" t="s">
        <v>7</v>
      </c>
      <c r="B3604" s="4" t="s">
        <v>9839</v>
      </c>
      <c r="C3604" s="1" t="s">
        <v>1985</v>
      </c>
      <c r="D3604" s="1" t="s">
        <v>1986</v>
      </c>
      <c r="E3604" s="6">
        <v>2.25</v>
      </c>
    </row>
    <row r="3605" spans="1:5" x14ac:dyDescent="0.25">
      <c r="A3605" s="4" t="s">
        <v>7</v>
      </c>
      <c r="B3605" s="4" t="s">
        <v>9840</v>
      </c>
      <c r="C3605" s="1" t="s">
        <v>9841</v>
      </c>
      <c r="D3605" s="1" t="s">
        <v>9842</v>
      </c>
      <c r="E3605" s="6">
        <v>2.44</v>
      </c>
    </row>
    <row r="3606" spans="1:5" x14ac:dyDescent="0.25">
      <c r="A3606" s="4" t="s">
        <v>7</v>
      </c>
      <c r="B3606" s="4" t="s">
        <v>9843</v>
      </c>
      <c r="C3606" s="1" t="s">
        <v>9844</v>
      </c>
      <c r="D3606" s="1" t="s">
        <v>9844</v>
      </c>
      <c r="E3606" s="6">
        <v>4</v>
      </c>
    </row>
    <row r="3607" spans="1:5" x14ac:dyDescent="0.25">
      <c r="A3607" s="4" t="s">
        <v>7</v>
      </c>
      <c r="B3607" s="4" t="s">
        <v>9845</v>
      </c>
      <c r="C3607" s="1" t="s">
        <v>9846</v>
      </c>
      <c r="D3607" s="1" t="s">
        <v>9847</v>
      </c>
      <c r="E3607" s="6">
        <v>8.3000000000000007</v>
      </c>
    </row>
    <row r="3608" spans="1:5" x14ac:dyDescent="0.25">
      <c r="A3608" s="4" t="s">
        <v>7</v>
      </c>
      <c r="B3608" s="4" t="s">
        <v>9848</v>
      </c>
      <c r="C3608" s="1" t="s">
        <v>9849</v>
      </c>
      <c r="D3608" s="1" t="s">
        <v>9847</v>
      </c>
      <c r="E3608" s="6">
        <v>4.33</v>
      </c>
    </row>
    <row r="3609" spans="1:5" x14ac:dyDescent="0.25">
      <c r="A3609" s="4" t="s">
        <v>7</v>
      </c>
      <c r="B3609" s="4" t="s">
        <v>9850</v>
      </c>
      <c r="C3609" s="1" t="s">
        <v>9851</v>
      </c>
      <c r="D3609" s="1" t="s">
        <v>9475</v>
      </c>
      <c r="E3609" s="6">
        <v>107.51</v>
      </c>
    </row>
    <row r="3610" spans="1:5" x14ac:dyDescent="0.25">
      <c r="A3610" s="4" t="s">
        <v>7</v>
      </c>
      <c r="B3610" s="4" t="s">
        <v>9852</v>
      </c>
      <c r="C3610" s="1" t="s">
        <v>9853</v>
      </c>
      <c r="D3610" s="1" t="s">
        <v>9854</v>
      </c>
      <c r="E3610" s="6">
        <v>26.48</v>
      </c>
    </row>
    <row r="3611" spans="1:5" x14ac:dyDescent="0.25">
      <c r="A3611" s="4" t="s">
        <v>7</v>
      </c>
      <c r="B3611" s="4" t="s">
        <v>9855</v>
      </c>
      <c r="C3611" s="1" t="s">
        <v>9856</v>
      </c>
      <c r="D3611" s="1" t="s">
        <v>1986</v>
      </c>
      <c r="E3611" s="6">
        <v>4.03</v>
      </c>
    </row>
    <row r="3612" spans="1:5" x14ac:dyDescent="0.25">
      <c r="A3612" s="4" t="s">
        <v>7</v>
      </c>
      <c r="B3612" s="4" t="s">
        <v>9857</v>
      </c>
      <c r="C3612" s="1" t="s">
        <v>9858</v>
      </c>
      <c r="D3612" s="1" t="s">
        <v>9858</v>
      </c>
      <c r="E3612" s="6">
        <v>7.33</v>
      </c>
    </row>
    <row r="3613" spans="1:5" x14ac:dyDescent="0.25">
      <c r="A3613" s="4" t="s">
        <v>7</v>
      </c>
      <c r="B3613" s="4" t="s">
        <v>9859</v>
      </c>
      <c r="C3613" s="1" t="s">
        <v>9860</v>
      </c>
      <c r="D3613" s="1" t="s">
        <v>9861</v>
      </c>
      <c r="E3613" s="6">
        <v>7.25</v>
      </c>
    </row>
    <row r="3614" spans="1:5" x14ac:dyDescent="0.25">
      <c r="A3614" s="4" t="s">
        <v>7</v>
      </c>
      <c r="B3614" s="4" t="s">
        <v>9862</v>
      </c>
      <c r="C3614" s="1" t="s">
        <v>9863</v>
      </c>
      <c r="D3614" s="1" t="s">
        <v>9863</v>
      </c>
      <c r="E3614" s="6">
        <v>3.67</v>
      </c>
    </row>
    <row r="3615" spans="1:5" x14ac:dyDescent="0.25">
      <c r="A3615" s="4" t="s">
        <v>7</v>
      </c>
      <c r="B3615" s="4" t="s">
        <v>9864</v>
      </c>
      <c r="C3615" s="1" t="s">
        <v>9865</v>
      </c>
      <c r="D3615" s="1" t="s">
        <v>9865</v>
      </c>
      <c r="E3615" s="6">
        <v>3.67</v>
      </c>
    </row>
    <row r="3616" spans="1:5" x14ac:dyDescent="0.25">
      <c r="A3616" s="4" t="s">
        <v>7</v>
      </c>
      <c r="B3616" s="4" t="s">
        <v>9866</v>
      </c>
      <c r="C3616" s="1" t="s">
        <v>9867</v>
      </c>
      <c r="D3616" s="1" t="s">
        <v>9867</v>
      </c>
      <c r="E3616" s="6">
        <v>209.5</v>
      </c>
    </row>
    <row r="3617" spans="1:5" x14ac:dyDescent="0.25">
      <c r="A3617" s="4" t="s">
        <v>7</v>
      </c>
      <c r="B3617" s="4" t="s">
        <v>9868</v>
      </c>
      <c r="C3617" s="1" t="s">
        <v>9869</v>
      </c>
      <c r="D3617" s="1" t="s">
        <v>9870</v>
      </c>
      <c r="E3617" s="6">
        <v>10</v>
      </c>
    </row>
    <row r="3618" spans="1:5" x14ac:dyDescent="0.25">
      <c r="A3618" s="4" t="s">
        <v>7</v>
      </c>
      <c r="B3618" s="4" t="s">
        <v>9871</v>
      </c>
      <c r="C3618" s="1" t="s">
        <v>9872</v>
      </c>
      <c r="D3618" s="1" t="s">
        <v>9873</v>
      </c>
      <c r="E3618" s="6">
        <v>3.26</v>
      </c>
    </row>
    <row r="3619" spans="1:5" x14ac:dyDescent="0.25">
      <c r="A3619" s="4" t="s">
        <v>7</v>
      </c>
      <c r="B3619" s="4" t="s">
        <v>9874</v>
      </c>
      <c r="C3619" s="1" t="s">
        <v>9875</v>
      </c>
      <c r="D3619" s="1" t="s">
        <v>9876</v>
      </c>
      <c r="E3619" s="6">
        <v>3.26</v>
      </c>
    </row>
    <row r="3620" spans="1:5" x14ac:dyDescent="0.25">
      <c r="A3620" s="4" t="s">
        <v>7</v>
      </c>
      <c r="B3620" s="4" t="s">
        <v>9877</v>
      </c>
      <c r="C3620" s="1" t="s">
        <v>9878</v>
      </c>
      <c r="D3620" s="1" t="s">
        <v>9879</v>
      </c>
      <c r="E3620" s="6">
        <v>45.54</v>
      </c>
    </row>
    <row r="3621" spans="1:5" x14ac:dyDescent="0.25">
      <c r="A3621" s="4" t="s">
        <v>7</v>
      </c>
      <c r="B3621" s="4" t="s">
        <v>9880</v>
      </c>
      <c r="C3621" s="1" t="s">
        <v>9881</v>
      </c>
      <c r="D3621" s="1" t="s">
        <v>9882</v>
      </c>
      <c r="E3621" s="6">
        <v>12.14</v>
      </c>
    </row>
    <row r="3622" spans="1:5" x14ac:dyDescent="0.25">
      <c r="A3622" s="4" t="s">
        <v>7</v>
      </c>
      <c r="B3622" s="4" t="s">
        <v>9883</v>
      </c>
      <c r="C3622" s="1" t="s">
        <v>9884</v>
      </c>
      <c r="D3622" s="1" t="s">
        <v>9884</v>
      </c>
      <c r="E3622" s="6">
        <v>45</v>
      </c>
    </row>
    <row r="3623" spans="1:5" x14ac:dyDescent="0.25">
      <c r="A3623" s="4" t="s">
        <v>7</v>
      </c>
      <c r="B3623" s="4" t="s">
        <v>9885</v>
      </c>
      <c r="C3623" s="1" t="s">
        <v>9886</v>
      </c>
      <c r="D3623" s="1" t="s">
        <v>9887</v>
      </c>
      <c r="E3623" s="6">
        <v>8.65</v>
      </c>
    </row>
    <row r="3624" spans="1:5" x14ac:dyDescent="0.25">
      <c r="A3624" s="4" t="s">
        <v>7</v>
      </c>
      <c r="B3624" s="4" t="s">
        <v>9888</v>
      </c>
      <c r="C3624" s="1" t="s">
        <v>9889</v>
      </c>
      <c r="D3624" s="1" t="s">
        <v>9890</v>
      </c>
      <c r="E3624" s="6">
        <v>11.4</v>
      </c>
    </row>
    <row r="3625" spans="1:5" x14ac:dyDescent="0.25">
      <c r="A3625" s="4" t="s">
        <v>7</v>
      </c>
      <c r="B3625" s="4" t="s">
        <v>9891</v>
      </c>
      <c r="C3625" s="1" t="s">
        <v>9892</v>
      </c>
      <c r="D3625" s="1" t="s">
        <v>9892</v>
      </c>
      <c r="E3625" s="6">
        <v>2.44</v>
      </c>
    </row>
    <row r="3626" spans="1:5" x14ac:dyDescent="0.25">
      <c r="A3626" s="4" t="s">
        <v>7</v>
      </c>
      <c r="B3626" s="4" t="s">
        <v>9893</v>
      </c>
      <c r="C3626" s="1" t="s">
        <v>9894</v>
      </c>
      <c r="D3626" s="1" t="s">
        <v>9894</v>
      </c>
      <c r="E3626" s="6">
        <v>9.77</v>
      </c>
    </row>
    <row r="3627" spans="1:5" x14ac:dyDescent="0.25">
      <c r="A3627" s="4" t="s">
        <v>7</v>
      </c>
      <c r="B3627" s="4" t="s">
        <v>9895</v>
      </c>
      <c r="C3627" s="1" t="s">
        <v>9896</v>
      </c>
      <c r="D3627" s="1" t="s">
        <v>9897</v>
      </c>
      <c r="E3627" s="6">
        <v>2</v>
      </c>
    </row>
    <row r="3628" spans="1:5" x14ac:dyDescent="0.25">
      <c r="A3628" s="4" t="s">
        <v>7</v>
      </c>
      <c r="B3628" s="4" t="s">
        <v>9898</v>
      </c>
      <c r="C3628" s="1" t="s">
        <v>9400</v>
      </c>
      <c r="D3628" s="1" t="s">
        <v>9401</v>
      </c>
      <c r="E3628" s="6">
        <v>4.5</v>
      </c>
    </row>
    <row r="3629" spans="1:5" x14ac:dyDescent="0.25">
      <c r="A3629" s="4" t="s">
        <v>7</v>
      </c>
      <c r="B3629" s="4" t="s">
        <v>9899</v>
      </c>
      <c r="C3629" s="1" t="s">
        <v>9900</v>
      </c>
      <c r="D3629" s="1" t="s">
        <v>9900</v>
      </c>
      <c r="E3629" s="6">
        <v>5.7</v>
      </c>
    </row>
    <row r="3630" spans="1:5" x14ac:dyDescent="0.25">
      <c r="A3630" s="4" t="s">
        <v>7</v>
      </c>
      <c r="B3630" s="4" t="s">
        <v>9901</v>
      </c>
      <c r="C3630" s="1" t="s">
        <v>9902</v>
      </c>
      <c r="D3630" s="1" t="s">
        <v>9903</v>
      </c>
      <c r="E3630" s="6">
        <v>9.5</v>
      </c>
    </row>
    <row r="3631" spans="1:5" x14ac:dyDescent="0.25">
      <c r="A3631" s="4" t="s">
        <v>7</v>
      </c>
      <c r="B3631" s="4" t="s">
        <v>9904</v>
      </c>
      <c r="C3631" s="1" t="s">
        <v>9905</v>
      </c>
      <c r="D3631" s="1" t="s">
        <v>9906</v>
      </c>
      <c r="E3631" s="6">
        <v>9.77</v>
      </c>
    </row>
    <row r="3632" spans="1:5" x14ac:dyDescent="0.25">
      <c r="A3632" s="4" t="s">
        <v>7</v>
      </c>
      <c r="B3632" s="4" t="s">
        <v>9907</v>
      </c>
      <c r="C3632" s="1" t="s">
        <v>9908</v>
      </c>
      <c r="D3632" s="1" t="s">
        <v>9573</v>
      </c>
      <c r="E3632" s="6">
        <v>7.95</v>
      </c>
    </row>
    <row r="3633" spans="1:5" x14ac:dyDescent="0.25">
      <c r="A3633" s="4" t="s">
        <v>7</v>
      </c>
      <c r="B3633" s="4" t="s">
        <v>9909</v>
      </c>
      <c r="C3633" s="1" t="s">
        <v>9910</v>
      </c>
      <c r="D3633" s="1" t="s">
        <v>9911</v>
      </c>
      <c r="E3633" s="6">
        <v>57</v>
      </c>
    </row>
    <row r="3634" spans="1:5" x14ac:dyDescent="0.25">
      <c r="A3634" s="4" t="s">
        <v>7</v>
      </c>
      <c r="B3634" s="4" t="s">
        <v>9912</v>
      </c>
      <c r="C3634" s="1" t="s">
        <v>9913</v>
      </c>
      <c r="D3634" s="1" t="s">
        <v>9913</v>
      </c>
      <c r="E3634" s="6">
        <v>4.28</v>
      </c>
    </row>
    <row r="3635" spans="1:5" x14ac:dyDescent="0.25">
      <c r="A3635" s="4" t="s">
        <v>7</v>
      </c>
      <c r="B3635" s="4" t="s">
        <v>9914</v>
      </c>
      <c r="C3635" s="1" t="s">
        <v>9915</v>
      </c>
      <c r="D3635" s="1" t="s">
        <v>9916</v>
      </c>
      <c r="E3635" s="6">
        <v>4</v>
      </c>
    </row>
    <row r="3636" spans="1:5" x14ac:dyDescent="0.25">
      <c r="A3636" s="4" t="s">
        <v>7</v>
      </c>
      <c r="B3636" s="4" t="s">
        <v>9917</v>
      </c>
      <c r="C3636" s="1" t="s">
        <v>9918</v>
      </c>
      <c r="D3636" s="1" t="s">
        <v>9918</v>
      </c>
      <c r="E3636" s="6">
        <v>5.7</v>
      </c>
    </row>
    <row r="3637" spans="1:5" x14ac:dyDescent="0.25">
      <c r="A3637" s="4" t="s">
        <v>7</v>
      </c>
      <c r="B3637" s="4" t="s">
        <v>9919</v>
      </c>
      <c r="C3637" s="1" t="s">
        <v>9920</v>
      </c>
      <c r="D3637" s="1" t="s">
        <v>9921</v>
      </c>
      <c r="E3637" s="6">
        <v>11.61</v>
      </c>
    </row>
    <row r="3638" spans="1:5" x14ac:dyDescent="0.25">
      <c r="A3638" s="4" t="s">
        <v>7</v>
      </c>
      <c r="B3638" s="4" t="s">
        <v>9922</v>
      </c>
      <c r="C3638" s="1" t="s">
        <v>2017</v>
      </c>
      <c r="D3638" s="1" t="s">
        <v>2017</v>
      </c>
      <c r="E3638" s="6">
        <v>8.23</v>
      </c>
    </row>
    <row r="3639" spans="1:5" x14ac:dyDescent="0.25">
      <c r="A3639" s="4" t="s">
        <v>7</v>
      </c>
      <c r="B3639" s="4" t="s">
        <v>9923</v>
      </c>
      <c r="C3639" s="1" t="s">
        <v>2024</v>
      </c>
      <c r="D3639" s="1" t="s">
        <v>2025</v>
      </c>
      <c r="E3639" s="6">
        <v>7.8</v>
      </c>
    </row>
    <row r="3640" spans="1:5" x14ac:dyDescent="0.25">
      <c r="A3640" s="4" t="s">
        <v>7</v>
      </c>
      <c r="B3640" s="4" t="s">
        <v>9924</v>
      </c>
      <c r="C3640" s="1" t="s">
        <v>9925</v>
      </c>
      <c r="D3640" s="1" t="s">
        <v>9926</v>
      </c>
      <c r="E3640" s="6">
        <v>3</v>
      </c>
    </row>
    <row r="3641" spans="1:5" x14ac:dyDescent="0.25">
      <c r="A3641" s="4" t="s">
        <v>7</v>
      </c>
      <c r="B3641" s="4" t="s">
        <v>9927</v>
      </c>
      <c r="C3641" s="1" t="s">
        <v>9928</v>
      </c>
      <c r="D3641" s="1" t="s">
        <v>9929</v>
      </c>
      <c r="E3641" s="6">
        <v>12.22</v>
      </c>
    </row>
    <row r="3642" spans="1:5" x14ac:dyDescent="0.25">
      <c r="A3642" s="4" t="s">
        <v>7</v>
      </c>
      <c r="B3642" s="4" t="s">
        <v>9930</v>
      </c>
      <c r="C3642" s="1" t="s">
        <v>9931</v>
      </c>
      <c r="D3642" s="1" t="s">
        <v>9932</v>
      </c>
      <c r="E3642" s="6">
        <v>69.23</v>
      </c>
    </row>
    <row r="3643" spans="1:5" x14ac:dyDescent="0.25">
      <c r="A3643" s="4" t="s">
        <v>7</v>
      </c>
      <c r="B3643" s="4" t="s">
        <v>9933</v>
      </c>
      <c r="C3643" s="1" t="s">
        <v>9934</v>
      </c>
      <c r="D3643" s="1" t="s">
        <v>9932</v>
      </c>
      <c r="E3643" s="6">
        <v>15</v>
      </c>
    </row>
    <row r="3644" spans="1:5" x14ac:dyDescent="0.25">
      <c r="A3644" s="4" t="s">
        <v>7</v>
      </c>
      <c r="B3644" s="4" t="s">
        <v>9935</v>
      </c>
      <c r="C3644" s="1" t="s">
        <v>9936</v>
      </c>
      <c r="D3644" s="1" t="s">
        <v>9937</v>
      </c>
      <c r="E3644" s="6">
        <v>57.02</v>
      </c>
    </row>
    <row r="3645" spans="1:5" x14ac:dyDescent="0.25">
      <c r="A3645" s="4" t="s">
        <v>7</v>
      </c>
      <c r="B3645" s="4" t="s">
        <v>9938</v>
      </c>
      <c r="C3645" s="1" t="s">
        <v>9939</v>
      </c>
      <c r="D3645" s="1" t="s">
        <v>9940</v>
      </c>
      <c r="E3645" s="6">
        <v>44.8</v>
      </c>
    </row>
    <row r="3646" spans="1:5" x14ac:dyDescent="0.25">
      <c r="A3646" s="4" t="s">
        <v>7</v>
      </c>
      <c r="B3646" s="4" t="s">
        <v>9941</v>
      </c>
      <c r="C3646" s="1" t="s">
        <v>9942</v>
      </c>
      <c r="D3646" s="1" t="s">
        <v>9943</v>
      </c>
      <c r="E3646" s="6">
        <v>20</v>
      </c>
    </row>
    <row r="3647" spans="1:5" x14ac:dyDescent="0.25">
      <c r="A3647" s="4" t="s">
        <v>7</v>
      </c>
      <c r="B3647" s="4" t="s">
        <v>9944</v>
      </c>
      <c r="C3647" s="1" t="s">
        <v>9945</v>
      </c>
      <c r="D3647" s="1" t="s">
        <v>9946</v>
      </c>
      <c r="E3647" s="6">
        <v>12.29</v>
      </c>
    </row>
    <row r="3648" spans="1:5" x14ac:dyDescent="0.25">
      <c r="A3648" s="4" t="s">
        <v>7</v>
      </c>
      <c r="B3648" s="4" t="s">
        <v>9947</v>
      </c>
      <c r="C3648" s="1" t="s">
        <v>9948</v>
      </c>
      <c r="D3648" s="1" t="s">
        <v>9949</v>
      </c>
      <c r="E3648" s="6">
        <v>10</v>
      </c>
    </row>
    <row r="3649" spans="1:5" x14ac:dyDescent="0.25">
      <c r="A3649" s="4" t="s">
        <v>7</v>
      </c>
      <c r="B3649" s="4" t="s">
        <v>9950</v>
      </c>
      <c r="C3649" s="1" t="s">
        <v>9951</v>
      </c>
      <c r="D3649" s="1" t="s">
        <v>9952</v>
      </c>
      <c r="E3649" s="6">
        <v>32.99</v>
      </c>
    </row>
    <row r="3650" spans="1:5" x14ac:dyDescent="0.25">
      <c r="A3650" s="4" t="s">
        <v>7</v>
      </c>
      <c r="B3650" s="4" t="s">
        <v>9953</v>
      </c>
      <c r="C3650" s="1" t="s">
        <v>9954</v>
      </c>
      <c r="D3650" s="1" t="s">
        <v>9952</v>
      </c>
      <c r="E3650" s="6">
        <v>14.1</v>
      </c>
    </row>
    <row r="3651" spans="1:5" x14ac:dyDescent="0.25">
      <c r="A3651" s="4" t="s">
        <v>7</v>
      </c>
      <c r="B3651" s="4" t="s">
        <v>9955</v>
      </c>
      <c r="C3651" s="1" t="s">
        <v>9956</v>
      </c>
      <c r="D3651" s="1" t="s">
        <v>9956</v>
      </c>
      <c r="E3651" s="6">
        <v>16</v>
      </c>
    </row>
    <row r="3652" spans="1:5" x14ac:dyDescent="0.25">
      <c r="A3652" s="4" t="s">
        <v>7</v>
      </c>
      <c r="B3652" s="4" t="s">
        <v>9957</v>
      </c>
      <c r="C3652" s="1" t="s">
        <v>9958</v>
      </c>
      <c r="D3652" s="1" t="s">
        <v>9959</v>
      </c>
      <c r="E3652" s="6">
        <v>36.65</v>
      </c>
    </row>
    <row r="3653" spans="1:5" x14ac:dyDescent="0.25">
      <c r="A3653" s="4" t="s">
        <v>7</v>
      </c>
      <c r="B3653" s="4" t="s">
        <v>9960</v>
      </c>
      <c r="C3653" s="1" t="s">
        <v>9961</v>
      </c>
      <c r="D3653" s="1" t="s">
        <v>9962</v>
      </c>
      <c r="E3653" s="6">
        <v>12.22</v>
      </c>
    </row>
    <row r="3654" spans="1:5" x14ac:dyDescent="0.25">
      <c r="A3654" s="4" t="s">
        <v>7</v>
      </c>
      <c r="B3654" s="4" t="s">
        <v>9963</v>
      </c>
      <c r="C3654" s="1" t="s">
        <v>9964</v>
      </c>
      <c r="D3654" s="1" t="s">
        <v>9946</v>
      </c>
      <c r="E3654" s="6">
        <v>14.5</v>
      </c>
    </row>
    <row r="3655" spans="1:5" x14ac:dyDescent="0.25">
      <c r="A3655" s="4" t="s">
        <v>7</v>
      </c>
      <c r="B3655" s="4" t="s">
        <v>9965</v>
      </c>
      <c r="C3655" s="1" t="s">
        <v>9403</v>
      </c>
      <c r="D3655" s="1" t="s">
        <v>9404</v>
      </c>
      <c r="E3655" s="6">
        <v>11.4</v>
      </c>
    </row>
    <row r="3656" spans="1:5" x14ac:dyDescent="0.25">
      <c r="A3656" s="4" t="s">
        <v>7</v>
      </c>
      <c r="B3656" s="4" t="s">
        <v>9966</v>
      </c>
      <c r="C3656" s="1" t="s">
        <v>9967</v>
      </c>
      <c r="D3656" s="1" t="s">
        <v>9968</v>
      </c>
      <c r="E3656" s="6">
        <v>195</v>
      </c>
    </row>
    <row r="3657" spans="1:5" x14ac:dyDescent="0.25">
      <c r="A3657" s="4" t="s">
        <v>7</v>
      </c>
      <c r="B3657" s="4" t="s">
        <v>9969</v>
      </c>
      <c r="C3657" s="1" t="s">
        <v>9970</v>
      </c>
      <c r="D3657" s="1" t="s">
        <v>9971</v>
      </c>
      <c r="E3657" s="6">
        <v>5</v>
      </c>
    </row>
    <row r="3658" spans="1:5" x14ac:dyDescent="0.25">
      <c r="A3658" s="4" t="s">
        <v>7</v>
      </c>
      <c r="B3658" s="4" t="s">
        <v>9972</v>
      </c>
      <c r="C3658" s="1" t="s">
        <v>9973</v>
      </c>
      <c r="D3658" s="1" t="s">
        <v>9974</v>
      </c>
      <c r="E3658" s="6">
        <v>4.8899999999999997</v>
      </c>
    </row>
    <row r="3659" spans="1:5" x14ac:dyDescent="0.25">
      <c r="A3659" s="4" t="s">
        <v>7</v>
      </c>
      <c r="B3659" s="4" t="s">
        <v>9975</v>
      </c>
      <c r="C3659" s="1" t="s">
        <v>9976</v>
      </c>
      <c r="D3659" s="1" t="s">
        <v>9977</v>
      </c>
      <c r="E3659" s="6">
        <v>23.83</v>
      </c>
    </row>
    <row r="3660" spans="1:5" x14ac:dyDescent="0.25">
      <c r="A3660" s="4" t="s">
        <v>7</v>
      </c>
      <c r="B3660" s="4" t="s">
        <v>9978</v>
      </c>
      <c r="C3660" s="1" t="s">
        <v>9979</v>
      </c>
      <c r="D3660" s="1" t="s">
        <v>9979</v>
      </c>
      <c r="E3660" s="6">
        <v>10</v>
      </c>
    </row>
    <row r="3661" spans="1:5" x14ac:dyDescent="0.25">
      <c r="A3661" s="4" t="s">
        <v>7</v>
      </c>
      <c r="B3661" s="4" t="s">
        <v>9980</v>
      </c>
      <c r="C3661" s="1" t="s">
        <v>2036</v>
      </c>
      <c r="D3661" s="1" t="s">
        <v>2037</v>
      </c>
      <c r="E3661" s="6">
        <v>3.03</v>
      </c>
    </row>
    <row r="3662" spans="1:5" x14ac:dyDescent="0.25">
      <c r="A3662" s="4" t="s">
        <v>7</v>
      </c>
      <c r="B3662" s="4" t="s">
        <v>9981</v>
      </c>
      <c r="C3662" s="1" t="s">
        <v>9982</v>
      </c>
      <c r="D3662" s="1" t="s">
        <v>9983</v>
      </c>
      <c r="E3662" s="6">
        <v>4.71</v>
      </c>
    </row>
    <row r="3663" spans="1:5" x14ac:dyDescent="0.25">
      <c r="A3663" s="4" t="s">
        <v>7</v>
      </c>
      <c r="B3663" s="4" t="s">
        <v>9984</v>
      </c>
      <c r="C3663" s="1" t="s">
        <v>9985</v>
      </c>
      <c r="D3663" s="1" t="s">
        <v>9986</v>
      </c>
      <c r="E3663" s="6">
        <v>23.39</v>
      </c>
    </row>
    <row r="3664" spans="1:5" x14ac:dyDescent="0.25">
      <c r="A3664" s="4" t="s">
        <v>7</v>
      </c>
      <c r="B3664" s="4" t="s">
        <v>9987</v>
      </c>
      <c r="C3664" s="1" t="s">
        <v>9988</v>
      </c>
      <c r="D3664" s="1" t="s">
        <v>9983</v>
      </c>
      <c r="E3664" s="6">
        <v>16.29</v>
      </c>
    </row>
    <row r="3665" spans="1:5" x14ac:dyDescent="0.25">
      <c r="A3665" s="4" t="s">
        <v>7</v>
      </c>
      <c r="B3665" s="4" t="s">
        <v>9989</v>
      </c>
      <c r="C3665" s="1" t="s">
        <v>9990</v>
      </c>
      <c r="D3665" s="1" t="s">
        <v>9991</v>
      </c>
      <c r="E3665" s="6">
        <v>16.29</v>
      </c>
    </row>
    <row r="3666" spans="1:5" x14ac:dyDescent="0.25">
      <c r="A3666" s="4" t="s">
        <v>7</v>
      </c>
      <c r="B3666" s="4" t="s">
        <v>9992</v>
      </c>
      <c r="C3666" s="1" t="s">
        <v>9993</v>
      </c>
      <c r="D3666" s="1" t="s">
        <v>9659</v>
      </c>
      <c r="E3666" s="6">
        <v>16.29</v>
      </c>
    </row>
    <row r="3667" spans="1:5" x14ac:dyDescent="0.25">
      <c r="A3667" s="4" t="s">
        <v>7</v>
      </c>
      <c r="B3667" s="4" t="s">
        <v>9994</v>
      </c>
      <c r="C3667" s="1" t="s">
        <v>9995</v>
      </c>
      <c r="D3667" s="1" t="s">
        <v>9995</v>
      </c>
      <c r="E3667" s="6">
        <v>3.37</v>
      </c>
    </row>
    <row r="3668" spans="1:5" x14ac:dyDescent="0.25">
      <c r="A3668" s="4" t="s">
        <v>7</v>
      </c>
      <c r="B3668" s="4" t="s">
        <v>9996</v>
      </c>
      <c r="C3668" s="1" t="s">
        <v>9997</v>
      </c>
      <c r="D3668" s="1" t="s">
        <v>9998</v>
      </c>
      <c r="E3668" s="6">
        <v>7.71</v>
      </c>
    </row>
    <row r="3669" spans="1:5" x14ac:dyDescent="0.25">
      <c r="A3669" s="4" t="s">
        <v>7</v>
      </c>
      <c r="B3669" s="4" t="s">
        <v>9999</v>
      </c>
      <c r="C3669" s="1" t="s">
        <v>10000</v>
      </c>
      <c r="D3669" s="1" t="s">
        <v>10000</v>
      </c>
      <c r="E3669" s="6">
        <v>21.99</v>
      </c>
    </row>
    <row r="3670" spans="1:5" x14ac:dyDescent="0.25">
      <c r="A3670" s="4" t="s">
        <v>7</v>
      </c>
      <c r="B3670" s="4" t="s">
        <v>10001</v>
      </c>
      <c r="C3670" s="1" t="s">
        <v>10002</v>
      </c>
      <c r="D3670" s="1" t="s">
        <v>9659</v>
      </c>
      <c r="E3670" s="6">
        <v>29.95</v>
      </c>
    </row>
    <row r="3671" spans="1:5" x14ac:dyDescent="0.25">
      <c r="A3671" s="4" t="s">
        <v>7</v>
      </c>
      <c r="B3671" s="4" t="s">
        <v>10003</v>
      </c>
      <c r="C3671" s="1" t="s">
        <v>10004</v>
      </c>
      <c r="D3671" s="1" t="s">
        <v>10005</v>
      </c>
      <c r="E3671" s="6">
        <v>19.78</v>
      </c>
    </row>
    <row r="3672" spans="1:5" x14ac:dyDescent="0.25">
      <c r="A3672" s="4" t="s">
        <v>7</v>
      </c>
      <c r="B3672" s="4" t="s">
        <v>10006</v>
      </c>
      <c r="C3672" s="1" t="s">
        <v>10007</v>
      </c>
      <c r="D3672" s="1" t="s">
        <v>10008</v>
      </c>
      <c r="E3672" s="6">
        <v>4.07</v>
      </c>
    </row>
    <row r="3673" spans="1:5" x14ac:dyDescent="0.25">
      <c r="A3673" s="4" t="s">
        <v>7</v>
      </c>
      <c r="B3673" s="4" t="s">
        <v>10009</v>
      </c>
      <c r="C3673" s="1" t="s">
        <v>10010</v>
      </c>
      <c r="D3673" s="1" t="s">
        <v>10010</v>
      </c>
      <c r="E3673" s="6">
        <v>423.25</v>
      </c>
    </row>
    <row r="3674" spans="1:5" x14ac:dyDescent="0.25">
      <c r="A3674" s="4" t="s">
        <v>7</v>
      </c>
      <c r="B3674" s="4" t="s">
        <v>10011</v>
      </c>
      <c r="C3674" s="1" t="s">
        <v>2254</v>
      </c>
      <c r="D3674" s="1" t="s">
        <v>2255</v>
      </c>
      <c r="E3674" s="6">
        <v>3.18</v>
      </c>
    </row>
    <row r="3675" spans="1:5" x14ac:dyDescent="0.25">
      <c r="A3675" s="4" t="s">
        <v>7</v>
      </c>
      <c r="B3675" s="4" t="s">
        <v>10012</v>
      </c>
      <c r="C3675" s="1" t="s">
        <v>10013</v>
      </c>
      <c r="D3675" s="1" t="s">
        <v>10013</v>
      </c>
      <c r="E3675" s="6">
        <v>10.66</v>
      </c>
    </row>
    <row r="3676" spans="1:5" x14ac:dyDescent="0.25">
      <c r="A3676" s="4" t="s">
        <v>7</v>
      </c>
      <c r="B3676" s="4" t="s">
        <v>10014</v>
      </c>
      <c r="C3676" s="1" t="s">
        <v>10015</v>
      </c>
      <c r="D3676" s="1" t="s">
        <v>10016</v>
      </c>
      <c r="E3676" s="6">
        <v>2.44</v>
      </c>
    </row>
    <row r="3677" spans="1:5" x14ac:dyDescent="0.25">
      <c r="A3677" s="4" t="s">
        <v>7</v>
      </c>
      <c r="B3677" s="4" t="s">
        <v>10017</v>
      </c>
      <c r="C3677" s="1" t="s">
        <v>10018</v>
      </c>
      <c r="D3677" s="1" t="s">
        <v>10019</v>
      </c>
      <c r="E3677" s="6">
        <v>3.26</v>
      </c>
    </row>
    <row r="3678" spans="1:5" x14ac:dyDescent="0.25">
      <c r="A3678" s="4" t="s">
        <v>7</v>
      </c>
      <c r="B3678" s="4" t="s">
        <v>10020</v>
      </c>
      <c r="C3678" s="1" t="s">
        <v>10021</v>
      </c>
      <c r="D3678" s="1" t="s">
        <v>10022</v>
      </c>
      <c r="E3678" s="6">
        <v>3.67</v>
      </c>
    </row>
    <row r="3679" spans="1:5" x14ac:dyDescent="0.25">
      <c r="A3679" s="4" t="s">
        <v>7</v>
      </c>
      <c r="B3679" s="4" t="s">
        <v>10023</v>
      </c>
      <c r="C3679" s="1" t="s">
        <v>10024</v>
      </c>
      <c r="D3679" s="1" t="s">
        <v>10025</v>
      </c>
      <c r="E3679" s="6">
        <v>6.37</v>
      </c>
    </row>
    <row r="3680" spans="1:5" x14ac:dyDescent="0.25">
      <c r="A3680" s="4" t="s">
        <v>7</v>
      </c>
      <c r="B3680" s="4" t="s">
        <v>10026</v>
      </c>
      <c r="C3680" s="1" t="s">
        <v>10027</v>
      </c>
      <c r="D3680" s="1" t="s">
        <v>10028</v>
      </c>
      <c r="E3680" s="6">
        <v>4.5</v>
      </c>
    </row>
    <row r="3681" spans="1:5" x14ac:dyDescent="0.25">
      <c r="A3681" s="4" t="s">
        <v>7</v>
      </c>
      <c r="B3681" s="4" t="s">
        <v>10029</v>
      </c>
      <c r="C3681" s="1" t="s">
        <v>10030</v>
      </c>
      <c r="D3681" s="1" t="s">
        <v>10031</v>
      </c>
      <c r="E3681" s="6">
        <v>5.7</v>
      </c>
    </row>
    <row r="3682" spans="1:5" x14ac:dyDescent="0.25">
      <c r="A3682" s="4" t="s">
        <v>7</v>
      </c>
      <c r="B3682" s="4" t="s">
        <v>10032</v>
      </c>
      <c r="C3682" s="1" t="s">
        <v>10033</v>
      </c>
      <c r="D3682" s="1" t="s">
        <v>10034</v>
      </c>
      <c r="E3682" s="6">
        <v>4.07</v>
      </c>
    </row>
    <row r="3683" spans="1:5" x14ac:dyDescent="0.25">
      <c r="A3683" s="4" t="s">
        <v>7</v>
      </c>
      <c r="B3683" s="4" t="s">
        <v>10035</v>
      </c>
      <c r="C3683" s="1" t="s">
        <v>10036</v>
      </c>
      <c r="D3683" s="1" t="s">
        <v>10034</v>
      </c>
      <c r="E3683" s="6">
        <v>4.07</v>
      </c>
    </row>
    <row r="3684" spans="1:5" x14ac:dyDescent="0.25">
      <c r="A3684" s="4" t="s">
        <v>7</v>
      </c>
      <c r="B3684" s="4" t="s">
        <v>10037</v>
      </c>
      <c r="C3684" s="1" t="s">
        <v>10038</v>
      </c>
      <c r="D3684" s="1" t="s">
        <v>10039</v>
      </c>
      <c r="E3684" s="6">
        <v>8.5500000000000007</v>
      </c>
    </row>
    <row r="3685" spans="1:5" x14ac:dyDescent="0.25">
      <c r="A3685" s="4" t="s">
        <v>7</v>
      </c>
      <c r="B3685" s="4" t="s">
        <v>10040</v>
      </c>
      <c r="C3685" s="1" t="s">
        <v>10041</v>
      </c>
      <c r="D3685" s="1" t="s">
        <v>10034</v>
      </c>
      <c r="E3685" s="6">
        <v>4.07</v>
      </c>
    </row>
    <row r="3686" spans="1:5" x14ac:dyDescent="0.25">
      <c r="A3686" s="4" t="s">
        <v>7</v>
      </c>
      <c r="B3686" s="4" t="s">
        <v>10042</v>
      </c>
      <c r="C3686" s="1" t="s">
        <v>10043</v>
      </c>
      <c r="D3686" s="1" t="s">
        <v>10044</v>
      </c>
      <c r="E3686" s="6">
        <v>3.96</v>
      </c>
    </row>
    <row r="3687" spans="1:5" x14ac:dyDescent="0.25">
      <c r="A3687" s="4" t="s">
        <v>7</v>
      </c>
      <c r="B3687" s="4" t="s">
        <v>10045</v>
      </c>
      <c r="C3687" s="1" t="s">
        <v>10046</v>
      </c>
      <c r="D3687" s="1" t="s">
        <v>10039</v>
      </c>
      <c r="E3687" s="6">
        <v>13.11</v>
      </c>
    </row>
    <row r="3688" spans="1:5" x14ac:dyDescent="0.25">
      <c r="A3688" s="4" t="s">
        <v>7</v>
      </c>
      <c r="B3688" s="4" t="s">
        <v>10047</v>
      </c>
      <c r="C3688" s="1" t="s">
        <v>10048</v>
      </c>
      <c r="D3688" s="1" t="s">
        <v>10049</v>
      </c>
      <c r="E3688" s="6">
        <v>4</v>
      </c>
    </row>
    <row r="3689" spans="1:5" x14ac:dyDescent="0.25">
      <c r="A3689" s="4" t="s">
        <v>7</v>
      </c>
      <c r="B3689" s="4" t="s">
        <v>10050</v>
      </c>
      <c r="C3689" s="1" t="s">
        <v>10051</v>
      </c>
      <c r="D3689" s="1" t="s">
        <v>10052</v>
      </c>
      <c r="E3689" s="6">
        <v>6.74</v>
      </c>
    </row>
    <row r="3690" spans="1:5" x14ac:dyDescent="0.25">
      <c r="A3690" s="4" t="s">
        <v>7</v>
      </c>
      <c r="B3690" s="4" t="s">
        <v>10053</v>
      </c>
      <c r="C3690" s="1" t="s">
        <v>10054</v>
      </c>
      <c r="D3690" s="1" t="s">
        <v>10055</v>
      </c>
      <c r="E3690" s="6">
        <v>14.78</v>
      </c>
    </row>
    <row r="3691" spans="1:5" x14ac:dyDescent="0.25">
      <c r="A3691" s="4" t="s">
        <v>7</v>
      </c>
      <c r="B3691" s="4" t="s">
        <v>10056</v>
      </c>
      <c r="C3691" s="1" t="s">
        <v>10057</v>
      </c>
      <c r="D3691" s="1" t="s">
        <v>10057</v>
      </c>
      <c r="E3691" s="6">
        <v>12.22</v>
      </c>
    </row>
    <row r="3692" spans="1:5" x14ac:dyDescent="0.25">
      <c r="A3692" s="4" t="s">
        <v>7</v>
      </c>
      <c r="B3692" s="4" t="s">
        <v>10058</v>
      </c>
      <c r="C3692" s="1" t="s">
        <v>10059</v>
      </c>
      <c r="D3692" s="1" t="s">
        <v>10060</v>
      </c>
      <c r="E3692" s="6">
        <v>9.89</v>
      </c>
    </row>
    <row r="3693" spans="1:5" x14ac:dyDescent="0.25">
      <c r="A3693" s="4" t="s">
        <v>7</v>
      </c>
      <c r="B3693" s="4" t="s">
        <v>10061</v>
      </c>
      <c r="C3693" s="1" t="s">
        <v>10062</v>
      </c>
      <c r="D3693" s="1" t="s">
        <v>10060</v>
      </c>
      <c r="E3693" s="6">
        <v>8.15</v>
      </c>
    </row>
    <row r="3694" spans="1:5" x14ac:dyDescent="0.25">
      <c r="A3694" s="4" t="s">
        <v>7</v>
      </c>
      <c r="B3694" s="4" t="s">
        <v>10063</v>
      </c>
      <c r="C3694" s="1" t="s">
        <v>10064</v>
      </c>
      <c r="D3694" s="1" t="s">
        <v>10065</v>
      </c>
      <c r="E3694" s="6">
        <v>104.26</v>
      </c>
    </row>
    <row r="3695" spans="1:5" x14ac:dyDescent="0.25">
      <c r="A3695" s="4" t="s">
        <v>7</v>
      </c>
      <c r="B3695" s="4" t="s">
        <v>10066</v>
      </c>
      <c r="C3695" s="1" t="s">
        <v>10067</v>
      </c>
      <c r="D3695" s="1" t="s">
        <v>10068</v>
      </c>
      <c r="E3695" s="6">
        <v>5.7</v>
      </c>
    </row>
    <row r="3696" spans="1:5" x14ac:dyDescent="0.25">
      <c r="A3696" s="4" t="s">
        <v>7</v>
      </c>
      <c r="B3696" s="4" t="s">
        <v>10069</v>
      </c>
      <c r="C3696" s="1" t="s">
        <v>10070</v>
      </c>
      <c r="D3696" s="1" t="s">
        <v>10071</v>
      </c>
      <c r="E3696" s="6">
        <v>8</v>
      </c>
    </row>
    <row r="3697" spans="1:5" x14ac:dyDescent="0.25">
      <c r="A3697" s="4" t="s">
        <v>7</v>
      </c>
      <c r="B3697" s="4" t="s">
        <v>10072</v>
      </c>
      <c r="C3697" s="1" t="s">
        <v>10073</v>
      </c>
      <c r="D3697" s="1" t="s">
        <v>10074</v>
      </c>
      <c r="E3697" s="6">
        <v>4.7699999999999996</v>
      </c>
    </row>
    <row r="3698" spans="1:5" x14ac:dyDescent="0.25">
      <c r="A3698" s="4" t="s">
        <v>7</v>
      </c>
      <c r="B3698" s="4" t="s">
        <v>10075</v>
      </c>
      <c r="C3698" s="1" t="s">
        <v>10076</v>
      </c>
      <c r="D3698" s="1" t="s">
        <v>10077</v>
      </c>
      <c r="E3698" s="6">
        <v>14.66</v>
      </c>
    </row>
    <row r="3699" spans="1:5" x14ac:dyDescent="0.25">
      <c r="A3699" s="4" t="s">
        <v>7</v>
      </c>
      <c r="B3699" s="4" t="s">
        <v>10078</v>
      </c>
      <c r="C3699" s="1" t="s">
        <v>10079</v>
      </c>
      <c r="D3699" s="1" t="s">
        <v>10079</v>
      </c>
      <c r="E3699" s="6">
        <v>11.4</v>
      </c>
    </row>
    <row r="3700" spans="1:5" x14ac:dyDescent="0.25">
      <c r="A3700" s="4" t="s">
        <v>7</v>
      </c>
      <c r="B3700" s="4" t="s">
        <v>10080</v>
      </c>
      <c r="C3700" s="1" t="s">
        <v>10081</v>
      </c>
      <c r="D3700" s="1" t="s">
        <v>10082</v>
      </c>
      <c r="E3700" s="6">
        <v>25.14</v>
      </c>
    </row>
    <row r="3701" spans="1:5" x14ac:dyDescent="0.25">
      <c r="A3701" s="4" t="s">
        <v>7</v>
      </c>
      <c r="B3701" s="4" t="s">
        <v>10083</v>
      </c>
      <c r="C3701" s="1" t="s">
        <v>10084</v>
      </c>
      <c r="D3701" s="1" t="s">
        <v>10082</v>
      </c>
      <c r="E3701" s="6">
        <v>2.4700000000000002</v>
      </c>
    </row>
    <row r="3702" spans="1:5" x14ac:dyDescent="0.25">
      <c r="A3702" s="4" t="s">
        <v>7</v>
      </c>
      <c r="B3702" s="4" t="s">
        <v>10085</v>
      </c>
      <c r="C3702" s="1" t="s">
        <v>10086</v>
      </c>
      <c r="D3702" s="1" t="s">
        <v>10087</v>
      </c>
      <c r="E3702" s="6">
        <v>25.81</v>
      </c>
    </row>
    <row r="3703" spans="1:5" x14ac:dyDescent="0.25">
      <c r="A3703" s="4" t="s">
        <v>7</v>
      </c>
      <c r="B3703" s="4" t="s">
        <v>10088</v>
      </c>
      <c r="C3703" s="1" t="s">
        <v>10089</v>
      </c>
      <c r="D3703" s="1" t="s">
        <v>10077</v>
      </c>
      <c r="E3703" s="6">
        <v>4.7699999999999996</v>
      </c>
    </row>
    <row r="3704" spans="1:5" x14ac:dyDescent="0.25">
      <c r="A3704" s="4" t="s">
        <v>7</v>
      </c>
      <c r="B3704" s="4" t="s">
        <v>10090</v>
      </c>
      <c r="C3704" s="1" t="s">
        <v>10091</v>
      </c>
      <c r="D3704" s="1" t="s">
        <v>10087</v>
      </c>
      <c r="E3704" s="6">
        <v>13.49</v>
      </c>
    </row>
    <row r="3705" spans="1:5" x14ac:dyDescent="0.25">
      <c r="A3705" s="4" t="s">
        <v>7</v>
      </c>
      <c r="B3705" s="4" t="s">
        <v>10092</v>
      </c>
      <c r="C3705" s="1" t="s">
        <v>10093</v>
      </c>
      <c r="D3705" s="1" t="s">
        <v>10077</v>
      </c>
      <c r="E3705" s="6">
        <v>4.7699999999999996</v>
      </c>
    </row>
    <row r="3706" spans="1:5" x14ac:dyDescent="0.25">
      <c r="A3706" s="4" t="s">
        <v>7</v>
      </c>
      <c r="B3706" s="4" t="s">
        <v>10094</v>
      </c>
      <c r="C3706" s="1" t="s">
        <v>2080</v>
      </c>
      <c r="D3706" s="1" t="s">
        <v>2080</v>
      </c>
      <c r="E3706" s="6">
        <v>2.35</v>
      </c>
    </row>
    <row r="3707" spans="1:5" x14ac:dyDescent="0.25">
      <c r="A3707" s="4" t="s">
        <v>7</v>
      </c>
      <c r="B3707" s="4" t="s">
        <v>10095</v>
      </c>
      <c r="C3707" s="1" t="s">
        <v>10096</v>
      </c>
      <c r="D3707" s="1" t="s">
        <v>10097</v>
      </c>
      <c r="E3707" s="6">
        <v>5</v>
      </c>
    </row>
    <row r="3708" spans="1:5" x14ac:dyDescent="0.25">
      <c r="A3708" s="4" t="s">
        <v>7</v>
      </c>
      <c r="B3708" s="4" t="s">
        <v>10098</v>
      </c>
      <c r="C3708" s="1" t="s">
        <v>10099</v>
      </c>
      <c r="D3708" s="1" t="s">
        <v>10100</v>
      </c>
      <c r="E3708" s="6">
        <v>2.35</v>
      </c>
    </row>
    <row r="3709" spans="1:5" x14ac:dyDescent="0.25">
      <c r="A3709" s="4" t="s">
        <v>7</v>
      </c>
      <c r="B3709" s="4" t="s">
        <v>10101</v>
      </c>
      <c r="C3709" s="1" t="s">
        <v>10102</v>
      </c>
      <c r="D3709" s="1" t="s">
        <v>10103</v>
      </c>
      <c r="E3709" s="6">
        <v>3.5</v>
      </c>
    </row>
    <row r="3710" spans="1:5" x14ac:dyDescent="0.25">
      <c r="A3710" s="4" t="s">
        <v>7</v>
      </c>
      <c r="B3710" s="4" t="s">
        <v>10104</v>
      </c>
      <c r="C3710" s="1" t="s">
        <v>10105</v>
      </c>
      <c r="D3710" s="1" t="s">
        <v>10106</v>
      </c>
      <c r="E3710" s="6">
        <v>2.82</v>
      </c>
    </row>
    <row r="3711" spans="1:5" x14ac:dyDescent="0.25">
      <c r="A3711" s="4" t="s">
        <v>7</v>
      </c>
      <c r="B3711" s="4" t="s">
        <v>10107</v>
      </c>
      <c r="C3711" s="1" t="s">
        <v>10108</v>
      </c>
      <c r="D3711" s="1" t="s">
        <v>10109</v>
      </c>
      <c r="E3711" s="6">
        <v>10</v>
      </c>
    </row>
    <row r="3712" spans="1:5" x14ac:dyDescent="0.25">
      <c r="A3712" s="4" t="s">
        <v>7</v>
      </c>
      <c r="B3712" s="4" t="s">
        <v>10110</v>
      </c>
      <c r="C3712" s="1" t="s">
        <v>10111</v>
      </c>
      <c r="D3712" s="1" t="s">
        <v>10112</v>
      </c>
      <c r="E3712" s="6">
        <v>14.01</v>
      </c>
    </row>
    <row r="3713" spans="1:5" x14ac:dyDescent="0.25">
      <c r="A3713" s="4" t="s">
        <v>7</v>
      </c>
      <c r="B3713" s="4" t="s">
        <v>10113</v>
      </c>
      <c r="C3713" s="1" t="s">
        <v>10114</v>
      </c>
      <c r="D3713" s="1" t="s">
        <v>10115</v>
      </c>
      <c r="E3713" s="6">
        <v>4.7</v>
      </c>
    </row>
    <row r="3714" spans="1:5" x14ac:dyDescent="0.25">
      <c r="A3714" s="4" t="s">
        <v>7</v>
      </c>
      <c r="B3714" s="4" t="s">
        <v>10116</v>
      </c>
      <c r="C3714" s="1" t="s">
        <v>9427</v>
      </c>
      <c r="D3714" s="1" t="s">
        <v>9428</v>
      </c>
      <c r="E3714" s="6">
        <v>5.19</v>
      </c>
    </row>
    <row r="3715" spans="1:5" x14ac:dyDescent="0.25">
      <c r="A3715" s="4" t="s">
        <v>7</v>
      </c>
      <c r="B3715" s="4" t="s">
        <v>10117</v>
      </c>
      <c r="C3715" s="1" t="s">
        <v>10118</v>
      </c>
      <c r="D3715" s="1" t="s">
        <v>10119</v>
      </c>
      <c r="E3715" s="6">
        <v>180</v>
      </c>
    </row>
    <row r="3716" spans="1:5" x14ac:dyDescent="0.25">
      <c r="A3716" s="4" t="s">
        <v>7</v>
      </c>
      <c r="B3716" s="4" t="s">
        <v>10120</v>
      </c>
      <c r="C3716" s="1" t="s">
        <v>10121</v>
      </c>
      <c r="D3716" s="1" t="s">
        <v>10121</v>
      </c>
      <c r="E3716" s="6">
        <v>2.44</v>
      </c>
    </row>
    <row r="3717" spans="1:5" x14ac:dyDescent="0.25">
      <c r="A3717" s="4" t="s">
        <v>7</v>
      </c>
      <c r="B3717" s="4" t="s">
        <v>10122</v>
      </c>
      <c r="C3717" s="1" t="s">
        <v>10123</v>
      </c>
      <c r="D3717" s="1" t="s">
        <v>10124</v>
      </c>
      <c r="E3717" s="6">
        <v>2.82</v>
      </c>
    </row>
    <row r="3718" spans="1:5" x14ac:dyDescent="0.25">
      <c r="A3718" s="4" t="s">
        <v>7</v>
      </c>
      <c r="B3718" s="4" t="s">
        <v>10125</v>
      </c>
      <c r="C3718" s="1" t="s">
        <v>10126</v>
      </c>
      <c r="D3718" s="1" t="s">
        <v>10124</v>
      </c>
      <c r="E3718" s="6">
        <v>2.82</v>
      </c>
    </row>
    <row r="3719" spans="1:5" x14ac:dyDescent="0.25">
      <c r="A3719" s="4" t="s">
        <v>7</v>
      </c>
      <c r="B3719" s="4" t="s">
        <v>10127</v>
      </c>
      <c r="C3719" s="1" t="s">
        <v>10128</v>
      </c>
      <c r="D3719" s="1" t="s">
        <v>10128</v>
      </c>
      <c r="E3719" s="6">
        <v>6.11</v>
      </c>
    </row>
    <row r="3720" spans="1:5" x14ac:dyDescent="0.25">
      <c r="A3720" s="4" t="s">
        <v>7</v>
      </c>
      <c r="B3720" s="4" t="s">
        <v>10129</v>
      </c>
      <c r="C3720" s="1" t="s">
        <v>10130</v>
      </c>
      <c r="D3720" s="1" t="s">
        <v>10039</v>
      </c>
      <c r="E3720" s="6">
        <v>2.85</v>
      </c>
    </row>
    <row r="3721" spans="1:5" x14ac:dyDescent="0.25">
      <c r="A3721" s="4" t="s">
        <v>7</v>
      </c>
      <c r="B3721" s="4" t="s">
        <v>10131</v>
      </c>
      <c r="C3721" s="1" t="s">
        <v>10132</v>
      </c>
      <c r="D3721" s="1" t="s">
        <v>10039</v>
      </c>
      <c r="E3721" s="6">
        <v>2.85</v>
      </c>
    </row>
    <row r="3722" spans="1:5" x14ac:dyDescent="0.25">
      <c r="A3722" s="4" t="s">
        <v>7</v>
      </c>
      <c r="B3722" s="4" t="s">
        <v>10133</v>
      </c>
      <c r="C3722" s="1" t="s">
        <v>10134</v>
      </c>
      <c r="D3722" s="1" t="s">
        <v>10135</v>
      </c>
      <c r="E3722" s="6">
        <v>1.56</v>
      </c>
    </row>
    <row r="3723" spans="1:5" x14ac:dyDescent="0.25">
      <c r="A3723" s="4" t="s">
        <v>7</v>
      </c>
      <c r="B3723" s="4" t="s">
        <v>10136</v>
      </c>
      <c r="C3723" s="1" t="s">
        <v>10137</v>
      </c>
      <c r="D3723" s="1" t="s">
        <v>10138</v>
      </c>
      <c r="E3723" s="6">
        <v>17.920000000000002</v>
      </c>
    </row>
    <row r="3724" spans="1:5" x14ac:dyDescent="0.25">
      <c r="A3724" s="4" t="s">
        <v>7</v>
      </c>
      <c r="B3724" s="4" t="s">
        <v>10139</v>
      </c>
      <c r="C3724" s="1" t="s">
        <v>10140</v>
      </c>
      <c r="D3724" s="1" t="s">
        <v>10141</v>
      </c>
      <c r="E3724" s="6">
        <v>16.18</v>
      </c>
    </row>
    <row r="3725" spans="1:5" x14ac:dyDescent="0.25">
      <c r="A3725" s="4" t="s">
        <v>7</v>
      </c>
      <c r="B3725" s="4" t="s">
        <v>10142</v>
      </c>
      <c r="C3725" s="1" t="s">
        <v>10143</v>
      </c>
      <c r="D3725" s="1" t="s">
        <v>10144</v>
      </c>
      <c r="E3725" s="6">
        <v>24.44</v>
      </c>
    </row>
    <row r="3726" spans="1:5" x14ac:dyDescent="0.25">
      <c r="A3726" s="4" t="s">
        <v>7</v>
      </c>
      <c r="B3726" s="4" t="s">
        <v>10145</v>
      </c>
      <c r="C3726" s="1" t="s">
        <v>10146</v>
      </c>
      <c r="D3726" s="1" t="s">
        <v>10147</v>
      </c>
      <c r="E3726" s="6">
        <v>24.22</v>
      </c>
    </row>
    <row r="3727" spans="1:5" x14ac:dyDescent="0.25">
      <c r="A3727" s="4" t="s">
        <v>7</v>
      </c>
      <c r="B3727" s="4" t="s">
        <v>10148</v>
      </c>
      <c r="C3727" s="1" t="s">
        <v>2065</v>
      </c>
      <c r="D3727" s="1" t="s">
        <v>2066</v>
      </c>
      <c r="E3727" s="6">
        <v>6.92</v>
      </c>
    </row>
    <row r="3728" spans="1:5" x14ac:dyDescent="0.25">
      <c r="A3728" s="4" t="s">
        <v>7</v>
      </c>
      <c r="B3728" s="4" t="s">
        <v>10149</v>
      </c>
      <c r="C3728" s="1" t="s">
        <v>10150</v>
      </c>
      <c r="D3728" s="1" t="s">
        <v>10151</v>
      </c>
      <c r="E3728" s="6">
        <v>71.25</v>
      </c>
    </row>
    <row r="3729" spans="1:5" x14ac:dyDescent="0.25">
      <c r="A3729" s="4" t="s">
        <v>7</v>
      </c>
      <c r="B3729" s="4" t="s">
        <v>10152</v>
      </c>
      <c r="C3729" s="1" t="s">
        <v>10150</v>
      </c>
      <c r="D3729" s="1" t="s">
        <v>10151</v>
      </c>
      <c r="E3729" s="6">
        <v>63.5</v>
      </c>
    </row>
    <row r="3730" spans="1:5" x14ac:dyDescent="0.25">
      <c r="A3730" s="4" t="s">
        <v>7</v>
      </c>
      <c r="B3730" s="4" t="s">
        <v>10153</v>
      </c>
      <c r="C3730" s="1" t="s">
        <v>10154</v>
      </c>
      <c r="D3730" s="1" t="s">
        <v>9974</v>
      </c>
      <c r="E3730" s="6">
        <v>12.49</v>
      </c>
    </row>
    <row r="3731" spans="1:5" x14ac:dyDescent="0.25">
      <c r="A3731" s="4" t="s">
        <v>7</v>
      </c>
      <c r="B3731" s="4" t="s">
        <v>10155</v>
      </c>
      <c r="C3731" s="1" t="s">
        <v>10156</v>
      </c>
      <c r="D3731" s="1" t="s">
        <v>10157</v>
      </c>
      <c r="E3731" s="6">
        <v>2.82</v>
      </c>
    </row>
    <row r="3732" spans="1:5" x14ac:dyDescent="0.25">
      <c r="A3732" s="4" t="s">
        <v>7</v>
      </c>
      <c r="B3732" s="4" t="s">
        <v>10158</v>
      </c>
      <c r="C3732" s="1" t="s">
        <v>10159</v>
      </c>
      <c r="D3732" s="1" t="s">
        <v>10157</v>
      </c>
      <c r="E3732" s="6">
        <v>2.82</v>
      </c>
    </row>
    <row r="3733" spans="1:5" x14ac:dyDescent="0.25">
      <c r="A3733" s="4" t="s">
        <v>7</v>
      </c>
      <c r="B3733" s="4" t="s">
        <v>10160</v>
      </c>
      <c r="C3733" s="1" t="s">
        <v>10161</v>
      </c>
      <c r="D3733" s="1" t="s">
        <v>10157</v>
      </c>
      <c r="E3733" s="6">
        <v>2.82</v>
      </c>
    </row>
    <row r="3734" spans="1:5" x14ac:dyDescent="0.25">
      <c r="A3734" s="4" t="s">
        <v>7</v>
      </c>
      <c r="B3734" s="4" t="s">
        <v>10162</v>
      </c>
      <c r="C3734" s="1" t="s">
        <v>10163</v>
      </c>
      <c r="D3734" s="1" t="s">
        <v>10164</v>
      </c>
      <c r="E3734" s="6">
        <v>3</v>
      </c>
    </row>
    <row r="3735" spans="1:5" x14ac:dyDescent="0.25">
      <c r="A3735" s="4" t="s">
        <v>7</v>
      </c>
      <c r="B3735" s="4" t="s">
        <v>10165</v>
      </c>
      <c r="C3735" s="1" t="s">
        <v>10166</v>
      </c>
      <c r="D3735" s="1" t="s">
        <v>10166</v>
      </c>
      <c r="E3735" s="6">
        <v>50.9</v>
      </c>
    </row>
    <row r="3736" spans="1:5" x14ac:dyDescent="0.25">
      <c r="A3736" s="4" t="s">
        <v>7</v>
      </c>
      <c r="B3736" s="4" t="s">
        <v>10167</v>
      </c>
      <c r="C3736" s="1" t="s">
        <v>10168</v>
      </c>
      <c r="D3736" s="1" t="s">
        <v>10168</v>
      </c>
      <c r="E3736" s="6">
        <v>31.53</v>
      </c>
    </row>
    <row r="3737" spans="1:5" x14ac:dyDescent="0.25">
      <c r="A3737" s="4" t="s">
        <v>7</v>
      </c>
      <c r="B3737" s="4" t="s">
        <v>10169</v>
      </c>
      <c r="C3737" s="1" t="s">
        <v>10170</v>
      </c>
      <c r="D3737" s="1" t="s">
        <v>10171</v>
      </c>
      <c r="E3737" s="6">
        <v>1.63</v>
      </c>
    </row>
    <row r="3738" spans="1:5" x14ac:dyDescent="0.25">
      <c r="A3738" s="4" t="s">
        <v>7</v>
      </c>
      <c r="B3738" s="4" t="s">
        <v>10172</v>
      </c>
      <c r="C3738" s="1" t="s">
        <v>10173</v>
      </c>
      <c r="D3738" s="1" t="s">
        <v>10171</v>
      </c>
      <c r="E3738" s="6">
        <v>3.26</v>
      </c>
    </row>
    <row r="3739" spans="1:5" x14ac:dyDescent="0.25">
      <c r="A3739" s="4" t="s">
        <v>7</v>
      </c>
      <c r="B3739" s="4" t="s">
        <v>10174</v>
      </c>
      <c r="C3739" s="1" t="s">
        <v>10175</v>
      </c>
      <c r="D3739" s="1" t="s">
        <v>9488</v>
      </c>
      <c r="E3739" s="6">
        <v>18.73</v>
      </c>
    </row>
    <row r="3740" spans="1:5" x14ac:dyDescent="0.25">
      <c r="A3740" s="4" t="s">
        <v>7</v>
      </c>
      <c r="B3740" s="4" t="s">
        <v>10176</v>
      </c>
      <c r="C3740" s="1" t="s">
        <v>10177</v>
      </c>
      <c r="D3740" s="1" t="s">
        <v>10177</v>
      </c>
      <c r="E3740" s="6">
        <v>14.66</v>
      </c>
    </row>
    <row r="3741" spans="1:5" x14ac:dyDescent="0.25">
      <c r="A3741" s="4" t="s">
        <v>7</v>
      </c>
      <c r="B3741" s="4" t="s">
        <v>10178</v>
      </c>
      <c r="C3741" s="1" t="s">
        <v>10179</v>
      </c>
      <c r="D3741" s="1" t="s">
        <v>10179</v>
      </c>
      <c r="E3741" s="6">
        <v>11.28</v>
      </c>
    </row>
    <row r="3742" spans="1:5" x14ac:dyDescent="0.25">
      <c r="A3742" s="4" t="s">
        <v>7</v>
      </c>
      <c r="B3742" s="4" t="s">
        <v>10180</v>
      </c>
      <c r="C3742" s="1" t="s">
        <v>10181</v>
      </c>
      <c r="D3742" s="1" t="s">
        <v>10181</v>
      </c>
      <c r="E3742" s="6">
        <v>11.81</v>
      </c>
    </row>
    <row r="3743" spans="1:5" x14ac:dyDescent="0.25">
      <c r="A3743" s="4" t="s">
        <v>7</v>
      </c>
      <c r="B3743" s="4" t="s">
        <v>10182</v>
      </c>
      <c r="C3743" s="1" t="s">
        <v>10183</v>
      </c>
      <c r="D3743" s="1" t="s">
        <v>10184</v>
      </c>
      <c r="E3743" s="6">
        <v>4.28</v>
      </c>
    </row>
    <row r="3744" spans="1:5" x14ac:dyDescent="0.25">
      <c r="A3744" s="4" t="s">
        <v>7</v>
      </c>
      <c r="B3744" s="4" t="s">
        <v>10185</v>
      </c>
      <c r="C3744" s="1" t="s">
        <v>10186</v>
      </c>
      <c r="D3744" s="1" t="s">
        <v>10186</v>
      </c>
      <c r="E3744" s="6">
        <v>30.75</v>
      </c>
    </row>
    <row r="3745" spans="1:5" x14ac:dyDescent="0.25">
      <c r="A3745" s="4" t="s">
        <v>7</v>
      </c>
      <c r="B3745" s="4" t="s">
        <v>10187</v>
      </c>
      <c r="C3745" s="1" t="s">
        <v>10188</v>
      </c>
      <c r="D3745" s="1" t="s">
        <v>10189</v>
      </c>
      <c r="E3745" s="6">
        <v>4.8899999999999997</v>
      </c>
    </row>
    <row r="3746" spans="1:5" x14ac:dyDescent="0.25">
      <c r="A3746" s="4" t="s">
        <v>7</v>
      </c>
      <c r="B3746" s="4" t="s">
        <v>10190</v>
      </c>
      <c r="C3746" s="1" t="s">
        <v>10191</v>
      </c>
      <c r="D3746" s="1" t="s">
        <v>10192</v>
      </c>
      <c r="E3746" s="6">
        <v>11.54</v>
      </c>
    </row>
    <row r="3747" spans="1:5" x14ac:dyDescent="0.25">
      <c r="A3747" s="4" t="s">
        <v>7</v>
      </c>
      <c r="B3747" s="4" t="s">
        <v>10193</v>
      </c>
      <c r="C3747" s="1" t="s">
        <v>10194</v>
      </c>
      <c r="D3747" s="1" t="s">
        <v>10194</v>
      </c>
      <c r="E3747" s="6">
        <v>5</v>
      </c>
    </row>
    <row r="3748" spans="1:5" x14ac:dyDescent="0.25">
      <c r="A3748" s="4" t="s">
        <v>7</v>
      </c>
      <c r="B3748" s="4" t="s">
        <v>10195</v>
      </c>
      <c r="C3748" s="1" t="s">
        <v>10196</v>
      </c>
      <c r="D3748" s="1" t="s">
        <v>10196</v>
      </c>
      <c r="E3748" s="6">
        <v>18</v>
      </c>
    </row>
    <row r="3749" spans="1:5" x14ac:dyDescent="0.25">
      <c r="A3749" s="4" t="s">
        <v>7</v>
      </c>
      <c r="B3749" s="4" t="s">
        <v>10197</v>
      </c>
      <c r="C3749" s="1" t="s">
        <v>10198</v>
      </c>
      <c r="D3749" s="1" t="s">
        <v>9475</v>
      </c>
      <c r="E3749" s="6">
        <v>27.9</v>
      </c>
    </row>
    <row r="3750" spans="1:5" x14ac:dyDescent="0.25">
      <c r="A3750" s="4" t="s">
        <v>7</v>
      </c>
      <c r="B3750" s="4" t="s">
        <v>10199</v>
      </c>
      <c r="C3750" s="1" t="s">
        <v>10200</v>
      </c>
      <c r="D3750" s="1" t="s">
        <v>10201</v>
      </c>
      <c r="E3750" s="6">
        <v>5.7</v>
      </c>
    </row>
    <row r="3751" spans="1:5" x14ac:dyDescent="0.25">
      <c r="A3751" s="4" t="s">
        <v>7</v>
      </c>
      <c r="B3751" s="4" t="s">
        <v>10202</v>
      </c>
      <c r="C3751" s="1" t="s">
        <v>10203</v>
      </c>
      <c r="D3751" s="1" t="s">
        <v>10109</v>
      </c>
      <c r="E3751" s="6">
        <v>15.93</v>
      </c>
    </row>
    <row r="3752" spans="1:5" x14ac:dyDescent="0.25">
      <c r="A3752" s="4" t="s">
        <v>7</v>
      </c>
      <c r="B3752" s="4" t="s">
        <v>10204</v>
      </c>
      <c r="C3752" s="1" t="s">
        <v>10205</v>
      </c>
      <c r="D3752" s="1" t="s">
        <v>10205</v>
      </c>
      <c r="E3752" s="6">
        <v>23.41</v>
      </c>
    </row>
    <row r="3753" spans="1:5" x14ac:dyDescent="0.25">
      <c r="A3753" s="4" t="s">
        <v>7</v>
      </c>
      <c r="B3753" s="4" t="s">
        <v>10206</v>
      </c>
      <c r="C3753" s="1" t="s">
        <v>10207</v>
      </c>
      <c r="D3753" s="1" t="s">
        <v>10207</v>
      </c>
      <c r="E3753" s="6">
        <v>8.9600000000000009</v>
      </c>
    </row>
    <row r="3754" spans="1:5" x14ac:dyDescent="0.25">
      <c r="A3754" s="4" t="s">
        <v>7</v>
      </c>
      <c r="B3754" s="4" t="s">
        <v>10208</v>
      </c>
      <c r="C3754" s="1" t="s">
        <v>9430</v>
      </c>
      <c r="D3754" s="1" t="s">
        <v>9431</v>
      </c>
      <c r="E3754" s="6">
        <v>4.7</v>
      </c>
    </row>
    <row r="3755" spans="1:5" x14ac:dyDescent="0.25">
      <c r="A3755" s="4" t="s">
        <v>7</v>
      </c>
      <c r="B3755" s="4" t="s">
        <v>10209</v>
      </c>
      <c r="C3755" s="1" t="s">
        <v>10210</v>
      </c>
      <c r="D3755" s="1" t="s">
        <v>10211</v>
      </c>
      <c r="E3755" s="6">
        <v>5</v>
      </c>
    </row>
    <row r="3756" spans="1:5" x14ac:dyDescent="0.25">
      <c r="A3756" s="4" t="s">
        <v>7</v>
      </c>
      <c r="B3756" s="4" t="s">
        <v>10212</v>
      </c>
      <c r="C3756" s="1" t="s">
        <v>9424</v>
      </c>
      <c r="D3756" s="1" t="s">
        <v>9425</v>
      </c>
      <c r="E3756" s="6">
        <v>5</v>
      </c>
    </row>
    <row r="3757" spans="1:5" x14ac:dyDescent="0.25">
      <c r="A3757" s="4" t="s">
        <v>7</v>
      </c>
      <c r="B3757" s="4" t="s">
        <v>10213</v>
      </c>
      <c r="C3757" s="1" t="s">
        <v>10214</v>
      </c>
      <c r="D3757" s="1" t="s">
        <v>10112</v>
      </c>
      <c r="E3757" s="6">
        <v>25.84</v>
      </c>
    </row>
    <row r="3758" spans="1:5" x14ac:dyDescent="0.25">
      <c r="A3758" s="4" t="s">
        <v>7</v>
      </c>
      <c r="B3758" s="4" t="s">
        <v>10215</v>
      </c>
      <c r="C3758" s="1" t="s">
        <v>10216</v>
      </c>
      <c r="D3758" s="1" t="s">
        <v>10216</v>
      </c>
      <c r="E3758" s="6">
        <v>7.34</v>
      </c>
    </row>
    <row r="3759" spans="1:5" x14ac:dyDescent="0.25">
      <c r="A3759" s="4" t="s">
        <v>7</v>
      </c>
      <c r="B3759" s="4" t="s">
        <v>10217</v>
      </c>
      <c r="C3759" s="1" t="s">
        <v>10218</v>
      </c>
      <c r="D3759" s="1" t="s">
        <v>10218</v>
      </c>
      <c r="E3759" s="6">
        <v>2.85</v>
      </c>
    </row>
    <row r="3760" spans="1:5" x14ac:dyDescent="0.25">
      <c r="A3760" s="4" t="s">
        <v>7</v>
      </c>
      <c r="B3760" s="4" t="s">
        <v>10219</v>
      </c>
      <c r="C3760" s="1" t="s">
        <v>10220</v>
      </c>
      <c r="D3760" s="1" t="s">
        <v>10005</v>
      </c>
      <c r="E3760" s="6">
        <v>20.25</v>
      </c>
    </row>
    <row r="3761" spans="1:5" x14ac:dyDescent="0.25">
      <c r="A3761" s="4" t="s">
        <v>7</v>
      </c>
      <c r="B3761" s="4" t="s">
        <v>10221</v>
      </c>
      <c r="C3761" s="1" t="s">
        <v>10222</v>
      </c>
      <c r="D3761" s="1" t="s">
        <v>10005</v>
      </c>
      <c r="E3761" s="6">
        <v>20.25</v>
      </c>
    </row>
    <row r="3762" spans="1:5" x14ac:dyDescent="0.25">
      <c r="A3762" s="4" t="s">
        <v>7</v>
      </c>
      <c r="B3762" s="4" t="s">
        <v>10223</v>
      </c>
      <c r="C3762" s="1" t="s">
        <v>10224</v>
      </c>
      <c r="D3762" s="1" t="s">
        <v>10224</v>
      </c>
      <c r="E3762" s="6">
        <v>13.5</v>
      </c>
    </row>
    <row r="3763" spans="1:5" x14ac:dyDescent="0.25">
      <c r="A3763" s="4" t="s">
        <v>7</v>
      </c>
      <c r="B3763" s="4" t="s">
        <v>10225</v>
      </c>
      <c r="C3763" s="1" t="s">
        <v>10226</v>
      </c>
      <c r="D3763" s="1" t="s">
        <v>10226</v>
      </c>
      <c r="E3763" s="6">
        <v>2.44</v>
      </c>
    </row>
    <row r="3764" spans="1:5" x14ac:dyDescent="0.25">
      <c r="A3764" s="4" t="s">
        <v>7</v>
      </c>
      <c r="B3764" s="4" t="s">
        <v>10227</v>
      </c>
      <c r="C3764" s="1" t="s">
        <v>10228</v>
      </c>
      <c r="D3764" s="1" t="s">
        <v>10228</v>
      </c>
      <c r="E3764" s="6">
        <v>5.7</v>
      </c>
    </row>
    <row r="3765" spans="1:5" x14ac:dyDescent="0.25">
      <c r="A3765" s="4" t="s">
        <v>7</v>
      </c>
      <c r="B3765" s="4" t="s">
        <v>10229</v>
      </c>
      <c r="C3765" s="1" t="s">
        <v>10230</v>
      </c>
      <c r="D3765" s="1" t="s">
        <v>10230</v>
      </c>
      <c r="E3765" s="6">
        <v>5.7</v>
      </c>
    </row>
    <row r="3766" spans="1:5" x14ac:dyDescent="0.25">
      <c r="A3766" s="4" t="s">
        <v>7</v>
      </c>
      <c r="B3766" s="4" t="s">
        <v>10231</v>
      </c>
      <c r="C3766" s="1" t="s">
        <v>10232</v>
      </c>
      <c r="D3766" s="1" t="s">
        <v>10232</v>
      </c>
      <c r="E3766" s="6">
        <v>11.4</v>
      </c>
    </row>
    <row r="3767" spans="1:5" x14ac:dyDescent="0.25">
      <c r="A3767" s="4" t="s">
        <v>7</v>
      </c>
      <c r="B3767" s="4" t="s">
        <v>10233</v>
      </c>
      <c r="C3767" s="1" t="s">
        <v>10234</v>
      </c>
      <c r="D3767" s="1" t="s">
        <v>10234</v>
      </c>
      <c r="E3767" s="6">
        <v>2.44</v>
      </c>
    </row>
    <row r="3768" spans="1:5" x14ac:dyDescent="0.25">
      <c r="A3768" s="4" t="s">
        <v>7</v>
      </c>
      <c r="B3768" s="4" t="s">
        <v>10235</v>
      </c>
      <c r="C3768" s="1" t="s">
        <v>10236</v>
      </c>
      <c r="D3768" s="1" t="s">
        <v>10236</v>
      </c>
      <c r="E3768" s="6">
        <v>25.3</v>
      </c>
    </row>
    <row r="3769" spans="1:5" x14ac:dyDescent="0.25">
      <c r="A3769" s="4" t="s">
        <v>7</v>
      </c>
      <c r="B3769" s="4" t="s">
        <v>10237</v>
      </c>
      <c r="C3769" s="1" t="s">
        <v>10238</v>
      </c>
      <c r="D3769" s="1" t="s">
        <v>10238</v>
      </c>
      <c r="E3769" s="6">
        <v>5.29</v>
      </c>
    </row>
    <row r="3770" spans="1:5" x14ac:dyDescent="0.25">
      <c r="A3770" s="4" t="s">
        <v>7</v>
      </c>
      <c r="B3770" s="4" t="s">
        <v>10239</v>
      </c>
      <c r="C3770" s="1" t="s">
        <v>10240</v>
      </c>
      <c r="D3770" s="1" t="s">
        <v>10241</v>
      </c>
      <c r="E3770" s="6">
        <v>19</v>
      </c>
    </row>
    <row r="3771" spans="1:5" x14ac:dyDescent="0.25">
      <c r="A3771" s="4" t="s">
        <v>7</v>
      </c>
      <c r="B3771" s="4" t="s">
        <v>10242</v>
      </c>
      <c r="C3771" s="1" t="s">
        <v>10243</v>
      </c>
      <c r="D3771" s="1" t="s">
        <v>10244</v>
      </c>
      <c r="E3771" s="6">
        <v>19</v>
      </c>
    </row>
    <row r="3772" spans="1:5" x14ac:dyDescent="0.25">
      <c r="A3772" s="4" t="s">
        <v>7</v>
      </c>
      <c r="B3772" s="4" t="s">
        <v>10245</v>
      </c>
      <c r="C3772" s="1" t="s">
        <v>10246</v>
      </c>
      <c r="D3772" s="1" t="s">
        <v>10247</v>
      </c>
      <c r="E3772" s="6">
        <v>19</v>
      </c>
    </row>
    <row r="3773" spans="1:5" x14ac:dyDescent="0.25">
      <c r="A3773" s="4" t="s">
        <v>7</v>
      </c>
      <c r="B3773" s="4" t="s">
        <v>10248</v>
      </c>
      <c r="C3773" s="1" t="s">
        <v>10249</v>
      </c>
      <c r="D3773" s="1" t="s">
        <v>10087</v>
      </c>
      <c r="E3773" s="6">
        <v>3.46</v>
      </c>
    </row>
    <row r="3774" spans="1:5" x14ac:dyDescent="0.25">
      <c r="A3774" s="4" t="s">
        <v>7</v>
      </c>
      <c r="B3774" s="4" t="s">
        <v>10250</v>
      </c>
      <c r="C3774" s="1" t="s">
        <v>10251</v>
      </c>
      <c r="D3774" s="1" t="s">
        <v>10087</v>
      </c>
      <c r="E3774" s="6">
        <v>25.8</v>
      </c>
    </row>
    <row r="3775" spans="1:5" x14ac:dyDescent="0.25">
      <c r="A3775" s="4" t="s">
        <v>7</v>
      </c>
      <c r="B3775" s="4" t="s">
        <v>10252</v>
      </c>
      <c r="C3775" s="1" t="s">
        <v>10253</v>
      </c>
      <c r="D3775" s="1" t="s">
        <v>10241</v>
      </c>
      <c r="E3775" s="6">
        <v>19</v>
      </c>
    </row>
    <row r="3776" spans="1:5" x14ac:dyDescent="0.25">
      <c r="A3776" s="4" t="s">
        <v>7</v>
      </c>
      <c r="B3776" s="4" t="s">
        <v>10254</v>
      </c>
      <c r="C3776" s="1" t="s">
        <v>10255</v>
      </c>
      <c r="D3776" s="1" t="s">
        <v>10256</v>
      </c>
      <c r="E3776" s="6">
        <v>13.85</v>
      </c>
    </row>
    <row r="3777" spans="1:5" x14ac:dyDescent="0.25">
      <c r="A3777" s="4" t="s">
        <v>7</v>
      </c>
      <c r="B3777" s="4" t="s">
        <v>10257</v>
      </c>
      <c r="C3777" s="1" t="s">
        <v>10258</v>
      </c>
      <c r="D3777" s="1" t="s">
        <v>9962</v>
      </c>
      <c r="E3777" s="6">
        <v>18.5</v>
      </c>
    </row>
    <row r="3778" spans="1:5" x14ac:dyDescent="0.25">
      <c r="A3778" s="4" t="s">
        <v>7</v>
      </c>
      <c r="B3778" s="4" t="s">
        <v>10259</v>
      </c>
      <c r="C3778" s="1" t="s">
        <v>10260</v>
      </c>
      <c r="D3778" s="1" t="s">
        <v>10261</v>
      </c>
      <c r="E3778" s="6">
        <v>4.7</v>
      </c>
    </row>
    <row r="3779" spans="1:5" x14ac:dyDescent="0.25">
      <c r="A3779" s="4" t="s">
        <v>7</v>
      </c>
      <c r="B3779" s="4" t="s">
        <v>10262</v>
      </c>
      <c r="C3779" s="1" t="s">
        <v>10263</v>
      </c>
      <c r="D3779" s="1" t="s">
        <v>10263</v>
      </c>
      <c r="E3779" s="6">
        <v>7.33</v>
      </c>
    </row>
    <row r="3780" spans="1:5" x14ac:dyDescent="0.25">
      <c r="A3780" s="4" t="s">
        <v>7</v>
      </c>
      <c r="B3780" s="4" t="s">
        <v>10264</v>
      </c>
      <c r="C3780" s="1" t="s">
        <v>10265</v>
      </c>
      <c r="D3780" s="1" t="s">
        <v>10266</v>
      </c>
      <c r="E3780" s="6">
        <v>4.5999999999999996</v>
      </c>
    </row>
    <row r="3781" spans="1:5" x14ac:dyDescent="0.25">
      <c r="A3781" s="4" t="s">
        <v>7</v>
      </c>
      <c r="B3781" s="4" t="s">
        <v>10267</v>
      </c>
      <c r="C3781" s="1" t="s">
        <v>10268</v>
      </c>
      <c r="D3781" s="1" t="s">
        <v>10268</v>
      </c>
      <c r="E3781" s="6">
        <v>16.489999999999998</v>
      </c>
    </row>
    <row r="3782" spans="1:5" x14ac:dyDescent="0.25">
      <c r="A3782" s="4" t="s">
        <v>7</v>
      </c>
      <c r="B3782" s="4" t="s">
        <v>10269</v>
      </c>
      <c r="C3782" s="1" t="s">
        <v>10270</v>
      </c>
      <c r="D3782" s="1" t="s">
        <v>10270</v>
      </c>
      <c r="E3782" s="6">
        <v>16.489999999999998</v>
      </c>
    </row>
    <row r="3783" spans="1:5" x14ac:dyDescent="0.25">
      <c r="A3783" s="4" t="s">
        <v>7</v>
      </c>
      <c r="B3783" s="4" t="s">
        <v>10271</v>
      </c>
      <c r="C3783" s="1" t="s">
        <v>10272</v>
      </c>
      <c r="D3783" s="1" t="s">
        <v>10272</v>
      </c>
      <c r="E3783" s="6">
        <v>14.99</v>
      </c>
    </row>
    <row r="3784" spans="1:5" x14ac:dyDescent="0.25">
      <c r="A3784" s="4" t="s">
        <v>7</v>
      </c>
      <c r="B3784" s="4" t="s">
        <v>10273</v>
      </c>
      <c r="C3784" s="1" t="s">
        <v>10274</v>
      </c>
      <c r="D3784" s="1" t="s">
        <v>10275</v>
      </c>
      <c r="E3784" s="6">
        <v>4.53</v>
      </c>
    </row>
    <row r="3785" spans="1:5" x14ac:dyDescent="0.25">
      <c r="A3785" s="4" t="s">
        <v>7</v>
      </c>
      <c r="B3785" s="4" t="s">
        <v>10276</v>
      </c>
      <c r="C3785" s="1" t="s">
        <v>10277</v>
      </c>
      <c r="D3785" s="1" t="s">
        <v>10277</v>
      </c>
      <c r="E3785" s="6">
        <v>12.74</v>
      </c>
    </row>
    <row r="3786" spans="1:5" x14ac:dyDescent="0.25">
      <c r="A3786" s="4" t="s">
        <v>7</v>
      </c>
      <c r="B3786" s="4" t="s">
        <v>10278</v>
      </c>
      <c r="C3786" s="1" t="s">
        <v>10279</v>
      </c>
      <c r="D3786" s="1" t="s">
        <v>2085</v>
      </c>
      <c r="E3786" s="6">
        <v>9.6</v>
      </c>
    </row>
    <row r="3787" spans="1:5" x14ac:dyDescent="0.25">
      <c r="A3787" s="4" t="s">
        <v>7</v>
      </c>
      <c r="B3787" s="4" t="s">
        <v>10280</v>
      </c>
      <c r="C3787" s="1" t="s">
        <v>2084</v>
      </c>
      <c r="D3787" s="1" t="s">
        <v>2085</v>
      </c>
      <c r="E3787" s="6">
        <v>8.14</v>
      </c>
    </row>
    <row r="3788" spans="1:5" x14ac:dyDescent="0.25">
      <c r="A3788" s="4" t="s">
        <v>7</v>
      </c>
      <c r="B3788" s="4" t="s">
        <v>10281</v>
      </c>
      <c r="C3788" s="1" t="s">
        <v>10282</v>
      </c>
      <c r="D3788" s="1" t="s">
        <v>2123</v>
      </c>
      <c r="E3788" s="6">
        <v>10.63</v>
      </c>
    </row>
    <row r="3789" spans="1:5" x14ac:dyDescent="0.25">
      <c r="A3789" s="4" t="s">
        <v>7</v>
      </c>
      <c r="B3789" s="4" t="s">
        <v>10283</v>
      </c>
      <c r="C3789" s="1" t="s">
        <v>2089</v>
      </c>
      <c r="D3789" s="1" t="s">
        <v>2090</v>
      </c>
      <c r="E3789" s="6">
        <v>9.75</v>
      </c>
    </row>
    <row r="3790" spans="1:5" x14ac:dyDescent="0.25">
      <c r="A3790" s="4" t="s">
        <v>7</v>
      </c>
      <c r="B3790" s="4" t="s">
        <v>10284</v>
      </c>
      <c r="C3790" s="1" t="s">
        <v>2094</v>
      </c>
      <c r="D3790" s="1" t="s">
        <v>2095</v>
      </c>
      <c r="E3790" s="6">
        <v>6.78</v>
      </c>
    </row>
    <row r="3791" spans="1:5" x14ac:dyDescent="0.25">
      <c r="A3791" s="4" t="s">
        <v>7</v>
      </c>
      <c r="B3791" s="4" t="s">
        <v>10285</v>
      </c>
      <c r="C3791" s="1" t="s">
        <v>10286</v>
      </c>
      <c r="D3791" s="1" t="s">
        <v>2115</v>
      </c>
      <c r="E3791" s="6">
        <v>14.66</v>
      </c>
    </row>
    <row r="3792" spans="1:5" x14ac:dyDescent="0.25">
      <c r="A3792" s="4" t="s">
        <v>7</v>
      </c>
      <c r="B3792" s="4" t="s">
        <v>10287</v>
      </c>
      <c r="C3792" s="1" t="s">
        <v>2087</v>
      </c>
      <c r="D3792" s="1" t="s">
        <v>2085</v>
      </c>
      <c r="E3792" s="6">
        <v>11.4</v>
      </c>
    </row>
    <row r="3793" spans="1:5" x14ac:dyDescent="0.25">
      <c r="A3793" s="4" t="s">
        <v>7</v>
      </c>
      <c r="B3793" s="4" t="s">
        <v>10288</v>
      </c>
      <c r="C3793" s="1" t="s">
        <v>2114</v>
      </c>
      <c r="D3793" s="1" t="s">
        <v>2115</v>
      </c>
      <c r="E3793" s="6">
        <v>11.4</v>
      </c>
    </row>
    <row r="3794" spans="1:5" x14ac:dyDescent="0.25">
      <c r="A3794" s="4" t="s">
        <v>7</v>
      </c>
      <c r="B3794" s="4" t="s">
        <v>10289</v>
      </c>
      <c r="C3794" s="1" t="s">
        <v>2119</v>
      </c>
      <c r="D3794" s="1" t="s">
        <v>2120</v>
      </c>
      <c r="E3794" s="6">
        <v>6.77</v>
      </c>
    </row>
    <row r="3795" spans="1:5" x14ac:dyDescent="0.25">
      <c r="A3795" s="4" t="s">
        <v>7</v>
      </c>
      <c r="B3795" s="4" t="s">
        <v>10290</v>
      </c>
      <c r="C3795" s="1" t="s">
        <v>10291</v>
      </c>
      <c r="D3795" s="1" t="s">
        <v>2085</v>
      </c>
      <c r="E3795" s="6">
        <v>12.21</v>
      </c>
    </row>
    <row r="3796" spans="1:5" x14ac:dyDescent="0.25">
      <c r="A3796" s="4" t="s">
        <v>7</v>
      </c>
      <c r="B3796" s="4" t="s">
        <v>10292</v>
      </c>
      <c r="C3796" s="1" t="s">
        <v>10293</v>
      </c>
      <c r="D3796" s="1" t="s">
        <v>10294</v>
      </c>
      <c r="E3796" s="6">
        <v>9.39</v>
      </c>
    </row>
    <row r="3797" spans="1:5" x14ac:dyDescent="0.25">
      <c r="A3797" s="4" t="s">
        <v>7</v>
      </c>
      <c r="B3797" s="4" t="s">
        <v>10295</v>
      </c>
      <c r="C3797" s="1" t="s">
        <v>10296</v>
      </c>
      <c r="D3797" s="1" t="s">
        <v>10297</v>
      </c>
      <c r="E3797" s="6">
        <v>9.39</v>
      </c>
    </row>
    <row r="3798" spans="1:5" x14ac:dyDescent="0.25">
      <c r="A3798" s="4" t="s">
        <v>7</v>
      </c>
      <c r="B3798" s="4" t="s">
        <v>10298</v>
      </c>
      <c r="C3798" s="1" t="s">
        <v>10299</v>
      </c>
      <c r="D3798" s="1" t="s">
        <v>10300</v>
      </c>
      <c r="E3798" s="6">
        <v>10</v>
      </c>
    </row>
    <row r="3799" spans="1:5" x14ac:dyDescent="0.25">
      <c r="A3799" s="4" t="s">
        <v>7</v>
      </c>
      <c r="B3799" s="4" t="s">
        <v>10301</v>
      </c>
      <c r="C3799" s="1" t="s">
        <v>10302</v>
      </c>
      <c r="D3799" s="1" t="s">
        <v>10303</v>
      </c>
      <c r="E3799" s="6">
        <v>15.5</v>
      </c>
    </row>
    <row r="3800" spans="1:5" x14ac:dyDescent="0.25">
      <c r="A3800" s="4" t="s">
        <v>7</v>
      </c>
      <c r="B3800" s="4" t="s">
        <v>10304</v>
      </c>
      <c r="C3800" s="1" t="s">
        <v>10305</v>
      </c>
      <c r="D3800" s="1" t="s">
        <v>10306</v>
      </c>
      <c r="E3800" s="6">
        <v>10</v>
      </c>
    </row>
    <row r="3801" spans="1:5" x14ac:dyDescent="0.25">
      <c r="A3801" s="4" t="s">
        <v>7</v>
      </c>
      <c r="B3801" s="4" t="s">
        <v>10307</v>
      </c>
      <c r="C3801" s="1" t="s">
        <v>10308</v>
      </c>
      <c r="D3801" s="1" t="s">
        <v>10309</v>
      </c>
      <c r="E3801" s="6">
        <v>5.25</v>
      </c>
    </row>
    <row r="3802" spans="1:5" x14ac:dyDescent="0.25">
      <c r="A3802" s="4" t="s">
        <v>7</v>
      </c>
      <c r="B3802" s="4" t="s">
        <v>10310</v>
      </c>
      <c r="C3802" s="1" t="s">
        <v>10311</v>
      </c>
      <c r="D3802" s="1" t="s">
        <v>10311</v>
      </c>
      <c r="E3802" s="6">
        <v>10.49</v>
      </c>
    </row>
    <row r="3803" spans="1:5" x14ac:dyDescent="0.25">
      <c r="A3803" s="4" t="s">
        <v>7</v>
      </c>
      <c r="B3803" s="4" t="s">
        <v>10312</v>
      </c>
      <c r="C3803" s="1" t="s">
        <v>10313</v>
      </c>
      <c r="D3803" s="1" t="s">
        <v>10314</v>
      </c>
      <c r="E3803" s="6">
        <v>1.77</v>
      </c>
    </row>
    <row r="3804" spans="1:5" x14ac:dyDescent="0.25">
      <c r="A3804" s="4" t="s">
        <v>7</v>
      </c>
      <c r="B3804" s="4" t="s">
        <v>10315</v>
      </c>
      <c r="C3804" s="1" t="s">
        <v>10316</v>
      </c>
      <c r="D3804" s="1" t="s">
        <v>10317</v>
      </c>
      <c r="E3804" s="6">
        <v>21.99</v>
      </c>
    </row>
    <row r="3805" spans="1:5" x14ac:dyDescent="0.25">
      <c r="A3805" s="4" t="s">
        <v>7</v>
      </c>
      <c r="B3805" s="4" t="s">
        <v>10318</v>
      </c>
      <c r="C3805" s="1" t="s">
        <v>10319</v>
      </c>
      <c r="D3805" s="1" t="s">
        <v>10320</v>
      </c>
      <c r="E3805" s="6">
        <v>5</v>
      </c>
    </row>
    <row r="3806" spans="1:5" x14ac:dyDescent="0.25">
      <c r="A3806" s="4" t="s">
        <v>7</v>
      </c>
      <c r="B3806" s="4" t="s">
        <v>10321</v>
      </c>
      <c r="C3806" s="1" t="s">
        <v>10322</v>
      </c>
      <c r="D3806" s="1" t="s">
        <v>10323</v>
      </c>
      <c r="E3806" s="6">
        <v>20.36</v>
      </c>
    </row>
    <row r="3807" spans="1:5" x14ac:dyDescent="0.25">
      <c r="A3807" s="4" t="s">
        <v>7</v>
      </c>
      <c r="B3807" s="4" t="s">
        <v>10324</v>
      </c>
      <c r="C3807" s="1" t="s">
        <v>10325</v>
      </c>
      <c r="D3807" s="1" t="s">
        <v>10326</v>
      </c>
      <c r="E3807" s="6">
        <v>14</v>
      </c>
    </row>
    <row r="3808" spans="1:5" x14ac:dyDescent="0.25">
      <c r="A3808" s="4" t="s">
        <v>7</v>
      </c>
      <c r="B3808" s="4" t="s">
        <v>10327</v>
      </c>
      <c r="C3808" s="1" t="s">
        <v>10328</v>
      </c>
      <c r="D3808" s="1" t="s">
        <v>10329</v>
      </c>
      <c r="E3808" s="6">
        <v>32.58</v>
      </c>
    </row>
    <row r="3809" spans="1:5" x14ac:dyDescent="0.25">
      <c r="A3809" s="4" t="s">
        <v>7</v>
      </c>
      <c r="B3809" s="4" t="s">
        <v>10330</v>
      </c>
      <c r="C3809" s="1" t="s">
        <v>10331</v>
      </c>
      <c r="D3809" s="1" t="s">
        <v>10331</v>
      </c>
      <c r="E3809" s="6">
        <v>157.5</v>
      </c>
    </row>
    <row r="3810" spans="1:5" x14ac:dyDescent="0.25">
      <c r="A3810" s="4" t="s">
        <v>7</v>
      </c>
      <c r="B3810" s="4" t="s">
        <v>10332</v>
      </c>
      <c r="C3810" s="1" t="s">
        <v>10333</v>
      </c>
      <c r="D3810" s="1" t="s">
        <v>10334</v>
      </c>
      <c r="E3810" s="6">
        <v>59.95</v>
      </c>
    </row>
    <row r="3811" spans="1:5" x14ac:dyDescent="0.25">
      <c r="A3811" s="4" t="s">
        <v>7</v>
      </c>
      <c r="B3811" s="4" t="s">
        <v>10335</v>
      </c>
      <c r="C3811" s="1" t="s">
        <v>10336</v>
      </c>
      <c r="D3811" s="1" t="s">
        <v>10337</v>
      </c>
      <c r="E3811" s="6">
        <v>27</v>
      </c>
    </row>
    <row r="3812" spans="1:5" x14ac:dyDescent="0.25">
      <c r="A3812" s="4" t="s">
        <v>7</v>
      </c>
      <c r="B3812" s="4" t="s">
        <v>10338</v>
      </c>
      <c r="C3812" s="1" t="s">
        <v>10339</v>
      </c>
      <c r="D3812" s="1" t="s">
        <v>10339</v>
      </c>
      <c r="E3812" s="6">
        <v>71.75</v>
      </c>
    </row>
    <row r="3813" spans="1:5" x14ac:dyDescent="0.25">
      <c r="A3813" s="4" t="s">
        <v>7</v>
      </c>
      <c r="B3813" s="4" t="s">
        <v>10340</v>
      </c>
      <c r="C3813" s="1" t="s">
        <v>10341</v>
      </c>
      <c r="D3813" s="1" t="s">
        <v>10342</v>
      </c>
      <c r="E3813" s="6">
        <v>6.95</v>
      </c>
    </row>
    <row r="3814" spans="1:5" x14ac:dyDescent="0.25">
      <c r="A3814" s="4" t="s">
        <v>7</v>
      </c>
      <c r="B3814" s="4" t="s">
        <v>10343</v>
      </c>
      <c r="C3814" s="1" t="s">
        <v>10344</v>
      </c>
      <c r="D3814" s="1" t="s">
        <v>10005</v>
      </c>
      <c r="E3814" s="6">
        <v>15.75</v>
      </c>
    </row>
    <row r="3815" spans="1:5" x14ac:dyDescent="0.25">
      <c r="A3815" s="4" t="s">
        <v>7</v>
      </c>
      <c r="B3815" s="4" t="s">
        <v>10345</v>
      </c>
      <c r="C3815" s="1" t="s">
        <v>10346</v>
      </c>
      <c r="D3815" s="1" t="s">
        <v>10347</v>
      </c>
      <c r="E3815" s="6">
        <v>550</v>
      </c>
    </row>
    <row r="3816" spans="1:5" x14ac:dyDescent="0.25">
      <c r="A3816" s="4" t="s">
        <v>7</v>
      </c>
      <c r="B3816" s="4" t="s">
        <v>10348</v>
      </c>
      <c r="C3816" s="1" t="s">
        <v>10349</v>
      </c>
      <c r="D3816" s="1" t="s">
        <v>10350</v>
      </c>
      <c r="E3816" s="6">
        <v>12</v>
      </c>
    </row>
    <row r="3817" spans="1:5" x14ac:dyDescent="0.25">
      <c r="A3817" s="4" t="s">
        <v>7</v>
      </c>
      <c r="B3817" s="4" t="s">
        <v>10351</v>
      </c>
      <c r="C3817" s="1" t="s">
        <v>10352</v>
      </c>
      <c r="D3817" s="1" t="s">
        <v>10350</v>
      </c>
      <c r="E3817" s="6">
        <v>10</v>
      </c>
    </row>
    <row r="3818" spans="1:5" x14ac:dyDescent="0.25">
      <c r="A3818" s="4" t="s">
        <v>7</v>
      </c>
      <c r="B3818" s="4" t="s">
        <v>10353</v>
      </c>
      <c r="C3818" s="1" t="s">
        <v>10354</v>
      </c>
      <c r="D3818" s="1" t="s">
        <v>10354</v>
      </c>
      <c r="E3818" s="6">
        <v>83.08</v>
      </c>
    </row>
    <row r="3819" spans="1:5" x14ac:dyDescent="0.25">
      <c r="A3819" s="4" t="s">
        <v>7</v>
      </c>
      <c r="B3819" s="4" t="s">
        <v>10355</v>
      </c>
      <c r="C3819" s="1" t="s">
        <v>10356</v>
      </c>
      <c r="D3819" s="1" t="s">
        <v>10357</v>
      </c>
      <c r="E3819" s="6">
        <v>69</v>
      </c>
    </row>
    <row r="3820" spans="1:5" x14ac:dyDescent="0.25">
      <c r="A3820" s="4" t="s">
        <v>7</v>
      </c>
      <c r="B3820" s="4" t="s">
        <v>10358</v>
      </c>
      <c r="C3820" s="1" t="s">
        <v>10359</v>
      </c>
      <c r="D3820" s="1" t="s">
        <v>10359</v>
      </c>
      <c r="E3820" s="6">
        <v>79</v>
      </c>
    </row>
    <row r="3821" spans="1:5" x14ac:dyDescent="0.25">
      <c r="A3821" s="4" t="s">
        <v>7</v>
      </c>
      <c r="B3821" s="4" t="s">
        <v>10360</v>
      </c>
      <c r="C3821" s="1" t="s">
        <v>10361</v>
      </c>
      <c r="D3821" s="1" t="s">
        <v>10362</v>
      </c>
      <c r="E3821" s="6">
        <v>16.29</v>
      </c>
    </row>
    <row r="3822" spans="1:5" x14ac:dyDescent="0.25">
      <c r="A3822" s="4" t="s">
        <v>7</v>
      </c>
      <c r="B3822" s="4" t="s">
        <v>10363</v>
      </c>
      <c r="C3822" s="1" t="s">
        <v>10364</v>
      </c>
      <c r="D3822" s="1" t="s">
        <v>10362</v>
      </c>
      <c r="E3822" s="6">
        <v>16.29</v>
      </c>
    </row>
    <row r="3823" spans="1:5" x14ac:dyDescent="0.25">
      <c r="A3823" s="4" t="s">
        <v>7</v>
      </c>
      <c r="B3823" s="4" t="s">
        <v>10365</v>
      </c>
      <c r="C3823" s="1" t="s">
        <v>10366</v>
      </c>
      <c r="D3823" s="1" t="s">
        <v>10367</v>
      </c>
      <c r="E3823" s="6">
        <v>84.71</v>
      </c>
    </row>
    <row r="3824" spans="1:5" x14ac:dyDescent="0.25">
      <c r="A3824" s="4" t="s">
        <v>7</v>
      </c>
      <c r="B3824" s="4" t="s">
        <v>10368</v>
      </c>
      <c r="C3824" s="1" t="s">
        <v>10369</v>
      </c>
      <c r="D3824" s="1" t="s">
        <v>10370</v>
      </c>
      <c r="E3824" s="6">
        <v>74.930000000000007</v>
      </c>
    </row>
    <row r="3825" spans="1:5" x14ac:dyDescent="0.25">
      <c r="A3825" s="4" t="s">
        <v>7</v>
      </c>
      <c r="B3825" s="4" t="s">
        <v>10371</v>
      </c>
      <c r="C3825" s="1" t="s">
        <v>10372</v>
      </c>
      <c r="D3825" s="1" t="s">
        <v>10373</v>
      </c>
      <c r="E3825" s="6">
        <v>74.930000000000007</v>
      </c>
    </row>
    <row r="3826" spans="1:5" x14ac:dyDescent="0.25">
      <c r="A3826" s="4" t="s">
        <v>7</v>
      </c>
      <c r="B3826" s="4" t="s">
        <v>10374</v>
      </c>
      <c r="C3826" s="1" t="s">
        <v>10375</v>
      </c>
      <c r="D3826" s="1" t="s">
        <v>10376</v>
      </c>
      <c r="E3826" s="6">
        <v>37.4</v>
      </c>
    </row>
    <row r="3827" spans="1:5" x14ac:dyDescent="0.25">
      <c r="A3827" s="4" t="s">
        <v>7</v>
      </c>
      <c r="B3827" s="4" t="s">
        <v>10377</v>
      </c>
      <c r="C3827" s="1" t="s">
        <v>10378</v>
      </c>
      <c r="D3827" s="1" t="s">
        <v>10379</v>
      </c>
      <c r="E3827" s="6">
        <v>10</v>
      </c>
    </row>
    <row r="3828" spans="1:5" x14ac:dyDescent="0.25">
      <c r="A3828" s="4" t="s">
        <v>7</v>
      </c>
      <c r="B3828" s="4" t="s">
        <v>10380</v>
      </c>
      <c r="C3828" s="1" t="s">
        <v>10381</v>
      </c>
      <c r="D3828" s="1" t="s">
        <v>10065</v>
      </c>
      <c r="E3828" s="6">
        <v>148</v>
      </c>
    </row>
    <row r="3829" spans="1:5" x14ac:dyDescent="0.25">
      <c r="A3829" s="4" t="s">
        <v>7</v>
      </c>
      <c r="B3829" s="4" t="s">
        <v>10382</v>
      </c>
      <c r="C3829" s="1" t="s">
        <v>10383</v>
      </c>
      <c r="D3829" s="1" t="s">
        <v>10384</v>
      </c>
      <c r="E3829" s="6">
        <v>150</v>
      </c>
    </row>
    <row r="3830" spans="1:5" x14ac:dyDescent="0.25">
      <c r="A3830" s="4" t="s">
        <v>7</v>
      </c>
      <c r="B3830" s="4" t="s">
        <v>10385</v>
      </c>
      <c r="C3830" s="1" t="s">
        <v>10386</v>
      </c>
      <c r="D3830" s="1" t="s">
        <v>10387</v>
      </c>
      <c r="E3830" s="6">
        <v>36.65</v>
      </c>
    </row>
    <row r="3831" spans="1:5" x14ac:dyDescent="0.25">
      <c r="A3831" s="4" t="s">
        <v>7</v>
      </c>
      <c r="B3831" s="4" t="s">
        <v>10388</v>
      </c>
      <c r="C3831" s="1" t="s">
        <v>10389</v>
      </c>
      <c r="D3831" s="1" t="s">
        <v>10065</v>
      </c>
      <c r="E3831" s="6">
        <v>69.5</v>
      </c>
    </row>
    <row r="3832" spans="1:5" x14ac:dyDescent="0.25">
      <c r="A3832" s="4" t="s">
        <v>7</v>
      </c>
      <c r="B3832" s="4" t="s">
        <v>10390</v>
      </c>
      <c r="C3832" s="1" t="s">
        <v>10391</v>
      </c>
      <c r="D3832" s="1" t="s">
        <v>10065</v>
      </c>
      <c r="E3832" s="6">
        <v>45</v>
      </c>
    </row>
    <row r="3833" spans="1:5" x14ac:dyDescent="0.25">
      <c r="A3833" s="4" t="s">
        <v>7</v>
      </c>
      <c r="B3833" s="4" t="s">
        <v>10392</v>
      </c>
      <c r="C3833" s="1" t="s">
        <v>10393</v>
      </c>
      <c r="D3833" s="1" t="s">
        <v>10394</v>
      </c>
      <c r="E3833" s="6">
        <v>18.5</v>
      </c>
    </row>
    <row r="3834" spans="1:5" x14ac:dyDescent="0.25">
      <c r="A3834" s="4" t="s">
        <v>7</v>
      </c>
      <c r="B3834" s="4" t="s">
        <v>10395</v>
      </c>
      <c r="C3834" s="1" t="s">
        <v>10396</v>
      </c>
      <c r="D3834" s="1" t="s">
        <v>10394</v>
      </c>
      <c r="E3834" s="6">
        <v>8.4600000000000009</v>
      </c>
    </row>
    <row r="3835" spans="1:5" x14ac:dyDescent="0.25">
      <c r="A3835" s="4" t="s">
        <v>7</v>
      </c>
      <c r="B3835" s="4" t="s">
        <v>10397</v>
      </c>
      <c r="C3835" s="1" t="s">
        <v>10398</v>
      </c>
      <c r="D3835" s="1" t="s">
        <v>10399</v>
      </c>
      <c r="E3835" s="6">
        <v>520</v>
      </c>
    </row>
    <row r="3836" spans="1:5" x14ac:dyDescent="0.25">
      <c r="A3836" s="4" t="s">
        <v>7</v>
      </c>
      <c r="B3836" s="4" t="s">
        <v>10400</v>
      </c>
      <c r="C3836" s="1" t="s">
        <v>10401</v>
      </c>
      <c r="D3836" s="1" t="s">
        <v>10402</v>
      </c>
      <c r="E3836" s="6">
        <v>201.5</v>
      </c>
    </row>
    <row r="3837" spans="1:5" x14ac:dyDescent="0.25">
      <c r="A3837" s="4" t="s">
        <v>7</v>
      </c>
      <c r="B3837" s="4" t="s">
        <v>10403</v>
      </c>
      <c r="C3837" s="1" t="s">
        <v>10404</v>
      </c>
      <c r="D3837" s="1" t="s">
        <v>10405</v>
      </c>
      <c r="E3837" s="6">
        <v>40</v>
      </c>
    </row>
    <row r="3838" spans="1:5" x14ac:dyDescent="0.25">
      <c r="A3838" s="4" t="s">
        <v>7</v>
      </c>
      <c r="B3838" s="4" t="s">
        <v>10406</v>
      </c>
      <c r="C3838" s="1" t="s">
        <v>10407</v>
      </c>
      <c r="D3838" s="1" t="s">
        <v>10408</v>
      </c>
      <c r="E3838" s="6">
        <v>107</v>
      </c>
    </row>
    <row r="3839" spans="1:5" x14ac:dyDescent="0.25">
      <c r="A3839" s="4" t="s">
        <v>7</v>
      </c>
      <c r="B3839" s="4" t="s">
        <v>10409</v>
      </c>
      <c r="C3839" s="1" t="s">
        <v>10410</v>
      </c>
      <c r="D3839" s="1" t="s">
        <v>10411</v>
      </c>
      <c r="E3839" s="6">
        <v>14.66</v>
      </c>
    </row>
    <row r="3840" spans="1:5" x14ac:dyDescent="0.25">
      <c r="A3840" s="4" t="s">
        <v>7</v>
      </c>
      <c r="B3840" s="4" t="s">
        <v>10412</v>
      </c>
      <c r="C3840" s="1" t="s">
        <v>10413</v>
      </c>
      <c r="D3840" s="1" t="s">
        <v>10394</v>
      </c>
      <c r="E3840" s="6">
        <v>12.25</v>
      </c>
    </row>
    <row r="3841" spans="1:5" x14ac:dyDescent="0.25">
      <c r="A3841" s="4" t="s">
        <v>7</v>
      </c>
      <c r="B3841" s="4" t="s">
        <v>10414</v>
      </c>
      <c r="C3841" s="1" t="s">
        <v>9367</v>
      </c>
      <c r="D3841" s="1" t="s">
        <v>9367</v>
      </c>
      <c r="E3841" s="6">
        <v>455</v>
      </c>
    </row>
    <row r="3842" spans="1:5" x14ac:dyDescent="0.25">
      <c r="A3842" s="4" t="s">
        <v>7</v>
      </c>
      <c r="B3842" s="4" t="s">
        <v>10415</v>
      </c>
      <c r="C3842" s="1" t="s">
        <v>10416</v>
      </c>
      <c r="D3842" s="1" t="s">
        <v>10417</v>
      </c>
      <c r="E3842" s="6">
        <v>90</v>
      </c>
    </row>
    <row r="3843" spans="1:5" x14ac:dyDescent="0.25">
      <c r="A3843" s="4" t="s">
        <v>7</v>
      </c>
      <c r="B3843" s="4" t="s">
        <v>10418</v>
      </c>
      <c r="C3843" s="1" t="s">
        <v>10419</v>
      </c>
      <c r="D3843" s="1" t="s">
        <v>10420</v>
      </c>
      <c r="E3843" s="6">
        <v>75</v>
      </c>
    </row>
    <row r="3844" spans="1:5" x14ac:dyDescent="0.25">
      <c r="A3844" s="4" t="s">
        <v>7</v>
      </c>
      <c r="B3844" s="4" t="s">
        <v>10421</v>
      </c>
      <c r="C3844" s="1" t="s">
        <v>10422</v>
      </c>
      <c r="D3844" s="1" t="s">
        <v>10422</v>
      </c>
      <c r="E3844" s="6">
        <v>35</v>
      </c>
    </row>
    <row r="3845" spans="1:5" x14ac:dyDescent="0.25">
      <c r="A3845" s="4" t="s">
        <v>7</v>
      </c>
      <c r="B3845" s="4" t="s">
        <v>10423</v>
      </c>
      <c r="C3845" s="1" t="s">
        <v>10424</v>
      </c>
      <c r="D3845" s="1" t="s">
        <v>10425</v>
      </c>
      <c r="E3845" s="6">
        <v>100</v>
      </c>
    </row>
    <row r="3846" spans="1:5" x14ac:dyDescent="0.25">
      <c r="A3846" s="4" t="s">
        <v>7</v>
      </c>
      <c r="B3846" s="4" t="s">
        <v>10426</v>
      </c>
      <c r="C3846" s="1" t="s">
        <v>10427</v>
      </c>
      <c r="D3846" s="1" t="s">
        <v>10428</v>
      </c>
      <c r="E3846" s="6">
        <v>152.57</v>
      </c>
    </row>
    <row r="3847" spans="1:5" x14ac:dyDescent="0.25">
      <c r="A3847" s="4" t="s">
        <v>7</v>
      </c>
      <c r="B3847" s="4" t="s">
        <v>10429</v>
      </c>
      <c r="C3847" s="1" t="s">
        <v>10430</v>
      </c>
      <c r="D3847" s="1" t="s">
        <v>10430</v>
      </c>
      <c r="E3847" s="6">
        <v>24.44</v>
      </c>
    </row>
    <row r="3848" spans="1:5" x14ac:dyDescent="0.25">
      <c r="A3848" s="4" t="s">
        <v>7</v>
      </c>
      <c r="B3848" s="4" t="s">
        <v>10431</v>
      </c>
      <c r="C3848" s="1" t="s">
        <v>10432</v>
      </c>
      <c r="D3848" s="1" t="s">
        <v>9605</v>
      </c>
      <c r="E3848" s="6">
        <v>56.61</v>
      </c>
    </row>
    <row r="3849" spans="1:5" x14ac:dyDescent="0.25">
      <c r="A3849" s="4" t="s">
        <v>7</v>
      </c>
      <c r="B3849" s="4" t="s">
        <v>10433</v>
      </c>
      <c r="C3849" s="1" t="s">
        <v>10434</v>
      </c>
      <c r="D3849" s="1" t="s">
        <v>10434</v>
      </c>
      <c r="E3849" s="6">
        <v>24.76</v>
      </c>
    </row>
    <row r="3850" spans="1:5" x14ac:dyDescent="0.25">
      <c r="A3850" s="4" t="s">
        <v>7</v>
      </c>
      <c r="B3850" s="4" t="s">
        <v>10435</v>
      </c>
      <c r="C3850" s="1" t="s">
        <v>10436</v>
      </c>
      <c r="D3850" s="1" t="s">
        <v>10437</v>
      </c>
      <c r="E3850" s="6">
        <v>24.34</v>
      </c>
    </row>
    <row r="3851" spans="1:5" x14ac:dyDescent="0.25">
      <c r="A3851" s="4" t="s">
        <v>7</v>
      </c>
      <c r="B3851" s="4" t="s">
        <v>10438</v>
      </c>
      <c r="C3851" s="1" t="s">
        <v>10439</v>
      </c>
      <c r="D3851" s="1" t="s">
        <v>1906</v>
      </c>
      <c r="E3851" s="6">
        <v>3.67</v>
      </c>
    </row>
    <row r="3852" spans="1:5" x14ac:dyDescent="0.25">
      <c r="A3852" s="4" t="s">
        <v>7</v>
      </c>
      <c r="B3852" s="4" t="s">
        <v>10440</v>
      </c>
      <c r="C3852" s="1" t="s">
        <v>10441</v>
      </c>
      <c r="D3852" s="1" t="s">
        <v>10442</v>
      </c>
      <c r="E3852" s="6">
        <v>1.5</v>
      </c>
    </row>
    <row r="3853" spans="1:5" x14ac:dyDescent="0.25">
      <c r="A3853" s="4" t="s">
        <v>7</v>
      </c>
      <c r="B3853" s="4" t="s">
        <v>10443</v>
      </c>
      <c r="C3853" s="1" t="s">
        <v>10444</v>
      </c>
      <c r="D3853" s="1" t="s">
        <v>9701</v>
      </c>
      <c r="E3853" s="6">
        <v>9.16</v>
      </c>
    </row>
    <row r="3854" spans="1:5" x14ac:dyDescent="0.25">
      <c r="A3854" s="4" t="s">
        <v>7</v>
      </c>
      <c r="B3854" s="4" t="s">
        <v>10445</v>
      </c>
      <c r="C3854" s="1" t="s">
        <v>10446</v>
      </c>
      <c r="D3854" s="1" t="s">
        <v>10447</v>
      </c>
      <c r="E3854" s="6">
        <v>19.34</v>
      </c>
    </row>
    <row r="3855" spans="1:5" x14ac:dyDescent="0.25">
      <c r="A3855" s="4" t="s">
        <v>7</v>
      </c>
      <c r="B3855" s="4" t="s">
        <v>10448</v>
      </c>
      <c r="C3855" s="1" t="s">
        <v>10449</v>
      </c>
      <c r="D3855" s="1" t="s">
        <v>10450</v>
      </c>
      <c r="E3855" s="6">
        <v>2</v>
      </c>
    </row>
    <row r="3856" spans="1:5" x14ac:dyDescent="0.25">
      <c r="A3856" s="4" t="s">
        <v>7</v>
      </c>
      <c r="B3856" s="4" t="s">
        <v>10451</v>
      </c>
      <c r="C3856" s="1" t="s">
        <v>10452</v>
      </c>
      <c r="D3856" s="1" t="s">
        <v>9756</v>
      </c>
      <c r="E3856" s="6">
        <v>8.15</v>
      </c>
    </row>
    <row r="3857" spans="1:5" x14ac:dyDescent="0.25">
      <c r="A3857" s="4" t="s">
        <v>7</v>
      </c>
      <c r="B3857" s="4" t="s">
        <v>10453</v>
      </c>
      <c r="C3857" s="1" t="s">
        <v>10454</v>
      </c>
      <c r="D3857" s="1" t="s">
        <v>10454</v>
      </c>
      <c r="E3857" s="6">
        <v>83.5</v>
      </c>
    </row>
    <row r="3858" spans="1:5" x14ac:dyDescent="0.25">
      <c r="A3858" s="4" t="s">
        <v>7</v>
      </c>
      <c r="B3858" s="4" t="s">
        <v>10455</v>
      </c>
      <c r="C3858" s="1" t="s">
        <v>10456</v>
      </c>
      <c r="D3858" s="1" t="s">
        <v>10456</v>
      </c>
      <c r="E3858" s="6">
        <v>54</v>
      </c>
    </row>
    <row r="3859" spans="1:5" x14ac:dyDescent="0.25">
      <c r="A3859" s="4" t="s">
        <v>7</v>
      </c>
      <c r="B3859" s="4" t="s">
        <v>10457</v>
      </c>
      <c r="C3859" s="1" t="s">
        <v>10458</v>
      </c>
      <c r="D3859" s="1" t="s">
        <v>10459</v>
      </c>
      <c r="E3859" s="6">
        <v>6.72</v>
      </c>
    </row>
    <row r="3860" spans="1:5" x14ac:dyDescent="0.25">
      <c r="A3860" s="4" t="s">
        <v>7</v>
      </c>
      <c r="B3860" s="4" t="s">
        <v>10460</v>
      </c>
      <c r="C3860" s="1" t="s">
        <v>10461</v>
      </c>
      <c r="D3860" s="1" t="s">
        <v>10462</v>
      </c>
      <c r="E3860" s="6">
        <v>30</v>
      </c>
    </row>
    <row r="3861" spans="1:5" x14ac:dyDescent="0.25">
      <c r="A3861" s="4" t="s">
        <v>7</v>
      </c>
      <c r="B3861" s="4" t="s">
        <v>10463</v>
      </c>
      <c r="C3861" s="1" t="s">
        <v>10464</v>
      </c>
      <c r="D3861" s="1" t="s">
        <v>10464</v>
      </c>
      <c r="E3861" s="6">
        <v>5</v>
      </c>
    </row>
    <row r="3862" spans="1:5" x14ac:dyDescent="0.25">
      <c r="A3862" s="4" t="s">
        <v>7</v>
      </c>
      <c r="B3862" s="4" t="s">
        <v>10465</v>
      </c>
      <c r="C3862" s="1" t="s">
        <v>10466</v>
      </c>
      <c r="D3862" s="1" t="s">
        <v>10467</v>
      </c>
      <c r="E3862" s="6">
        <v>2</v>
      </c>
    </row>
    <row r="3863" spans="1:5" x14ac:dyDescent="0.25">
      <c r="A3863" s="4" t="s">
        <v>7</v>
      </c>
      <c r="B3863" s="4" t="s">
        <v>10468</v>
      </c>
      <c r="C3863" s="1" t="s">
        <v>10469</v>
      </c>
      <c r="D3863" s="1" t="s">
        <v>10470</v>
      </c>
      <c r="E3863" s="6">
        <v>125</v>
      </c>
    </row>
    <row r="3864" spans="1:5" x14ac:dyDescent="0.25">
      <c r="A3864" s="4" t="s">
        <v>7</v>
      </c>
      <c r="B3864" s="4" t="s">
        <v>10471</v>
      </c>
      <c r="C3864" s="1" t="s">
        <v>10472</v>
      </c>
      <c r="D3864" s="1" t="s">
        <v>10472</v>
      </c>
      <c r="E3864" s="6">
        <v>40.729999999999997</v>
      </c>
    </row>
    <row r="3865" spans="1:5" x14ac:dyDescent="0.25">
      <c r="A3865" s="4" t="s">
        <v>7</v>
      </c>
      <c r="B3865" s="4" t="s">
        <v>10473</v>
      </c>
      <c r="C3865" s="1" t="s">
        <v>10474</v>
      </c>
      <c r="D3865" s="1" t="s">
        <v>10475</v>
      </c>
      <c r="E3865" s="6">
        <v>30.69</v>
      </c>
    </row>
    <row r="3866" spans="1:5" x14ac:dyDescent="0.25">
      <c r="A3866" s="4" t="s">
        <v>7</v>
      </c>
      <c r="B3866" s="4" t="s">
        <v>10476</v>
      </c>
      <c r="C3866" s="1" t="s">
        <v>10477</v>
      </c>
      <c r="D3866" s="1" t="s">
        <v>9991</v>
      </c>
      <c r="E3866" s="6">
        <v>47.35</v>
      </c>
    </row>
    <row r="3867" spans="1:5" x14ac:dyDescent="0.25">
      <c r="A3867" s="4" t="s">
        <v>7</v>
      </c>
      <c r="B3867" s="4" t="s">
        <v>10478</v>
      </c>
      <c r="C3867" s="1" t="s">
        <v>10479</v>
      </c>
      <c r="D3867" s="1" t="s">
        <v>10480</v>
      </c>
      <c r="E3867" s="6">
        <v>5.47</v>
      </c>
    </row>
    <row r="3868" spans="1:5" x14ac:dyDescent="0.25">
      <c r="A3868" s="4" t="s">
        <v>7</v>
      </c>
      <c r="B3868" s="4" t="s">
        <v>10481</v>
      </c>
      <c r="C3868" s="1" t="s">
        <v>10482</v>
      </c>
      <c r="D3868" s="1" t="s">
        <v>10483</v>
      </c>
      <c r="E3868" s="6">
        <v>44</v>
      </c>
    </row>
    <row r="3869" spans="1:5" x14ac:dyDescent="0.25">
      <c r="A3869" s="4" t="s">
        <v>7</v>
      </c>
      <c r="B3869" s="4" t="s">
        <v>10484</v>
      </c>
      <c r="C3869" s="1" t="s">
        <v>10485</v>
      </c>
      <c r="D3869" s="1" t="s">
        <v>10486</v>
      </c>
      <c r="E3869" s="6">
        <v>4.7699999999999996</v>
      </c>
    </row>
    <row r="3870" spans="1:5" x14ac:dyDescent="0.25">
      <c r="A3870" s="4" t="s">
        <v>7</v>
      </c>
      <c r="B3870" s="4" t="s">
        <v>10487</v>
      </c>
      <c r="C3870" s="1" t="s">
        <v>10488</v>
      </c>
      <c r="D3870" s="1" t="s">
        <v>10489</v>
      </c>
      <c r="E3870" s="6">
        <v>36</v>
      </c>
    </row>
    <row r="3871" spans="1:5" x14ac:dyDescent="0.25">
      <c r="A3871" s="4" t="s">
        <v>7</v>
      </c>
      <c r="B3871" s="4" t="s">
        <v>10490</v>
      </c>
      <c r="C3871" s="1" t="s">
        <v>10491</v>
      </c>
      <c r="D3871" s="1" t="s">
        <v>10492</v>
      </c>
      <c r="E3871" s="6">
        <v>7.4</v>
      </c>
    </row>
    <row r="3872" spans="1:5" x14ac:dyDescent="0.25">
      <c r="A3872" s="4" t="s">
        <v>7</v>
      </c>
      <c r="B3872" s="4" t="s">
        <v>10493</v>
      </c>
      <c r="C3872" s="1" t="s">
        <v>10494</v>
      </c>
      <c r="D3872" s="1" t="s">
        <v>10495</v>
      </c>
      <c r="E3872" s="6">
        <v>16.29</v>
      </c>
    </row>
    <row r="3873" spans="1:5" x14ac:dyDescent="0.25">
      <c r="A3873" s="4" t="s">
        <v>7</v>
      </c>
      <c r="B3873" s="4" t="s">
        <v>10496</v>
      </c>
      <c r="C3873" s="1" t="s">
        <v>10497</v>
      </c>
      <c r="D3873" s="1" t="s">
        <v>10082</v>
      </c>
      <c r="E3873" s="6">
        <v>6.73</v>
      </c>
    </row>
    <row r="3874" spans="1:5" x14ac:dyDescent="0.25">
      <c r="A3874" s="4" t="s">
        <v>7</v>
      </c>
      <c r="B3874" s="4" t="s">
        <v>10498</v>
      </c>
      <c r="C3874" s="1" t="s">
        <v>10499</v>
      </c>
      <c r="D3874" s="1" t="s">
        <v>10500</v>
      </c>
      <c r="E3874" s="6">
        <v>40</v>
      </c>
    </row>
    <row r="3875" spans="1:5" x14ac:dyDescent="0.25">
      <c r="A3875" s="4" t="s">
        <v>7</v>
      </c>
      <c r="B3875" s="4" t="s">
        <v>10501</v>
      </c>
      <c r="C3875" s="1" t="s">
        <v>10502</v>
      </c>
      <c r="D3875" s="1" t="s">
        <v>10503</v>
      </c>
      <c r="E3875" s="6">
        <v>8.15</v>
      </c>
    </row>
    <row r="3876" spans="1:5" x14ac:dyDescent="0.25">
      <c r="A3876" s="4" t="s">
        <v>7</v>
      </c>
      <c r="B3876" s="4" t="s">
        <v>10504</v>
      </c>
      <c r="C3876" s="1" t="s">
        <v>10505</v>
      </c>
      <c r="D3876" s="1" t="s">
        <v>10171</v>
      </c>
      <c r="E3876" s="6">
        <v>1.63</v>
      </c>
    </row>
    <row r="3877" spans="1:5" x14ac:dyDescent="0.25">
      <c r="A3877" s="4" t="s">
        <v>7</v>
      </c>
      <c r="B3877" s="4" t="s">
        <v>10506</v>
      </c>
      <c r="C3877" s="1" t="s">
        <v>10507</v>
      </c>
      <c r="D3877" s="1" t="s">
        <v>10507</v>
      </c>
      <c r="E3877" s="6">
        <v>24.44</v>
      </c>
    </row>
    <row r="3878" spans="1:5" x14ac:dyDescent="0.25">
      <c r="A3878" s="4" t="s">
        <v>7</v>
      </c>
      <c r="B3878" s="4" t="s">
        <v>10508</v>
      </c>
      <c r="C3878" s="1" t="s">
        <v>10509</v>
      </c>
      <c r="D3878" s="1" t="s">
        <v>10510</v>
      </c>
      <c r="E3878" s="6">
        <v>73.31</v>
      </c>
    </row>
    <row r="3879" spans="1:5" x14ac:dyDescent="0.25">
      <c r="A3879" s="4" t="s">
        <v>7</v>
      </c>
      <c r="B3879" s="4" t="s">
        <v>10511</v>
      </c>
      <c r="C3879" s="1" t="s">
        <v>10512</v>
      </c>
      <c r="D3879" s="1" t="s">
        <v>10513</v>
      </c>
      <c r="E3879" s="6">
        <v>5.3</v>
      </c>
    </row>
    <row r="3880" spans="1:5" x14ac:dyDescent="0.25">
      <c r="A3880" s="4" t="s">
        <v>7</v>
      </c>
      <c r="B3880" s="4" t="s">
        <v>10514</v>
      </c>
      <c r="C3880" s="1" t="s">
        <v>10515</v>
      </c>
      <c r="D3880" s="1" t="s">
        <v>10516</v>
      </c>
      <c r="E3880" s="6">
        <v>12.91</v>
      </c>
    </row>
    <row r="3881" spans="1:5" x14ac:dyDescent="0.25">
      <c r="A3881" s="4" t="s">
        <v>7</v>
      </c>
      <c r="B3881" s="4" t="s">
        <v>10517</v>
      </c>
      <c r="C3881" s="1" t="s">
        <v>10518</v>
      </c>
      <c r="D3881" s="1" t="s">
        <v>10112</v>
      </c>
      <c r="E3881" s="6">
        <v>4.07</v>
      </c>
    </row>
    <row r="3882" spans="1:5" x14ac:dyDescent="0.25">
      <c r="A3882" s="4" t="s">
        <v>7</v>
      </c>
      <c r="B3882" s="4" t="s">
        <v>10519</v>
      </c>
      <c r="C3882" s="1" t="s">
        <v>10520</v>
      </c>
      <c r="D3882" s="1" t="s">
        <v>10005</v>
      </c>
      <c r="E3882" s="6">
        <v>18</v>
      </c>
    </row>
    <row r="3883" spans="1:5" x14ac:dyDescent="0.25">
      <c r="A3883" s="4" t="s">
        <v>7</v>
      </c>
      <c r="B3883" s="4" t="s">
        <v>10521</v>
      </c>
      <c r="C3883" s="1" t="s">
        <v>10522</v>
      </c>
      <c r="D3883" s="1" t="s">
        <v>10522</v>
      </c>
      <c r="E3883" s="6">
        <v>13.5</v>
      </c>
    </row>
    <row r="3884" spans="1:5" x14ac:dyDescent="0.25">
      <c r="A3884" s="4" t="s">
        <v>7</v>
      </c>
      <c r="B3884" s="4" t="s">
        <v>10523</v>
      </c>
      <c r="C3884" s="1" t="s">
        <v>10524</v>
      </c>
      <c r="D3884" s="1" t="s">
        <v>10524</v>
      </c>
      <c r="E3884" s="6">
        <v>13.5</v>
      </c>
    </row>
    <row r="3885" spans="1:5" x14ac:dyDescent="0.25">
      <c r="A3885" s="4" t="s">
        <v>7</v>
      </c>
      <c r="B3885" s="4" t="s">
        <v>10525</v>
      </c>
      <c r="C3885" s="1" t="s">
        <v>10526</v>
      </c>
      <c r="D3885" s="1" t="s">
        <v>10201</v>
      </c>
      <c r="E3885" s="6">
        <v>18</v>
      </c>
    </row>
    <row r="3886" spans="1:5" x14ac:dyDescent="0.25">
      <c r="A3886" s="4" t="s">
        <v>7</v>
      </c>
      <c r="B3886" s="4" t="s">
        <v>10527</v>
      </c>
      <c r="C3886" s="1" t="s">
        <v>10528</v>
      </c>
      <c r="D3886" s="1" t="s">
        <v>10031</v>
      </c>
      <c r="E3886" s="6">
        <v>5.77</v>
      </c>
    </row>
    <row r="3887" spans="1:5" x14ac:dyDescent="0.25">
      <c r="A3887" s="4" t="s">
        <v>7</v>
      </c>
      <c r="B3887" s="4" t="s">
        <v>10529</v>
      </c>
      <c r="C3887" s="1" t="s">
        <v>10530</v>
      </c>
      <c r="D3887" s="1" t="s">
        <v>10531</v>
      </c>
      <c r="E3887" s="6">
        <v>2.52</v>
      </c>
    </row>
    <row r="3888" spans="1:5" x14ac:dyDescent="0.25">
      <c r="A3888" s="4" t="s">
        <v>7</v>
      </c>
      <c r="B3888" s="4" t="s">
        <v>10532</v>
      </c>
      <c r="C3888" s="1" t="s">
        <v>10533</v>
      </c>
      <c r="D3888" s="1" t="s">
        <v>10533</v>
      </c>
      <c r="E3888" s="6">
        <v>50</v>
      </c>
    </row>
    <row r="3889" spans="1:5" x14ac:dyDescent="0.25">
      <c r="A3889" s="4" t="s">
        <v>7</v>
      </c>
      <c r="B3889" s="4" t="s">
        <v>10534</v>
      </c>
      <c r="C3889" s="1" t="s">
        <v>10535</v>
      </c>
      <c r="D3889" s="1" t="s">
        <v>10201</v>
      </c>
      <c r="E3889" s="6">
        <v>18</v>
      </c>
    </row>
    <row r="3890" spans="1:5" x14ac:dyDescent="0.25">
      <c r="A3890" s="4" t="s">
        <v>7</v>
      </c>
      <c r="B3890" s="4" t="s">
        <v>10536</v>
      </c>
      <c r="C3890" s="1" t="s">
        <v>10537</v>
      </c>
      <c r="D3890" s="1" t="s">
        <v>10538</v>
      </c>
      <c r="E3890" s="6">
        <v>9.8699999999999992</v>
      </c>
    </row>
    <row r="3891" spans="1:5" x14ac:dyDescent="0.25">
      <c r="A3891" s="4" t="s">
        <v>7</v>
      </c>
      <c r="B3891" s="4" t="s">
        <v>10539</v>
      </c>
      <c r="C3891" s="1" t="s">
        <v>10540</v>
      </c>
      <c r="D3891" s="1" t="s">
        <v>10541</v>
      </c>
      <c r="E3891" s="6">
        <v>59.5</v>
      </c>
    </row>
    <row r="3892" spans="1:5" x14ac:dyDescent="0.25">
      <c r="A3892" s="4" t="s">
        <v>7</v>
      </c>
      <c r="B3892" s="4" t="s">
        <v>10542</v>
      </c>
      <c r="C3892" s="1" t="s">
        <v>10543</v>
      </c>
      <c r="D3892" s="1" t="s">
        <v>10544</v>
      </c>
      <c r="E3892" s="6">
        <v>85</v>
      </c>
    </row>
    <row r="3893" spans="1:5" x14ac:dyDescent="0.25">
      <c r="A3893" s="4" t="s">
        <v>7</v>
      </c>
      <c r="B3893" s="4" t="s">
        <v>10545</v>
      </c>
      <c r="C3893" s="1" t="s">
        <v>10546</v>
      </c>
      <c r="D3893" s="1" t="s">
        <v>10547</v>
      </c>
      <c r="E3893" s="6">
        <v>68</v>
      </c>
    </row>
    <row r="3894" spans="1:5" x14ac:dyDescent="0.25">
      <c r="A3894" s="4" t="s">
        <v>7</v>
      </c>
      <c r="B3894" s="4" t="s">
        <v>10548</v>
      </c>
      <c r="C3894" s="1" t="s">
        <v>2171</v>
      </c>
      <c r="D3894" s="1" t="s">
        <v>2172</v>
      </c>
      <c r="E3894" s="6">
        <v>57</v>
      </c>
    </row>
    <row r="3895" spans="1:5" x14ac:dyDescent="0.25">
      <c r="A3895" s="4" t="s">
        <v>7</v>
      </c>
      <c r="B3895" s="4" t="s">
        <v>10549</v>
      </c>
      <c r="C3895" s="1" t="s">
        <v>10550</v>
      </c>
      <c r="D3895" s="1" t="s">
        <v>10551</v>
      </c>
      <c r="E3895" s="6">
        <v>180</v>
      </c>
    </row>
    <row r="3896" spans="1:5" x14ac:dyDescent="0.25">
      <c r="A3896" s="4" t="s">
        <v>7</v>
      </c>
      <c r="B3896" s="4" t="s">
        <v>10552</v>
      </c>
      <c r="C3896" s="1" t="s">
        <v>10553</v>
      </c>
      <c r="D3896" s="1" t="s">
        <v>10065</v>
      </c>
      <c r="E3896" s="6">
        <v>36.65</v>
      </c>
    </row>
    <row r="3897" spans="1:5" x14ac:dyDescent="0.25">
      <c r="A3897" s="4" t="s">
        <v>7</v>
      </c>
      <c r="B3897" s="4" t="s">
        <v>10554</v>
      </c>
      <c r="C3897" s="1" t="s">
        <v>10555</v>
      </c>
      <c r="D3897" s="1" t="s">
        <v>10556</v>
      </c>
      <c r="E3897" s="6">
        <v>18.75</v>
      </c>
    </row>
    <row r="3898" spans="1:5" x14ac:dyDescent="0.25">
      <c r="A3898" s="4" t="s">
        <v>7</v>
      </c>
      <c r="B3898" s="4" t="s">
        <v>10557</v>
      </c>
      <c r="C3898" s="1" t="s">
        <v>10558</v>
      </c>
      <c r="D3898" s="1" t="s">
        <v>10559</v>
      </c>
      <c r="E3898" s="6">
        <v>81.45</v>
      </c>
    </row>
    <row r="3899" spans="1:5" x14ac:dyDescent="0.25">
      <c r="A3899" s="4" t="s">
        <v>7</v>
      </c>
      <c r="B3899" s="4" t="s">
        <v>10560</v>
      </c>
      <c r="C3899" s="1" t="s">
        <v>10561</v>
      </c>
      <c r="D3899" s="1" t="s">
        <v>10562</v>
      </c>
      <c r="E3899" s="6">
        <v>81.45</v>
      </c>
    </row>
    <row r="3900" spans="1:5" x14ac:dyDescent="0.25">
      <c r="A3900" s="4" t="s">
        <v>7</v>
      </c>
      <c r="B3900" s="4" t="s">
        <v>10563</v>
      </c>
      <c r="C3900" s="1" t="s">
        <v>10564</v>
      </c>
      <c r="D3900" s="1" t="s">
        <v>10565</v>
      </c>
      <c r="E3900" s="6">
        <v>57.02</v>
      </c>
    </row>
    <row r="3901" spans="1:5" x14ac:dyDescent="0.25">
      <c r="A3901" s="4" t="s">
        <v>7</v>
      </c>
      <c r="B3901" s="4" t="s">
        <v>10566</v>
      </c>
      <c r="C3901" s="1" t="s">
        <v>10567</v>
      </c>
      <c r="D3901" s="1" t="s">
        <v>10568</v>
      </c>
      <c r="E3901" s="6">
        <v>34.28</v>
      </c>
    </row>
    <row r="3902" spans="1:5" x14ac:dyDescent="0.25">
      <c r="A3902" s="4" t="s">
        <v>7</v>
      </c>
      <c r="B3902" s="4" t="s">
        <v>10569</v>
      </c>
      <c r="C3902" s="1" t="s">
        <v>10570</v>
      </c>
      <c r="D3902" s="1" t="s">
        <v>10571</v>
      </c>
      <c r="E3902" s="6">
        <v>27.51</v>
      </c>
    </row>
    <row r="3903" spans="1:5" x14ac:dyDescent="0.25">
      <c r="A3903" s="4" t="s">
        <v>7</v>
      </c>
      <c r="B3903" s="4" t="s">
        <v>10572</v>
      </c>
      <c r="C3903" s="1" t="s">
        <v>10573</v>
      </c>
      <c r="D3903" s="1" t="s">
        <v>10574</v>
      </c>
      <c r="E3903" s="6">
        <v>57.02</v>
      </c>
    </row>
    <row r="3904" spans="1:5" x14ac:dyDescent="0.25">
      <c r="A3904" s="4" t="s">
        <v>7</v>
      </c>
      <c r="B3904" s="4" t="s">
        <v>10575</v>
      </c>
      <c r="C3904" s="1" t="s">
        <v>10576</v>
      </c>
      <c r="D3904" s="1" t="s">
        <v>10577</v>
      </c>
      <c r="E3904" s="6">
        <v>61.09</v>
      </c>
    </row>
    <row r="3905" spans="1:6" x14ac:dyDescent="0.25">
      <c r="A3905" s="4" t="s">
        <v>7</v>
      </c>
      <c r="B3905" s="4" t="s">
        <v>10578</v>
      </c>
      <c r="C3905" s="1" t="s">
        <v>10579</v>
      </c>
      <c r="D3905" s="1" t="s">
        <v>10579</v>
      </c>
      <c r="E3905" s="6">
        <v>107.92</v>
      </c>
    </row>
    <row r="3906" spans="1:6" x14ac:dyDescent="0.25">
      <c r="A3906" s="4" t="s">
        <v>7</v>
      </c>
      <c r="B3906" s="4" t="s">
        <v>10580</v>
      </c>
      <c r="C3906" s="1" t="s">
        <v>10581</v>
      </c>
      <c r="D3906" s="1" t="s">
        <v>10582</v>
      </c>
      <c r="E3906" s="6">
        <v>107.92</v>
      </c>
    </row>
    <row r="3907" spans="1:6" x14ac:dyDescent="0.25">
      <c r="A3907" s="4" t="s">
        <v>7</v>
      </c>
      <c r="B3907" s="4" t="s">
        <v>10583</v>
      </c>
      <c r="C3907" s="1" t="s">
        <v>10584</v>
      </c>
      <c r="D3907" s="1" t="s">
        <v>10584</v>
      </c>
      <c r="E3907" s="6">
        <v>107.92</v>
      </c>
    </row>
    <row r="3908" spans="1:6" x14ac:dyDescent="0.25">
      <c r="A3908" s="4" t="s">
        <v>7</v>
      </c>
      <c r="B3908" s="4" t="s">
        <v>10585</v>
      </c>
      <c r="C3908" s="1" t="s">
        <v>2182</v>
      </c>
      <c r="D3908" s="1" t="s">
        <v>2183</v>
      </c>
      <c r="E3908" s="6">
        <v>8.15</v>
      </c>
    </row>
    <row r="3909" spans="1:6" x14ac:dyDescent="0.25">
      <c r="A3909" s="4" t="s">
        <v>7</v>
      </c>
      <c r="B3909" s="4" t="s">
        <v>10586</v>
      </c>
      <c r="C3909" s="1" t="s">
        <v>10587</v>
      </c>
      <c r="D3909" s="1" t="s">
        <v>10587</v>
      </c>
      <c r="E3909" s="6">
        <v>14.66</v>
      </c>
    </row>
    <row r="3910" spans="1:6" x14ac:dyDescent="0.25">
      <c r="A3910" s="4" t="s">
        <v>7</v>
      </c>
      <c r="B3910" s="4" t="s">
        <v>10588</v>
      </c>
      <c r="C3910" s="1" t="s">
        <v>10589</v>
      </c>
      <c r="D3910" s="1" t="s">
        <v>10590</v>
      </c>
      <c r="E3910" s="6">
        <v>5.83</v>
      </c>
    </row>
    <row r="3911" spans="1:6" x14ac:dyDescent="0.25">
      <c r="A3911" s="4" t="s">
        <v>7</v>
      </c>
      <c r="B3911" s="4" t="s">
        <v>10591</v>
      </c>
      <c r="C3911" s="1" t="s">
        <v>10592</v>
      </c>
      <c r="D3911" s="1" t="s">
        <v>10593</v>
      </c>
      <c r="E3911" s="6">
        <v>12.22</v>
      </c>
    </row>
    <row r="3912" spans="1:6" x14ac:dyDescent="0.25">
      <c r="A3912" s="4" t="s">
        <v>7</v>
      </c>
      <c r="B3912" s="4" t="s">
        <v>10594</v>
      </c>
      <c r="C3912" s="1" t="s">
        <v>10595</v>
      </c>
      <c r="D3912" s="1" t="s">
        <v>10596</v>
      </c>
      <c r="E3912" s="6">
        <v>55</v>
      </c>
      <c r="F3912" s="4" t="s">
        <v>131</v>
      </c>
    </row>
    <row r="3913" spans="1:6" x14ac:dyDescent="0.25">
      <c r="A3913" s="4" t="s">
        <v>7</v>
      </c>
      <c r="B3913" s="4" t="s">
        <v>10597</v>
      </c>
      <c r="C3913" s="1" t="s">
        <v>10598</v>
      </c>
      <c r="D3913" s="1" t="s">
        <v>10599</v>
      </c>
      <c r="E3913" s="6">
        <v>3143</v>
      </c>
      <c r="F3913" s="4" t="s">
        <v>131</v>
      </c>
    </row>
    <row r="3914" spans="1:6" x14ac:dyDescent="0.25">
      <c r="A3914" s="4" t="s">
        <v>7</v>
      </c>
      <c r="B3914" s="4" t="s">
        <v>10600</v>
      </c>
      <c r="C3914" s="1" t="s">
        <v>10601</v>
      </c>
      <c r="D3914" s="1" t="s">
        <v>10602</v>
      </c>
      <c r="E3914" s="6">
        <v>1457</v>
      </c>
    </row>
    <row r="3915" spans="1:6" x14ac:dyDescent="0.25">
      <c r="A3915" s="4" t="s">
        <v>7</v>
      </c>
      <c r="B3915" s="4" t="s">
        <v>10603</v>
      </c>
      <c r="C3915" s="1" t="s">
        <v>10604</v>
      </c>
      <c r="D3915" s="1" t="s">
        <v>10605</v>
      </c>
      <c r="E3915" s="6">
        <v>3958</v>
      </c>
      <c r="F3915" s="4" t="s">
        <v>131</v>
      </c>
    </row>
    <row r="3916" spans="1:6" x14ac:dyDescent="0.25">
      <c r="A3916" s="4" t="s">
        <v>7</v>
      </c>
      <c r="B3916" s="4" t="s">
        <v>10606</v>
      </c>
      <c r="C3916" s="1" t="s">
        <v>10607</v>
      </c>
      <c r="D3916" s="1" t="s">
        <v>10608</v>
      </c>
      <c r="E3916" s="6">
        <v>3958</v>
      </c>
      <c r="F3916" s="4" t="s">
        <v>131</v>
      </c>
    </row>
    <row r="3917" spans="1:6" x14ac:dyDescent="0.25">
      <c r="A3917" s="4" t="s">
        <v>7</v>
      </c>
      <c r="B3917" s="4" t="s">
        <v>10609</v>
      </c>
      <c r="C3917" s="1" t="s">
        <v>10610</v>
      </c>
      <c r="D3917" s="1" t="s">
        <v>10611</v>
      </c>
      <c r="E3917" s="6">
        <v>6480</v>
      </c>
      <c r="F3917" s="4" t="s">
        <v>131</v>
      </c>
    </row>
    <row r="3918" spans="1:6" x14ac:dyDescent="0.25">
      <c r="A3918" s="4" t="s">
        <v>7</v>
      </c>
      <c r="B3918" s="4" t="s">
        <v>10612</v>
      </c>
      <c r="C3918" s="1" t="s">
        <v>10613</v>
      </c>
      <c r="D3918" s="1" t="s">
        <v>10613</v>
      </c>
      <c r="E3918" s="6">
        <v>3958</v>
      </c>
      <c r="F3918" s="4" t="s">
        <v>131</v>
      </c>
    </row>
    <row r="3919" spans="1:6" x14ac:dyDescent="0.25">
      <c r="A3919" s="4" t="s">
        <v>7</v>
      </c>
      <c r="B3919" s="4" t="s">
        <v>10614</v>
      </c>
      <c r="C3919" s="1" t="s">
        <v>10615</v>
      </c>
      <c r="D3919" s="1" t="s">
        <v>10616</v>
      </c>
      <c r="E3919" s="6">
        <v>1969</v>
      </c>
    </row>
    <row r="3920" spans="1:6" x14ac:dyDescent="0.25">
      <c r="A3920" s="4" t="s">
        <v>7</v>
      </c>
      <c r="B3920" s="4" t="s">
        <v>10617</v>
      </c>
      <c r="C3920" s="1" t="s">
        <v>10618</v>
      </c>
      <c r="D3920" s="1" t="s">
        <v>10616</v>
      </c>
      <c r="E3920" s="6">
        <v>12653</v>
      </c>
    </row>
    <row r="3921" spans="1:6" x14ac:dyDescent="0.25">
      <c r="A3921" s="4" t="s">
        <v>7</v>
      </c>
      <c r="B3921" s="4" t="s">
        <v>10619</v>
      </c>
      <c r="C3921" s="1" t="s">
        <v>10620</v>
      </c>
      <c r="D3921" s="1" t="s">
        <v>10602</v>
      </c>
      <c r="E3921" s="6">
        <v>1457</v>
      </c>
      <c r="F3921" s="4" t="s">
        <v>131</v>
      </c>
    </row>
    <row r="3922" spans="1:6" x14ac:dyDescent="0.25">
      <c r="A3922" s="4" t="s">
        <v>7</v>
      </c>
      <c r="B3922" s="4" t="s">
        <v>10621</v>
      </c>
      <c r="C3922" s="1" t="s">
        <v>10622</v>
      </c>
      <c r="D3922" s="1" t="s">
        <v>10602</v>
      </c>
      <c r="E3922" s="6">
        <v>1457</v>
      </c>
    </row>
    <row r="3923" spans="1:6" x14ac:dyDescent="0.25">
      <c r="A3923" s="4" t="s">
        <v>7</v>
      </c>
      <c r="B3923" s="4" t="s">
        <v>10623</v>
      </c>
      <c r="C3923" s="1" t="s">
        <v>10624</v>
      </c>
      <c r="D3923" s="1" t="s">
        <v>10602</v>
      </c>
      <c r="E3923" s="6">
        <v>2349</v>
      </c>
      <c r="F3923" s="4" t="s">
        <v>131</v>
      </c>
    </row>
    <row r="3924" spans="1:6" x14ac:dyDescent="0.25">
      <c r="A3924" s="4" t="s">
        <v>7</v>
      </c>
      <c r="B3924" s="4" t="s">
        <v>10625</v>
      </c>
      <c r="C3924" s="1" t="s">
        <v>10626</v>
      </c>
      <c r="D3924" s="1" t="s">
        <v>10626</v>
      </c>
      <c r="E3924" s="6">
        <v>1906</v>
      </c>
      <c r="F3924" s="4" t="s">
        <v>131</v>
      </c>
    </row>
    <row r="3925" spans="1:6" x14ac:dyDescent="0.25">
      <c r="A3925" s="4" t="s">
        <v>7</v>
      </c>
      <c r="B3925" s="4" t="s">
        <v>10627</v>
      </c>
      <c r="C3925" s="1" t="s">
        <v>10628</v>
      </c>
      <c r="D3925" s="1" t="s">
        <v>10629</v>
      </c>
      <c r="E3925" s="6">
        <v>2035</v>
      </c>
      <c r="F3925" s="4" t="s">
        <v>131</v>
      </c>
    </row>
    <row r="3926" spans="1:6" x14ac:dyDescent="0.25">
      <c r="A3926" s="4" t="s">
        <v>7</v>
      </c>
      <c r="B3926" s="4" t="s">
        <v>10630</v>
      </c>
      <c r="C3926" s="1" t="s">
        <v>10631</v>
      </c>
      <c r="D3926" s="1" t="s">
        <v>10631</v>
      </c>
      <c r="E3926" s="6">
        <v>3</v>
      </c>
    </row>
    <row r="3927" spans="1:6" x14ac:dyDescent="0.25">
      <c r="A3927" s="4" t="s">
        <v>7</v>
      </c>
      <c r="B3927" s="4" t="s">
        <v>10632</v>
      </c>
      <c r="C3927" s="1" t="s">
        <v>10633</v>
      </c>
      <c r="D3927" s="1" t="s">
        <v>10633</v>
      </c>
      <c r="E3927" s="6">
        <v>3958</v>
      </c>
      <c r="F3927" s="4" t="s">
        <v>131</v>
      </c>
    </row>
    <row r="3928" spans="1:6" x14ac:dyDescent="0.25">
      <c r="A3928" s="4" t="s">
        <v>7</v>
      </c>
      <c r="B3928" s="4" t="s">
        <v>10634</v>
      </c>
      <c r="C3928" s="1" t="s">
        <v>10635</v>
      </c>
      <c r="D3928" s="1" t="s">
        <v>10636</v>
      </c>
      <c r="E3928" s="6">
        <v>2260</v>
      </c>
    </row>
    <row r="3929" spans="1:6" x14ac:dyDescent="0.25">
      <c r="A3929" s="4" t="s">
        <v>7</v>
      </c>
      <c r="B3929" s="4" t="s">
        <v>10637</v>
      </c>
      <c r="C3929" s="1" t="s">
        <v>10638</v>
      </c>
      <c r="D3929" s="1" t="s">
        <v>10639</v>
      </c>
      <c r="E3929" s="6">
        <v>2062.5</v>
      </c>
    </row>
    <row r="3930" spans="1:6" x14ac:dyDescent="0.25">
      <c r="A3930" s="4" t="s">
        <v>7</v>
      </c>
      <c r="B3930" s="4" t="s">
        <v>10640</v>
      </c>
      <c r="C3930" s="1" t="s">
        <v>10641</v>
      </c>
      <c r="D3930" s="1" t="s">
        <v>10642</v>
      </c>
      <c r="E3930" s="6">
        <v>1309</v>
      </c>
    </row>
    <row r="3931" spans="1:6" x14ac:dyDescent="0.25">
      <c r="A3931" s="4" t="s">
        <v>7</v>
      </c>
      <c r="B3931" s="4" t="s">
        <v>10643</v>
      </c>
      <c r="C3931" s="1" t="s">
        <v>10644</v>
      </c>
      <c r="D3931" s="1" t="s">
        <v>10645</v>
      </c>
      <c r="E3931" s="6">
        <v>135</v>
      </c>
    </row>
    <row r="3932" spans="1:6" x14ac:dyDescent="0.25">
      <c r="A3932" s="4" t="s">
        <v>7</v>
      </c>
      <c r="B3932" s="4" t="s">
        <v>10646</v>
      </c>
      <c r="C3932" s="1" t="s">
        <v>10647</v>
      </c>
      <c r="D3932" s="1" t="s">
        <v>10648</v>
      </c>
      <c r="E3932" s="6">
        <v>3958</v>
      </c>
      <c r="F3932" s="4" t="s">
        <v>131</v>
      </c>
    </row>
    <row r="3933" spans="1:6" x14ac:dyDescent="0.25">
      <c r="A3933" s="4" t="s">
        <v>7</v>
      </c>
      <c r="B3933" s="4" t="s">
        <v>10649</v>
      </c>
      <c r="C3933" s="1" t="s">
        <v>10650</v>
      </c>
      <c r="D3933" s="1" t="s">
        <v>10651</v>
      </c>
      <c r="E3933" s="6">
        <v>100</v>
      </c>
    </row>
    <row r="3934" spans="1:6" x14ac:dyDescent="0.25">
      <c r="A3934" s="4" t="s">
        <v>7</v>
      </c>
      <c r="B3934" s="4" t="s">
        <v>10652</v>
      </c>
      <c r="C3934" s="1" t="s">
        <v>10653</v>
      </c>
      <c r="D3934" s="1" t="s">
        <v>10654</v>
      </c>
      <c r="E3934" s="6">
        <v>793</v>
      </c>
    </row>
    <row r="3935" spans="1:6" x14ac:dyDescent="0.25">
      <c r="A3935" s="4" t="s">
        <v>7</v>
      </c>
      <c r="B3935" s="4" t="s">
        <v>10655</v>
      </c>
      <c r="C3935" s="1" t="s">
        <v>10656</v>
      </c>
      <c r="D3935" s="1" t="s">
        <v>10656</v>
      </c>
      <c r="E3935" s="6">
        <v>116</v>
      </c>
    </row>
    <row r="3936" spans="1:6" x14ac:dyDescent="0.25">
      <c r="A3936" s="4" t="s">
        <v>7</v>
      </c>
      <c r="B3936" s="4" t="s">
        <v>10657</v>
      </c>
      <c r="C3936" s="1" t="s">
        <v>10658</v>
      </c>
      <c r="D3936" s="1" t="s">
        <v>10658</v>
      </c>
      <c r="E3936" s="6">
        <v>70</v>
      </c>
    </row>
    <row r="3937" spans="1:6" x14ac:dyDescent="0.25">
      <c r="A3937" s="4" t="s">
        <v>7</v>
      </c>
      <c r="B3937" s="4" t="s">
        <v>10659</v>
      </c>
      <c r="C3937" s="1" t="s">
        <v>10660</v>
      </c>
      <c r="D3937" s="1" t="s">
        <v>10661</v>
      </c>
      <c r="E3937" s="6">
        <v>793</v>
      </c>
    </row>
    <row r="3938" spans="1:6" x14ac:dyDescent="0.25">
      <c r="A3938" s="4" t="s">
        <v>7</v>
      </c>
      <c r="B3938" s="4" t="s">
        <v>10662</v>
      </c>
      <c r="C3938" s="1" t="s">
        <v>10663</v>
      </c>
      <c r="D3938" s="1" t="s">
        <v>10664</v>
      </c>
      <c r="E3938" s="6">
        <v>20233</v>
      </c>
    </row>
    <row r="3939" spans="1:6" x14ac:dyDescent="0.25">
      <c r="A3939" s="4" t="s">
        <v>7</v>
      </c>
      <c r="B3939" s="4" t="s">
        <v>10665</v>
      </c>
      <c r="C3939" s="1" t="s">
        <v>10666</v>
      </c>
      <c r="D3939" s="1" t="s">
        <v>10667</v>
      </c>
      <c r="E3939" s="6">
        <v>103116.88</v>
      </c>
      <c r="F3939" s="4" t="s">
        <v>131</v>
      </c>
    </row>
    <row r="3940" spans="1:6" x14ac:dyDescent="0.25">
      <c r="A3940" s="4" t="s">
        <v>7</v>
      </c>
      <c r="B3940" s="4" t="s">
        <v>10668</v>
      </c>
      <c r="C3940" s="1" t="s">
        <v>10669</v>
      </c>
      <c r="D3940" s="1" t="s">
        <v>1771</v>
      </c>
      <c r="E3940" s="6">
        <v>914</v>
      </c>
    </row>
    <row r="3941" spans="1:6" x14ac:dyDescent="0.25">
      <c r="A3941" s="4" t="s">
        <v>7</v>
      </c>
      <c r="B3941" s="4" t="s">
        <v>10670</v>
      </c>
      <c r="C3941" s="1" t="s">
        <v>10671</v>
      </c>
      <c r="D3941" s="1" t="s">
        <v>1771</v>
      </c>
      <c r="E3941" s="6">
        <v>914</v>
      </c>
    </row>
    <row r="3942" spans="1:6" x14ac:dyDescent="0.25">
      <c r="A3942" s="4" t="s">
        <v>7</v>
      </c>
      <c r="B3942" s="4" t="s">
        <v>10672</v>
      </c>
      <c r="C3942" s="1" t="s">
        <v>10673</v>
      </c>
      <c r="D3942" s="1" t="s">
        <v>1771</v>
      </c>
      <c r="E3942" s="6">
        <v>914</v>
      </c>
    </row>
    <row r="3943" spans="1:6" x14ac:dyDescent="0.25">
      <c r="A3943" s="4" t="s">
        <v>7</v>
      </c>
      <c r="B3943" s="4" t="s">
        <v>10674</v>
      </c>
      <c r="C3943" s="1" t="s">
        <v>10675</v>
      </c>
      <c r="D3943" s="1" t="s">
        <v>1771</v>
      </c>
      <c r="E3943" s="6">
        <v>846</v>
      </c>
    </row>
    <row r="3944" spans="1:6" x14ac:dyDescent="0.25">
      <c r="A3944" s="4" t="s">
        <v>7</v>
      </c>
      <c r="B3944" s="4" t="s">
        <v>10676</v>
      </c>
      <c r="C3944" s="1" t="s">
        <v>10677</v>
      </c>
      <c r="D3944" s="1" t="s">
        <v>10678</v>
      </c>
      <c r="E3944" s="6">
        <v>546</v>
      </c>
    </row>
    <row r="3945" spans="1:6" x14ac:dyDescent="0.25">
      <c r="A3945" s="4" t="s">
        <v>7</v>
      </c>
      <c r="B3945" s="4" t="s">
        <v>10679</v>
      </c>
      <c r="C3945" s="1" t="s">
        <v>10680</v>
      </c>
      <c r="D3945" s="1" t="s">
        <v>10681</v>
      </c>
      <c r="E3945" s="6">
        <v>783</v>
      </c>
    </row>
    <row r="3946" spans="1:6" x14ac:dyDescent="0.25">
      <c r="A3946" s="4" t="s">
        <v>7</v>
      </c>
      <c r="B3946" s="4" t="s">
        <v>10682</v>
      </c>
      <c r="C3946" s="1" t="s">
        <v>10683</v>
      </c>
      <c r="D3946" s="1" t="s">
        <v>10683</v>
      </c>
      <c r="E3946" s="6">
        <v>144.58000000000001</v>
      </c>
      <c r="F3946" s="4" t="s">
        <v>131</v>
      </c>
    </row>
    <row r="3947" spans="1:6" x14ac:dyDescent="0.25">
      <c r="A3947" s="4" t="s">
        <v>7</v>
      </c>
      <c r="B3947" s="4" t="s">
        <v>10684</v>
      </c>
      <c r="C3947" s="1" t="s">
        <v>10685</v>
      </c>
      <c r="D3947" s="1" t="s">
        <v>10686</v>
      </c>
      <c r="E3947" s="6">
        <v>4337.3500000000004</v>
      </c>
    </row>
    <row r="3948" spans="1:6" x14ac:dyDescent="0.25">
      <c r="A3948" s="4" t="s">
        <v>7</v>
      </c>
      <c r="B3948" s="4" t="s">
        <v>10687</v>
      </c>
      <c r="C3948" s="1" t="s">
        <v>10688</v>
      </c>
      <c r="D3948" s="1" t="s">
        <v>10689</v>
      </c>
      <c r="E3948" s="6">
        <v>914</v>
      </c>
      <c r="F3948" s="4" t="s">
        <v>131</v>
      </c>
    </row>
    <row r="3949" spans="1:6" x14ac:dyDescent="0.25">
      <c r="A3949" s="4" t="s">
        <v>7</v>
      </c>
      <c r="B3949" s="4" t="s">
        <v>10690</v>
      </c>
      <c r="C3949" s="1" t="s">
        <v>10691</v>
      </c>
      <c r="D3949" s="1" t="s">
        <v>10692</v>
      </c>
      <c r="E3949" s="6">
        <v>914</v>
      </c>
    </row>
    <row r="3950" spans="1:6" x14ac:dyDescent="0.25">
      <c r="A3950" s="4" t="s">
        <v>7</v>
      </c>
      <c r="B3950" s="4" t="s">
        <v>10693</v>
      </c>
      <c r="C3950" s="1" t="s">
        <v>10694</v>
      </c>
      <c r="D3950" s="1" t="s">
        <v>10695</v>
      </c>
      <c r="E3950" s="6">
        <v>914</v>
      </c>
    </row>
    <row r="3951" spans="1:6" x14ac:dyDescent="0.25">
      <c r="A3951" s="4" t="s">
        <v>7</v>
      </c>
      <c r="B3951" s="4" t="s">
        <v>10696</v>
      </c>
      <c r="C3951" s="1" t="s">
        <v>10697</v>
      </c>
      <c r="D3951" s="1" t="s">
        <v>10698</v>
      </c>
      <c r="E3951" s="6">
        <v>2792.21</v>
      </c>
    </row>
    <row r="3952" spans="1:6" x14ac:dyDescent="0.25">
      <c r="A3952" s="4" t="s">
        <v>7</v>
      </c>
      <c r="B3952" s="4" t="s">
        <v>10699</v>
      </c>
      <c r="C3952" s="1" t="s">
        <v>10700</v>
      </c>
      <c r="D3952" s="1" t="s">
        <v>10701</v>
      </c>
      <c r="E3952" s="6">
        <v>902</v>
      </c>
    </row>
    <row r="3953" spans="1:6" x14ac:dyDescent="0.25">
      <c r="A3953" s="4" t="s">
        <v>7</v>
      </c>
      <c r="B3953" s="4" t="s">
        <v>10702</v>
      </c>
      <c r="C3953" s="1" t="s">
        <v>10703</v>
      </c>
      <c r="D3953" s="1" t="s">
        <v>10704</v>
      </c>
      <c r="E3953" s="6">
        <v>8526</v>
      </c>
    </row>
    <row r="3954" spans="1:6" x14ac:dyDescent="0.25">
      <c r="A3954" s="4" t="s">
        <v>7</v>
      </c>
      <c r="B3954" s="4" t="s">
        <v>10705</v>
      </c>
      <c r="C3954" s="1" t="s">
        <v>10706</v>
      </c>
      <c r="D3954" s="1" t="s">
        <v>10707</v>
      </c>
      <c r="E3954" s="6">
        <v>846</v>
      </c>
    </row>
    <row r="3955" spans="1:6" x14ac:dyDescent="0.25">
      <c r="A3955" s="4" t="s">
        <v>7</v>
      </c>
      <c r="B3955" s="4" t="s">
        <v>10708</v>
      </c>
      <c r="C3955" s="1" t="s">
        <v>10709</v>
      </c>
      <c r="D3955" s="1" t="s">
        <v>10710</v>
      </c>
      <c r="E3955" s="6">
        <v>532</v>
      </c>
    </row>
    <row r="3956" spans="1:6" x14ac:dyDescent="0.25">
      <c r="A3956" s="4" t="s">
        <v>7</v>
      </c>
      <c r="B3956" s="4" t="s">
        <v>10711</v>
      </c>
      <c r="C3956" s="1" t="s">
        <v>10712</v>
      </c>
      <c r="D3956" s="1" t="s">
        <v>10713</v>
      </c>
      <c r="E3956" s="6">
        <v>789</v>
      </c>
    </row>
    <row r="3957" spans="1:6" x14ac:dyDescent="0.25">
      <c r="A3957" s="4" t="s">
        <v>7</v>
      </c>
      <c r="B3957" s="4" t="s">
        <v>10714</v>
      </c>
      <c r="C3957" s="1" t="s">
        <v>10715</v>
      </c>
      <c r="D3957" s="1" t="s">
        <v>10715</v>
      </c>
      <c r="E3957" s="6">
        <v>308</v>
      </c>
    </row>
    <row r="3958" spans="1:6" x14ac:dyDescent="0.25">
      <c r="A3958" s="4" t="s">
        <v>7</v>
      </c>
      <c r="B3958" s="4" t="s">
        <v>10716</v>
      </c>
      <c r="C3958" s="1" t="s">
        <v>10717</v>
      </c>
      <c r="D3958" s="1" t="s">
        <v>10718</v>
      </c>
      <c r="E3958" s="6">
        <v>963</v>
      </c>
    </row>
    <row r="3959" spans="1:6" x14ac:dyDescent="0.25">
      <c r="A3959" s="4" t="s">
        <v>7</v>
      </c>
      <c r="B3959" s="4" t="s">
        <v>10719</v>
      </c>
      <c r="C3959" s="1" t="s">
        <v>10720</v>
      </c>
      <c r="D3959" s="1" t="s">
        <v>10721</v>
      </c>
      <c r="E3959" s="6">
        <v>3019</v>
      </c>
    </row>
    <row r="3960" spans="1:6" x14ac:dyDescent="0.25">
      <c r="A3960" s="4" t="s">
        <v>7</v>
      </c>
      <c r="B3960" s="4" t="s">
        <v>10722</v>
      </c>
      <c r="C3960" s="1" t="s">
        <v>10723</v>
      </c>
      <c r="D3960" s="1" t="s">
        <v>10724</v>
      </c>
      <c r="E3960" s="6">
        <v>783</v>
      </c>
      <c r="F3960" s="4" t="s">
        <v>131</v>
      </c>
    </row>
    <row r="3961" spans="1:6" x14ac:dyDescent="0.25">
      <c r="A3961" s="4" t="s">
        <v>7</v>
      </c>
      <c r="B3961" s="4" t="s">
        <v>10725</v>
      </c>
      <c r="C3961" s="1" t="s">
        <v>10726</v>
      </c>
      <c r="D3961" s="1" t="s">
        <v>10727</v>
      </c>
      <c r="E3961" s="6">
        <v>11399</v>
      </c>
    </row>
    <row r="3962" spans="1:6" x14ac:dyDescent="0.25">
      <c r="A3962" s="4" t="s">
        <v>7</v>
      </c>
      <c r="B3962" s="4" t="s">
        <v>10728</v>
      </c>
      <c r="C3962" s="1" t="s">
        <v>10729</v>
      </c>
      <c r="D3962" s="1" t="s">
        <v>10730</v>
      </c>
      <c r="E3962" s="6">
        <v>3172</v>
      </c>
    </row>
    <row r="3963" spans="1:6" x14ac:dyDescent="0.25">
      <c r="A3963" s="4" t="s">
        <v>7</v>
      </c>
      <c r="B3963" s="4" t="s">
        <v>10731</v>
      </c>
      <c r="C3963" s="1" t="s">
        <v>10732</v>
      </c>
      <c r="D3963" s="1" t="s">
        <v>10733</v>
      </c>
      <c r="E3963" s="6">
        <v>5654</v>
      </c>
      <c r="F3963" s="4" t="s">
        <v>131</v>
      </c>
    </row>
    <row r="3964" spans="1:6" x14ac:dyDescent="0.25">
      <c r="A3964" s="4" t="s">
        <v>7</v>
      </c>
      <c r="B3964" s="4" t="s">
        <v>10734</v>
      </c>
      <c r="C3964" s="1" t="s">
        <v>10735</v>
      </c>
      <c r="D3964" s="1" t="s">
        <v>10736</v>
      </c>
      <c r="E3964" s="6">
        <v>783</v>
      </c>
      <c r="F3964" s="4" t="s">
        <v>131</v>
      </c>
    </row>
    <row r="3965" spans="1:6" x14ac:dyDescent="0.25">
      <c r="A3965" s="4" t="s">
        <v>7</v>
      </c>
      <c r="B3965" s="4" t="s">
        <v>10737</v>
      </c>
      <c r="C3965" s="1" t="s">
        <v>10738</v>
      </c>
      <c r="D3965" s="1" t="s">
        <v>10739</v>
      </c>
      <c r="E3965" s="6">
        <v>332</v>
      </c>
    </row>
    <row r="3966" spans="1:6" x14ac:dyDescent="0.25">
      <c r="A3966" s="4" t="s">
        <v>7</v>
      </c>
      <c r="B3966" s="4" t="s">
        <v>10740</v>
      </c>
      <c r="C3966" s="1" t="s">
        <v>10741</v>
      </c>
      <c r="D3966" s="1" t="s">
        <v>10742</v>
      </c>
      <c r="E3966" s="6">
        <v>60</v>
      </c>
    </row>
    <row r="3967" spans="1:6" x14ac:dyDescent="0.25">
      <c r="A3967" s="4" t="s">
        <v>7</v>
      </c>
      <c r="B3967" s="4" t="s">
        <v>10743</v>
      </c>
      <c r="C3967" s="1" t="s">
        <v>10744</v>
      </c>
      <c r="D3967" s="1" t="s">
        <v>10745</v>
      </c>
      <c r="E3967" s="6">
        <v>914</v>
      </c>
    </row>
    <row r="3968" spans="1:6" x14ac:dyDescent="0.25">
      <c r="A3968" s="4" t="s">
        <v>7</v>
      </c>
      <c r="B3968" s="4" t="s">
        <v>10746</v>
      </c>
      <c r="C3968" s="1" t="s">
        <v>10747</v>
      </c>
      <c r="D3968" s="1" t="s">
        <v>10748</v>
      </c>
      <c r="E3968" s="6">
        <v>914</v>
      </c>
      <c r="F3968" s="4" t="s">
        <v>131</v>
      </c>
    </row>
    <row r="3969" spans="1:6" x14ac:dyDescent="0.25">
      <c r="A3969" s="4" t="s">
        <v>7</v>
      </c>
      <c r="B3969" s="4" t="s">
        <v>10749</v>
      </c>
      <c r="C3969" s="1" t="s">
        <v>10750</v>
      </c>
      <c r="D3969" s="1" t="s">
        <v>10751</v>
      </c>
      <c r="E3969" s="6">
        <v>2021</v>
      </c>
      <c r="F3969" s="4" t="s">
        <v>131</v>
      </c>
    </row>
    <row r="3970" spans="1:6" x14ac:dyDescent="0.25">
      <c r="A3970" s="4" t="s">
        <v>7</v>
      </c>
      <c r="B3970" s="4" t="s">
        <v>10752</v>
      </c>
      <c r="C3970" s="1" t="s">
        <v>10753</v>
      </c>
      <c r="D3970" s="1" t="s">
        <v>10754</v>
      </c>
      <c r="E3970" s="6">
        <v>1458</v>
      </c>
    </row>
    <row r="3971" spans="1:6" x14ac:dyDescent="0.25">
      <c r="A3971" s="4" t="s">
        <v>7</v>
      </c>
      <c r="B3971" s="4" t="s">
        <v>10755</v>
      </c>
      <c r="C3971" s="1" t="s">
        <v>10756</v>
      </c>
      <c r="D3971" s="1" t="s">
        <v>10757</v>
      </c>
      <c r="E3971" s="6">
        <v>7469</v>
      </c>
      <c r="F3971" s="4" t="s">
        <v>131</v>
      </c>
    </row>
    <row r="3972" spans="1:6" x14ac:dyDescent="0.25">
      <c r="A3972" s="4" t="s">
        <v>7</v>
      </c>
      <c r="B3972" s="4" t="s">
        <v>10758</v>
      </c>
      <c r="C3972" s="1" t="s">
        <v>10759</v>
      </c>
      <c r="D3972" s="1" t="s">
        <v>10760</v>
      </c>
      <c r="E3972" s="6">
        <v>12561</v>
      </c>
      <c r="F3972" s="4" t="s">
        <v>131</v>
      </c>
    </row>
    <row r="3973" spans="1:6" x14ac:dyDescent="0.25">
      <c r="A3973" s="4" t="s">
        <v>7</v>
      </c>
      <c r="B3973" s="4" t="s">
        <v>10761</v>
      </c>
      <c r="C3973" s="1" t="s">
        <v>10762</v>
      </c>
      <c r="D3973" s="1" t="s">
        <v>10763</v>
      </c>
      <c r="E3973" s="6">
        <v>914</v>
      </c>
    </row>
    <row r="3974" spans="1:6" x14ac:dyDescent="0.25">
      <c r="A3974" s="4" t="s">
        <v>7</v>
      </c>
      <c r="B3974" s="4" t="s">
        <v>10764</v>
      </c>
      <c r="C3974" s="1" t="s">
        <v>10765</v>
      </c>
      <c r="D3974" s="1" t="s">
        <v>10766</v>
      </c>
      <c r="E3974" s="6">
        <v>914</v>
      </c>
    </row>
    <row r="3975" spans="1:6" x14ac:dyDescent="0.25">
      <c r="A3975" s="4" t="s">
        <v>7</v>
      </c>
      <c r="B3975" s="4" t="s">
        <v>10767</v>
      </c>
      <c r="C3975" s="1" t="s">
        <v>10768</v>
      </c>
      <c r="D3975" s="1" t="s">
        <v>10769</v>
      </c>
      <c r="E3975" s="6">
        <v>783</v>
      </c>
      <c r="F3975" s="4" t="s">
        <v>131</v>
      </c>
    </row>
    <row r="3976" spans="1:6" x14ac:dyDescent="0.25">
      <c r="A3976" s="4" t="s">
        <v>7</v>
      </c>
      <c r="B3976" s="4" t="s">
        <v>10770</v>
      </c>
      <c r="C3976" s="1" t="s">
        <v>10771</v>
      </c>
      <c r="D3976" s="1" t="s">
        <v>10772</v>
      </c>
      <c r="E3976" s="6">
        <v>709</v>
      </c>
      <c r="F3976" s="4" t="s">
        <v>131</v>
      </c>
    </row>
    <row r="3977" spans="1:6" x14ac:dyDescent="0.25">
      <c r="A3977" s="4" t="s">
        <v>7</v>
      </c>
      <c r="B3977" s="4" t="s">
        <v>10773</v>
      </c>
      <c r="C3977" s="1" t="s">
        <v>10774</v>
      </c>
      <c r="D3977" s="1" t="s">
        <v>10775</v>
      </c>
      <c r="E3977" s="6">
        <v>962</v>
      </c>
    </row>
    <row r="3978" spans="1:6" x14ac:dyDescent="0.25">
      <c r="A3978" s="4" t="s">
        <v>7</v>
      </c>
      <c r="B3978" s="4" t="s">
        <v>10776</v>
      </c>
      <c r="C3978" s="1" t="s">
        <v>10777</v>
      </c>
      <c r="D3978" s="1" t="s">
        <v>10775</v>
      </c>
      <c r="E3978" s="6">
        <v>60</v>
      </c>
    </row>
    <row r="3979" spans="1:6" x14ac:dyDescent="0.25">
      <c r="A3979" s="4" t="s">
        <v>7</v>
      </c>
      <c r="B3979" s="4" t="s">
        <v>10778</v>
      </c>
      <c r="C3979" s="1" t="s">
        <v>10779</v>
      </c>
      <c r="D3979" s="1" t="s">
        <v>10779</v>
      </c>
      <c r="E3979" s="6">
        <v>2035</v>
      </c>
    </row>
    <row r="3980" spans="1:6" x14ac:dyDescent="0.25">
      <c r="A3980" s="4" t="s">
        <v>7</v>
      </c>
      <c r="B3980" s="4" t="s">
        <v>10780</v>
      </c>
      <c r="C3980" s="1" t="s">
        <v>10781</v>
      </c>
      <c r="D3980" s="1" t="s">
        <v>10782</v>
      </c>
      <c r="E3980" s="6">
        <v>14971</v>
      </c>
      <c r="F3980" s="4" t="s">
        <v>131</v>
      </c>
    </row>
    <row r="3981" spans="1:6" x14ac:dyDescent="0.25">
      <c r="A3981" s="4" t="s">
        <v>7</v>
      </c>
      <c r="B3981" s="4" t="s">
        <v>10783</v>
      </c>
      <c r="C3981" s="1" t="s">
        <v>10784</v>
      </c>
      <c r="D3981" s="1" t="s">
        <v>10785</v>
      </c>
      <c r="E3981" s="6">
        <v>914</v>
      </c>
    </row>
    <row r="3982" spans="1:6" x14ac:dyDescent="0.25">
      <c r="A3982" s="4" t="s">
        <v>7</v>
      </c>
      <c r="B3982" s="4" t="s">
        <v>10786</v>
      </c>
      <c r="C3982" s="1" t="s">
        <v>10787</v>
      </c>
      <c r="D3982" s="1" t="s">
        <v>10788</v>
      </c>
      <c r="E3982" s="6">
        <v>21009</v>
      </c>
    </row>
    <row r="3983" spans="1:6" x14ac:dyDescent="0.25">
      <c r="A3983" s="4" t="s">
        <v>7</v>
      </c>
      <c r="B3983" s="4" t="s">
        <v>10789</v>
      </c>
      <c r="C3983" s="1" t="s">
        <v>10790</v>
      </c>
      <c r="D3983" s="1" t="s">
        <v>10791</v>
      </c>
      <c r="E3983" s="6">
        <v>1636</v>
      </c>
    </row>
    <row r="3984" spans="1:6" x14ac:dyDescent="0.25">
      <c r="A3984" s="4" t="s">
        <v>7</v>
      </c>
      <c r="B3984" s="4" t="s">
        <v>10792</v>
      </c>
      <c r="C3984" s="1" t="s">
        <v>10793</v>
      </c>
      <c r="D3984" s="1" t="s">
        <v>10794</v>
      </c>
      <c r="E3984" s="6">
        <v>1549</v>
      </c>
    </row>
    <row r="3985" spans="1:6" x14ac:dyDescent="0.25">
      <c r="A3985" s="4" t="s">
        <v>7</v>
      </c>
      <c r="B3985" s="4" t="s">
        <v>10795</v>
      </c>
      <c r="C3985" s="1" t="s">
        <v>10796</v>
      </c>
      <c r="D3985" s="1" t="s">
        <v>10797</v>
      </c>
      <c r="E3985" s="6">
        <v>2035</v>
      </c>
      <c r="F3985" s="4" t="s">
        <v>131</v>
      </c>
    </row>
    <row r="3986" spans="1:6" x14ac:dyDescent="0.25">
      <c r="A3986" s="4" t="s">
        <v>7</v>
      </c>
      <c r="B3986" s="4" t="s">
        <v>10798</v>
      </c>
      <c r="C3986" s="1" t="s">
        <v>10799</v>
      </c>
      <c r="D3986" s="1" t="s">
        <v>10800</v>
      </c>
      <c r="E3986" s="6">
        <v>2035</v>
      </c>
    </row>
    <row r="3987" spans="1:6" x14ac:dyDescent="0.25">
      <c r="A3987" s="4" t="s">
        <v>7</v>
      </c>
      <c r="B3987" s="4" t="s">
        <v>10801</v>
      </c>
      <c r="C3987" s="1" t="s">
        <v>10802</v>
      </c>
      <c r="D3987" s="1" t="s">
        <v>10803</v>
      </c>
      <c r="E3987" s="6">
        <v>2035</v>
      </c>
    </row>
    <row r="3988" spans="1:6" x14ac:dyDescent="0.25">
      <c r="A3988" s="4" t="s">
        <v>7</v>
      </c>
      <c r="B3988" s="4" t="s">
        <v>10804</v>
      </c>
      <c r="C3988" s="1" t="s">
        <v>10805</v>
      </c>
      <c r="D3988" s="1" t="s">
        <v>10806</v>
      </c>
      <c r="E3988" s="6">
        <v>1408</v>
      </c>
    </row>
    <row r="3989" spans="1:6" x14ac:dyDescent="0.25">
      <c r="A3989" s="4" t="s">
        <v>7</v>
      </c>
      <c r="B3989" s="4" t="s">
        <v>10807</v>
      </c>
      <c r="C3989" s="1" t="s">
        <v>10808</v>
      </c>
      <c r="D3989" s="1" t="s">
        <v>10803</v>
      </c>
      <c r="E3989" s="6">
        <v>2035</v>
      </c>
    </row>
    <row r="3990" spans="1:6" x14ac:dyDescent="0.25">
      <c r="A3990" s="4" t="s">
        <v>7</v>
      </c>
      <c r="B3990" s="4" t="s">
        <v>10809</v>
      </c>
      <c r="C3990" s="1" t="s">
        <v>10810</v>
      </c>
      <c r="D3990" s="1" t="s">
        <v>10811</v>
      </c>
      <c r="E3990" s="6">
        <v>2035</v>
      </c>
    </row>
    <row r="3991" spans="1:6" x14ac:dyDescent="0.25">
      <c r="A3991" s="4" t="s">
        <v>7</v>
      </c>
      <c r="B3991" s="4" t="s">
        <v>10812</v>
      </c>
      <c r="C3991" s="1" t="s">
        <v>10813</v>
      </c>
      <c r="D3991" s="1" t="s">
        <v>10814</v>
      </c>
      <c r="E3991" s="6">
        <v>783</v>
      </c>
    </row>
    <row r="3992" spans="1:6" x14ac:dyDescent="0.25">
      <c r="A3992" s="4" t="s">
        <v>7</v>
      </c>
      <c r="B3992" s="4" t="s">
        <v>10815</v>
      </c>
      <c r="C3992" s="1" t="s">
        <v>10816</v>
      </c>
      <c r="D3992" s="1" t="s">
        <v>10817</v>
      </c>
      <c r="E3992" s="6">
        <v>17347</v>
      </c>
    </row>
    <row r="3993" spans="1:6" x14ac:dyDescent="0.25">
      <c r="A3993" s="4" t="s">
        <v>7</v>
      </c>
      <c r="B3993" s="4" t="s">
        <v>10818</v>
      </c>
      <c r="C3993" s="1" t="s">
        <v>10819</v>
      </c>
      <c r="D3993" s="1" t="s">
        <v>10820</v>
      </c>
      <c r="E3993" s="6">
        <v>1830</v>
      </c>
      <c r="F3993" s="4" t="s">
        <v>131</v>
      </c>
    </row>
    <row r="3994" spans="1:6" x14ac:dyDescent="0.25">
      <c r="A3994" s="4" t="s">
        <v>7</v>
      </c>
      <c r="B3994" s="4" t="s">
        <v>10821</v>
      </c>
      <c r="C3994" s="1" t="s">
        <v>10822</v>
      </c>
      <c r="D3994" s="1" t="s">
        <v>10823</v>
      </c>
      <c r="E3994" s="6">
        <v>914</v>
      </c>
    </row>
    <row r="3995" spans="1:6" x14ac:dyDescent="0.25">
      <c r="A3995" s="4" t="s">
        <v>7</v>
      </c>
      <c r="B3995" s="4" t="s">
        <v>10824</v>
      </c>
      <c r="C3995" s="1" t="s">
        <v>10825</v>
      </c>
      <c r="D3995" s="1" t="s">
        <v>10826</v>
      </c>
      <c r="E3995" s="6">
        <v>14106</v>
      </c>
      <c r="F3995" s="4" t="s">
        <v>131</v>
      </c>
    </row>
    <row r="3996" spans="1:6" x14ac:dyDescent="0.25">
      <c r="A3996" s="4" t="s">
        <v>7</v>
      </c>
      <c r="B3996" s="4" t="s">
        <v>10827</v>
      </c>
      <c r="C3996" s="1" t="s">
        <v>10828</v>
      </c>
      <c r="D3996" s="1" t="s">
        <v>10829</v>
      </c>
      <c r="E3996" s="6">
        <v>14106</v>
      </c>
      <c r="F3996" s="4" t="s">
        <v>131</v>
      </c>
    </row>
    <row r="3997" spans="1:6" x14ac:dyDescent="0.25">
      <c r="A3997" s="4" t="s">
        <v>7</v>
      </c>
      <c r="B3997" s="4" t="s">
        <v>10830</v>
      </c>
      <c r="C3997" s="1" t="s">
        <v>10831</v>
      </c>
      <c r="D3997" s="1" t="s">
        <v>10832</v>
      </c>
      <c r="E3997" s="6">
        <v>783</v>
      </c>
      <c r="F3997" s="4" t="s">
        <v>131</v>
      </c>
    </row>
    <row r="3998" spans="1:6" x14ac:dyDescent="0.25">
      <c r="A3998" s="4" t="s">
        <v>7</v>
      </c>
      <c r="B3998" s="4" t="s">
        <v>10833</v>
      </c>
      <c r="C3998" s="1" t="s">
        <v>10834</v>
      </c>
      <c r="D3998" s="1" t="s">
        <v>10835</v>
      </c>
      <c r="E3998" s="6">
        <v>783</v>
      </c>
    </row>
    <row r="3999" spans="1:6" x14ac:dyDescent="0.25">
      <c r="A3999" s="4" t="s">
        <v>7</v>
      </c>
      <c r="B3999" s="4" t="s">
        <v>10836</v>
      </c>
      <c r="C3999" s="1" t="s">
        <v>10837</v>
      </c>
      <c r="D3999" s="1" t="s">
        <v>10838</v>
      </c>
      <c r="E3999" s="6">
        <v>32899</v>
      </c>
    </row>
    <row r="4000" spans="1:6" x14ac:dyDescent="0.25">
      <c r="A4000" s="4" t="s">
        <v>7</v>
      </c>
      <c r="B4000" s="4" t="s">
        <v>10839</v>
      </c>
      <c r="C4000" s="1" t="s">
        <v>10840</v>
      </c>
      <c r="D4000" s="1" t="s">
        <v>10841</v>
      </c>
      <c r="E4000" s="6">
        <v>32899</v>
      </c>
    </row>
    <row r="4001" spans="1:6" x14ac:dyDescent="0.25">
      <c r="A4001" s="4" t="s">
        <v>7</v>
      </c>
      <c r="B4001" s="4" t="s">
        <v>10842</v>
      </c>
      <c r="C4001" s="1" t="s">
        <v>10843</v>
      </c>
      <c r="D4001" s="1" t="s">
        <v>10844</v>
      </c>
      <c r="E4001" s="6">
        <v>32899</v>
      </c>
    </row>
    <row r="4002" spans="1:6" x14ac:dyDescent="0.25">
      <c r="A4002" s="4" t="s">
        <v>7</v>
      </c>
      <c r="B4002" s="4" t="s">
        <v>10845</v>
      </c>
      <c r="C4002" s="1" t="s">
        <v>10846</v>
      </c>
      <c r="D4002" s="1" t="s">
        <v>10847</v>
      </c>
      <c r="E4002" s="6">
        <v>32899</v>
      </c>
    </row>
    <row r="4003" spans="1:6" x14ac:dyDescent="0.25">
      <c r="A4003" s="4" t="s">
        <v>7</v>
      </c>
      <c r="B4003" s="4" t="s">
        <v>10848</v>
      </c>
      <c r="C4003" s="1" t="s">
        <v>10849</v>
      </c>
      <c r="D4003" s="1" t="s">
        <v>10850</v>
      </c>
      <c r="E4003" s="6">
        <v>2035</v>
      </c>
    </row>
    <row r="4004" spans="1:6" x14ac:dyDescent="0.25">
      <c r="A4004" s="4" t="s">
        <v>7</v>
      </c>
      <c r="B4004" s="4" t="s">
        <v>10851</v>
      </c>
      <c r="C4004" s="1" t="s">
        <v>10852</v>
      </c>
      <c r="D4004" s="1" t="s">
        <v>10853</v>
      </c>
      <c r="E4004" s="6">
        <v>33831</v>
      </c>
    </row>
    <row r="4005" spans="1:6" x14ac:dyDescent="0.25">
      <c r="A4005" s="4" t="s">
        <v>7</v>
      </c>
      <c r="B4005" s="4" t="s">
        <v>10854</v>
      </c>
      <c r="C4005" s="1" t="s">
        <v>10855</v>
      </c>
      <c r="D4005" s="1" t="s">
        <v>10856</v>
      </c>
      <c r="E4005" s="6">
        <v>14106</v>
      </c>
    </row>
    <row r="4006" spans="1:6" x14ac:dyDescent="0.25">
      <c r="A4006" s="4" t="s">
        <v>7</v>
      </c>
      <c r="B4006" s="4" t="s">
        <v>10857</v>
      </c>
      <c r="C4006" s="1" t="s">
        <v>10858</v>
      </c>
      <c r="D4006" s="1" t="s">
        <v>10859</v>
      </c>
      <c r="E4006" s="6">
        <v>8526</v>
      </c>
      <c r="F4006" s="4" t="s">
        <v>131</v>
      </c>
    </row>
    <row r="4007" spans="1:6" x14ac:dyDescent="0.25">
      <c r="A4007" s="4" t="s">
        <v>7</v>
      </c>
      <c r="B4007" s="4" t="s">
        <v>10860</v>
      </c>
      <c r="C4007" s="1" t="s">
        <v>10861</v>
      </c>
      <c r="D4007" s="1" t="s">
        <v>10862</v>
      </c>
      <c r="E4007" s="6">
        <v>18379</v>
      </c>
      <c r="F4007" s="4" t="s">
        <v>131</v>
      </c>
    </row>
    <row r="4008" spans="1:6" x14ac:dyDescent="0.25">
      <c r="A4008" s="4" t="s">
        <v>7</v>
      </c>
      <c r="B4008" s="4" t="s">
        <v>10863</v>
      </c>
      <c r="C4008" s="1" t="s">
        <v>10864</v>
      </c>
      <c r="D4008" s="1" t="s">
        <v>10865</v>
      </c>
      <c r="E4008" s="6">
        <v>11423</v>
      </c>
      <c r="F4008" s="4" t="s">
        <v>131</v>
      </c>
    </row>
    <row r="4009" spans="1:6" x14ac:dyDescent="0.25">
      <c r="A4009" s="4" t="s">
        <v>7</v>
      </c>
      <c r="B4009" s="4" t="s">
        <v>10866</v>
      </c>
      <c r="C4009" s="1" t="s">
        <v>10867</v>
      </c>
      <c r="D4009" s="1" t="s">
        <v>10868</v>
      </c>
      <c r="E4009" s="6">
        <v>6187</v>
      </c>
    </row>
    <row r="4010" spans="1:6" x14ac:dyDescent="0.25">
      <c r="A4010" s="4" t="s">
        <v>7</v>
      </c>
      <c r="B4010" s="4" t="s">
        <v>10869</v>
      </c>
      <c r="C4010" s="1" t="s">
        <v>10870</v>
      </c>
      <c r="D4010" s="1" t="s">
        <v>10871</v>
      </c>
      <c r="E4010" s="6">
        <v>9310</v>
      </c>
    </row>
    <row r="4011" spans="1:6" x14ac:dyDescent="0.25">
      <c r="A4011" s="4" t="s">
        <v>7</v>
      </c>
      <c r="B4011" s="4" t="s">
        <v>10872</v>
      </c>
      <c r="C4011" s="1" t="s">
        <v>10873</v>
      </c>
      <c r="D4011" s="1" t="s">
        <v>10874</v>
      </c>
      <c r="E4011" s="6">
        <v>24036.15</v>
      </c>
      <c r="F4011" s="4" t="s">
        <v>131</v>
      </c>
    </row>
    <row r="4012" spans="1:6" x14ac:dyDescent="0.25">
      <c r="A4012" s="4" t="s">
        <v>7</v>
      </c>
      <c r="B4012" s="4" t="s">
        <v>10875</v>
      </c>
      <c r="C4012" s="1" t="s">
        <v>10876</v>
      </c>
      <c r="D4012" s="1" t="s">
        <v>10877</v>
      </c>
      <c r="E4012" s="6">
        <v>12012.99</v>
      </c>
      <c r="F4012" s="4" t="s">
        <v>131</v>
      </c>
    </row>
    <row r="4013" spans="1:6" x14ac:dyDescent="0.25">
      <c r="A4013" s="4" t="s">
        <v>7</v>
      </c>
      <c r="B4013" s="4" t="s">
        <v>10878</v>
      </c>
      <c r="C4013" s="1" t="s">
        <v>10879</v>
      </c>
      <c r="D4013" s="1" t="s">
        <v>10879</v>
      </c>
      <c r="E4013" s="6">
        <v>1547</v>
      </c>
      <c r="F4013" s="4" t="s">
        <v>131</v>
      </c>
    </row>
    <row r="4014" spans="1:6" x14ac:dyDescent="0.25">
      <c r="A4014" s="4" t="s">
        <v>7</v>
      </c>
      <c r="B4014" s="4" t="s">
        <v>10880</v>
      </c>
      <c r="C4014" s="1" t="s">
        <v>10881</v>
      </c>
      <c r="D4014" s="1" t="s">
        <v>10882</v>
      </c>
      <c r="E4014" s="6">
        <v>29636</v>
      </c>
    </row>
    <row r="4015" spans="1:6" x14ac:dyDescent="0.25">
      <c r="A4015" s="4" t="s">
        <v>7</v>
      </c>
      <c r="B4015" s="4" t="s">
        <v>10883</v>
      </c>
      <c r="C4015" s="1" t="s">
        <v>10884</v>
      </c>
      <c r="D4015" s="1" t="s">
        <v>10882</v>
      </c>
      <c r="E4015" s="6">
        <v>15604</v>
      </c>
    </row>
    <row r="4016" spans="1:6" x14ac:dyDescent="0.25">
      <c r="A4016" s="4" t="s">
        <v>7</v>
      </c>
      <c r="B4016" s="4" t="s">
        <v>10885</v>
      </c>
      <c r="C4016" s="1" t="s">
        <v>10886</v>
      </c>
      <c r="D4016" s="1" t="s">
        <v>10882</v>
      </c>
      <c r="E4016" s="6">
        <v>9310</v>
      </c>
    </row>
    <row r="4017" spans="1:6" x14ac:dyDescent="0.25">
      <c r="A4017" s="4" t="s">
        <v>7</v>
      </c>
      <c r="B4017" s="4" t="s">
        <v>10887</v>
      </c>
      <c r="C4017" s="1" t="s">
        <v>10888</v>
      </c>
      <c r="D4017" s="1" t="s">
        <v>10882</v>
      </c>
      <c r="E4017" s="6">
        <v>24687</v>
      </c>
    </row>
    <row r="4018" spans="1:6" x14ac:dyDescent="0.25">
      <c r="A4018" s="4" t="s">
        <v>7</v>
      </c>
      <c r="B4018" s="4" t="s">
        <v>10889</v>
      </c>
      <c r="C4018" s="1" t="s">
        <v>10890</v>
      </c>
      <c r="D4018" s="1" t="s">
        <v>10891</v>
      </c>
      <c r="E4018" s="6">
        <v>10173</v>
      </c>
    </row>
    <row r="4019" spans="1:6" x14ac:dyDescent="0.25">
      <c r="A4019" s="4" t="s">
        <v>7</v>
      </c>
      <c r="B4019" s="4" t="s">
        <v>10892</v>
      </c>
      <c r="C4019" s="1" t="s">
        <v>10893</v>
      </c>
      <c r="D4019" s="1" t="s">
        <v>10894</v>
      </c>
      <c r="E4019" s="6">
        <v>6670</v>
      </c>
    </row>
    <row r="4020" spans="1:6" x14ac:dyDescent="0.25">
      <c r="A4020" s="4" t="s">
        <v>7</v>
      </c>
      <c r="B4020" s="4" t="s">
        <v>10895</v>
      </c>
      <c r="C4020" s="1" t="s">
        <v>10896</v>
      </c>
      <c r="D4020" s="1" t="s">
        <v>10897</v>
      </c>
      <c r="E4020" s="6">
        <v>4111</v>
      </c>
    </row>
    <row r="4021" spans="1:6" x14ac:dyDescent="0.25">
      <c r="A4021" s="4" t="s">
        <v>7</v>
      </c>
      <c r="B4021" s="4" t="s">
        <v>10898</v>
      </c>
      <c r="C4021" s="1" t="s">
        <v>10899</v>
      </c>
      <c r="D4021" s="1" t="s">
        <v>10900</v>
      </c>
      <c r="E4021" s="6">
        <v>8981.82</v>
      </c>
    </row>
    <row r="4022" spans="1:6" x14ac:dyDescent="0.25">
      <c r="A4022" s="4" t="s">
        <v>7</v>
      </c>
      <c r="B4022" s="4" t="s">
        <v>10901</v>
      </c>
      <c r="C4022" s="1" t="s">
        <v>10902</v>
      </c>
      <c r="D4022" s="1" t="s">
        <v>10903</v>
      </c>
      <c r="E4022" s="6">
        <v>966</v>
      </c>
    </row>
    <row r="4023" spans="1:6" x14ac:dyDescent="0.25">
      <c r="A4023" s="4" t="s">
        <v>7</v>
      </c>
      <c r="B4023" s="4" t="s">
        <v>10904</v>
      </c>
      <c r="C4023" s="1" t="s">
        <v>10905</v>
      </c>
      <c r="D4023" s="1" t="s">
        <v>10906</v>
      </c>
      <c r="E4023" s="6">
        <v>19262</v>
      </c>
      <c r="F4023" s="4" t="s">
        <v>131</v>
      </c>
    </row>
    <row r="4024" spans="1:6" x14ac:dyDescent="0.25">
      <c r="A4024" s="4" t="s">
        <v>7</v>
      </c>
      <c r="B4024" s="4" t="s">
        <v>10907</v>
      </c>
      <c r="C4024" s="1" t="s">
        <v>10908</v>
      </c>
      <c r="D4024" s="1" t="s">
        <v>10909</v>
      </c>
      <c r="E4024" s="6">
        <v>10173</v>
      </c>
      <c r="F4024" s="4" t="s">
        <v>131</v>
      </c>
    </row>
    <row r="4025" spans="1:6" x14ac:dyDescent="0.25">
      <c r="A4025" s="4" t="s">
        <v>7</v>
      </c>
      <c r="B4025" s="4" t="s">
        <v>10910</v>
      </c>
      <c r="C4025" s="1" t="s">
        <v>10911</v>
      </c>
      <c r="D4025" s="1" t="s">
        <v>10912</v>
      </c>
      <c r="E4025" s="6">
        <v>10455</v>
      </c>
    </row>
    <row r="4026" spans="1:6" x14ac:dyDescent="0.25">
      <c r="A4026" s="4" t="s">
        <v>7</v>
      </c>
      <c r="B4026" s="4" t="s">
        <v>10913</v>
      </c>
      <c r="C4026" s="1" t="s">
        <v>10914</v>
      </c>
      <c r="D4026" s="1" t="s">
        <v>10915</v>
      </c>
      <c r="E4026" s="6">
        <v>9563</v>
      </c>
      <c r="F4026" s="4" t="s">
        <v>131</v>
      </c>
    </row>
    <row r="4027" spans="1:6" x14ac:dyDescent="0.25">
      <c r="A4027" s="4" t="s">
        <v>7</v>
      </c>
      <c r="B4027" s="4" t="s">
        <v>10916</v>
      </c>
      <c r="C4027" s="1" t="s">
        <v>10917</v>
      </c>
      <c r="D4027" s="1" t="s">
        <v>10918</v>
      </c>
      <c r="E4027" s="6">
        <v>33674.699999999997</v>
      </c>
    </row>
    <row r="4028" spans="1:6" x14ac:dyDescent="0.25">
      <c r="A4028" s="4" t="s">
        <v>7</v>
      </c>
      <c r="B4028" s="4" t="s">
        <v>10919</v>
      </c>
      <c r="C4028" s="1" t="s">
        <v>10920</v>
      </c>
      <c r="D4028" s="1" t="s">
        <v>10921</v>
      </c>
      <c r="E4028" s="6">
        <v>11345.45</v>
      </c>
    </row>
    <row r="4029" spans="1:6" x14ac:dyDescent="0.25">
      <c r="A4029" s="4" t="s">
        <v>7</v>
      </c>
      <c r="B4029" s="4" t="s">
        <v>10922</v>
      </c>
      <c r="C4029" s="1" t="s">
        <v>10923</v>
      </c>
      <c r="D4029" s="1" t="s">
        <v>10924</v>
      </c>
      <c r="E4029" s="6">
        <v>135</v>
      </c>
    </row>
    <row r="4030" spans="1:6" x14ac:dyDescent="0.25">
      <c r="A4030" s="4" t="s">
        <v>7</v>
      </c>
      <c r="B4030" s="4" t="s">
        <v>10925</v>
      </c>
      <c r="C4030" s="1" t="s">
        <v>10926</v>
      </c>
      <c r="D4030" s="1" t="s">
        <v>10927</v>
      </c>
      <c r="E4030" s="6">
        <v>135</v>
      </c>
    </row>
    <row r="4031" spans="1:6" x14ac:dyDescent="0.25">
      <c r="A4031" s="4" t="s">
        <v>7</v>
      </c>
      <c r="B4031" s="4" t="s">
        <v>10928</v>
      </c>
      <c r="C4031" s="1" t="s">
        <v>10929</v>
      </c>
      <c r="D4031" s="1" t="s">
        <v>10930</v>
      </c>
      <c r="E4031" s="6">
        <v>135</v>
      </c>
    </row>
    <row r="4032" spans="1:6" x14ac:dyDescent="0.25">
      <c r="A4032" s="4" t="s">
        <v>7</v>
      </c>
      <c r="B4032" s="4" t="s">
        <v>10931</v>
      </c>
      <c r="C4032" s="1" t="s">
        <v>10932</v>
      </c>
      <c r="D4032" s="1" t="s">
        <v>10933</v>
      </c>
      <c r="E4032" s="6">
        <v>135</v>
      </c>
    </row>
    <row r="4033" spans="1:6" x14ac:dyDescent="0.25">
      <c r="A4033" s="4" t="s">
        <v>7</v>
      </c>
      <c r="B4033" s="4" t="s">
        <v>10934</v>
      </c>
      <c r="C4033" s="1" t="s">
        <v>10935</v>
      </c>
      <c r="D4033" s="1" t="s">
        <v>10935</v>
      </c>
      <c r="E4033" s="6">
        <v>135</v>
      </c>
      <c r="F4033" s="4" t="s">
        <v>131</v>
      </c>
    </row>
    <row r="4034" spans="1:6" x14ac:dyDescent="0.25">
      <c r="A4034" s="4" t="s">
        <v>7</v>
      </c>
      <c r="B4034" s="4" t="s">
        <v>10936</v>
      </c>
      <c r="C4034" s="1" t="s">
        <v>10937</v>
      </c>
      <c r="D4034" s="1" t="s">
        <v>10937</v>
      </c>
      <c r="E4034" s="6">
        <v>135</v>
      </c>
    </row>
    <row r="4035" spans="1:6" x14ac:dyDescent="0.25">
      <c r="A4035" s="4" t="s">
        <v>7</v>
      </c>
      <c r="B4035" s="4" t="s">
        <v>10938</v>
      </c>
      <c r="C4035" s="1" t="s">
        <v>10939</v>
      </c>
      <c r="D4035" s="1" t="s">
        <v>10940</v>
      </c>
      <c r="E4035" s="6">
        <v>135</v>
      </c>
    </row>
    <row r="4036" spans="1:6" x14ac:dyDescent="0.25">
      <c r="A4036" s="4" t="s">
        <v>7</v>
      </c>
      <c r="B4036" s="4" t="s">
        <v>10941</v>
      </c>
      <c r="C4036" s="1" t="s">
        <v>10942</v>
      </c>
      <c r="D4036" s="1" t="s">
        <v>10942</v>
      </c>
      <c r="E4036" s="6">
        <v>135</v>
      </c>
      <c r="F4036" s="4" t="s">
        <v>131</v>
      </c>
    </row>
    <row r="4037" spans="1:6" x14ac:dyDescent="0.25">
      <c r="A4037" s="4" t="s">
        <v>7</v>
      </c>
      <c r="B4037" s="4" t="s">
        <v>10943</v>
      </c>
      <c r="C4037" s="1" t="s">
        <v>10944</v>
      </c>
      <c r="D4037" s="1" t="s">
        <v>10944</v>
      </c>
      <c r="E4037" s="6">
        <v>240</v>
      </c>
    </row>
    <row r="4038" spans="1:6" x14ac:dyDescent="0.25">
      <c r="A4038" s="4" t="s">
        <v>7</v>
      </c>
      <c r="B4038" s="4" t="s">
        <v>10945</v>
      </c>
      <c r="C4038" s="1" t="s">
        <v>10946</v>
      </c>
      <c r="D4038" s="1" t="s">
        <v>10947</v>
      </c>
      <c r="E4038" s="6">
        <v>135</v>
      </c>
    </row>
    <row r="4039" spans="1:6" x14ac:dyDescent="0.25">
      <c r="A4039" s="4" t="s">
        <v>7</v>
      </c>
      <c r="B4039" s="4" t="s">
        <v>10948</v>
      </c>
      <c r="C4039" s="1" t="s">
        <v>10949</v>
      </c>
      <c r="D4039" s="1" t="s">
        <v>10949</v>
      </c>
      <c r="E4039" s="6">
        <v>135</v>
      </c>
    </row>
    <row r="4040" spans="1:6" x14ac:dyDescent="0.25">
      <c r="A4040" s="4" t="s">
        <v>7</v>
      </c>
      <c r="B4040" s="4" t="s">
        <v>10950</v>
      </c>
      <c r="C4040" s="1" t="s">
        <v>10951</v>
      </c>
      <c r="D4040" s="1" t="s">
        <v>10951</v>
      </c>
      <c r="E4040" s="6">
        <v>1387</v>
      </c>
    </row>
    <row r="4041" spans="1:6" x14ac:dyDescent="0.25">
      <c r="A4041" s="4" t="s">
        <v>7</v>
      </c>
      <c r="B4041" s="4" t="s">
        <v>10952</v>
      </c>
      <c r="C4041" s="1" t="s">
        <v>10953</v>
      </c>
      <c r="D4041" s="1" t="s">
        <v>10954</v>
      </c>
      <c r="E4041" s="6">
        <v>135</v>
      </c>
    </row>
    <row r="4042" spans="1:6" x14ac:dyDescent="0.25">
      <c r="A4042" s="4" t="s">
        <v>7</v>
      </c>
      <c r="B4042" s="4" t="s">
        <v>10955</v>
      </c>
      <c r="C4042" s="1" t="s">
        <v>10956</v>
      </c>
      <c r="D4042" s="1" t="s">
        <v>10956</v>
      </c>
      <c r="E4042" s="6">
        <v>135</v>
      </c>
    </row>
    <row r="4043" spans="1:6" x14ac:dyDescent="0.25">
      <c r="A4043" s="4" t="s">
        <v>7</v>
      </c>
      <c r="B4043" s="4" t="s">
        <v>10957</v>
      </c>
      <c r="C4043" s="1" t="s">
        <v>10958</v>
      </c>
      <c r="D4043" s="1" t="s">
        <v>10959</v>
      </c>
      <c r="E4043" s="6">
        <v>793</v>
      </c>
      <c r="F4043" s="4" t="s">
        <v>131</v>
      </c>
    </row>
    <row r="4044" spans="1:6" x14ac:dyDescent="0.25">
      <c r="A4044" s="4" t="s">
        <v>7</v>
      </c>
      <c r="B4044" s="4" t="s">
        <v>10960</v>
      </c>
      <c r="C4044" s="1" t="s">
        <v>10961</v>
      </c>
      <c r="D4044" s="1" t="s">
        <v>10962</v>
      </c>
      <c r="E4044" s="6">
        <v>2608</v>
      </c>
    </row>
    <row r="4045" spans="1:6" x14ac:dyDescent="0.25">
      <c r="A4045" s="4" t="s">
        <v>7</v>
      </c>
      <c r="B4045" s="4" t="s">
        <v>10963</v>
      </c>
      <c r="C4045" s="1" t="s">
        <v>10964</v>
      </c>
      <c r="D4045" s="1" t="s">
        <v>10965</v>
      </c>
      <c r="E4045" s="6">
        <v>208</v>
      </c>
      <c r="F4045" s="4" t="s">
        <v>131</v>
      </c>
    </row>
    <row r="4046" spans="1:6" x14ac:dyDescent="0.25">
      <c r="A4046" s="4" t="s">
        <v>7</v>
      </c>
      <c r="B4046" s="4" t="s">
        <v>10966</v>
      </c>
      <c r="C4046" s="1" t="s">
        <v>10967</v>
      </c>
      <c r="D4046" s="1" t="s">
        <v>10968</v>
      </c>
      <c r="E4046" s="6">
        <v>3377</v>
      </c>
    </row>
    <row r="4047" spans="1:6" x14ac:dyDescent="0.25">
      <c r="A4047" s="4" t="s">
        <v>7</v>
      </c>
      <c r="B4047" s="4" t="s">
        <v>10969</v>
      </c>
      <c r="C4047" s="1" t="s">
        <v>10970</v>
      </c>
      <c r="D4047" s="1" t="s">
        <v>10971</v>
      </c>
      <c r="E4047" s="6">
        <v>12653</v>
      </c>
      <c r="F4047" s="4" t="s">
        <v>131</v>
      </c>
    </row>
    <row r="4048" spans="1:6" x14ac:dyDescent="0.25">
      <c r="A4048" s="4" t="s">
        <v>7</v>
      </c>
      <c r="B4048" s="4" t="s">
        <v>10972</v>
      </c>
      <c r="C4048" s="1" t="s">
        <v>10973</v>
      </c>
      <c r="D4048" s="1" t="s">
        <v>10974</v>
      </c>
      <c r="E4048" s="6">
        <v>18239</v>
      </c>
    </row>
    <row r="4049" spans="1:6" x14ac:dyDescent="0.25">
      <c r="A4049" s="4" t="s">
        <v>7</v>
      </c>
      <c r="B4049" s="4" t="s">
        <v>10975</v>
      </c>
      <c r="C4049" s="1" t="s">
        <v>10976</v>
      </c>
      <c r="D4049" s="1" t="s">
        <v>10977</v>
      </c>
      <c r="E4049" s="6">
        <v>538</v>
      </c>
    </row>
    <row r="4050" spans="1:6" x14ac:dyDescent="0.25">
      <c r="A4050" s="4" t="s">
        <v>7</v>
      </c>
      <c r="B4050" s="4" t="s">
        <v>10978</v>
      </c>
      <c r="C4050" s="1" t="s">
        <v>10979</v>
      </c>
      <c r="D4050" s="1" t="s">
        <v>10980</v>
      </c>
      <c r="E4050" s="6">
        <v>28084</v>
      </c>
    </row>
    <row r="4051" spans="1:6" x14ac:dyDescent="0.25">
      <c r="A4051" s="4" t="s">
        <v>7</v>
      </c>
      <c r="B4051" s="4" t="s">
        <v>10981</v>
      </c>
      <c r="C4051" s="1" t="s">
        <v>10982</v>
      </c>
      <c r="D4051" s="1" t="s">
        <v>10982</v>
      </c>
      <c r="E4051" s="6">
        <v>793</v>
      </c>
      <c r="F4051" s="4" t="s">
        <v>131</v>
      </c>
    </row>
    <row r="4052" spans="1:6" x14ac:dyDescent="0.25">
      <c r="A4052" s="4" t="s">
        <v>7</v>
      </c>
      <c r="B4052" s="4" t="s">
        <v>10983</v>
      </c>
      <c r="C4052" s="1" t="s">
        <v>10984</v>
      </c>
      <c r="D4052" s="1" t="s">
        <v>10985</v>
      </c>
      <c r="E4052" s="6">
        <v>793</v>
      </c>
    </row>
    <row r="4053" spans="1:6" x14ac:dyDescent="0.25">
      <c r="A4053" s="4" t="s">
        <v>7</v>
      </c>
      <c r="B4053" s="4" t="s">
        <v>10986</v>
      </c>
      <c r="C4053" s="1" t="s">
        <v>10987</v>
      </c>
      <c r="D4053" s="1" t="s">
        <v>10988</v>
      </c>
      <c r="E4053" s="6">
        <v>793</v>
      </c>
    </row>
    <row r="4054" spans="1:6" x14ac:dyDescent="0.25">
      <c r="A4054" s="4" t="s">
        <v>7</v>
      </c>
      <c r="B4054" s="4" t="s">
        <v>10989</v>
      </c>
      <c r="C4054" s="1" t="s">
        <v>10990</v>
      </c>
      <c r="D4054" s="1" t="s">
        <v>10991</v>
      </c>
      <c r="E4054" s="6">
        <v>5410</v>
      </c>
    </row>
    <row r="4055" spans="1:6" x14ac:dyDescent="0.25">
      <c r="A4055" s="4" t="s">
        <v>7</v>
      </c>
      <c r="B4055" s="4" t="s">
        <v>10992</v>
      </c>
      <c r="C4055" s="1" t="s">
        <v>10993</v>
      </c>
      <c r="D4055" s="1" t="s">
        <v>10994</v>
      </c>
      <c r="E4055" s="6">
        <v>3958</v>
      </c>
      <c r="F4055" s="4" t="s">
        <v>131</v>
      </c>
    </row>
    <row r="4056" spans="1:6" x14ac:dyDescent="0.25">
      <c r="A4056" s="4" t="s">
        <v>7</v>
      </c>
      <c r="B4056" s="4" t="s">
        <v>10995</v>
      </c>
      <c r="C4056" s="1" t="s">
        <v>10996</v>
      </c>
      <c r="D4056" s="1" t="s">
        <v>10997</v>
      </c>
      <c r="E4056" s="6">
        <v>2646</v>
      </c>
    </row>
    <row r="4057" spans="1:6" x14ac:dyDescent="0.25">
      <c r="A4057" s="4" t="s">
        <v>7</v>
      </c>
      <c r="B4057" s="4" t="s">
        <v>10998</v>
      </c>
      <c r="C4057" s="1" t="s">
        <v>10999</v>
      </c>
      <c r="D4057" s="1" t="s">
        <v>11000</v>
      </c>
      <c r="E4057" s="6">
        <v>9640</v>
      </c>
      <c r="F4057" s="4" t="s">
        <v>131</v>
      </c>
    </row>
    <row r="4058" spans="1:6" x14ac:dyDescent="0.25">
      <c r="A4058" s="4" t="s">
        <v>7</v>
      </c>
      <c r="B4058" s="4" t="s">
        <v>11001</v>
      </c>
      <c r="C4058" s="1" t="s">
        <v>11002</v>
      </c>
      <c r="D4058" s="1" t="s">
        <v>11003</v>
      </c>
      <c r="E4058" s="6">
        <v>793</v>
      </c>
    </row>
    <row r="4059" spans="1:6" x14ac:dyDescent="0.25">
      <c r="A4059" s="4" t="s">
        <v>7</v>
      </c>
      <c r="B4059" s="4" t="s">
        <v>11004</v>
      </c>
      <c r="C4059" s="1" t="s">
        <v>11005</v>
      </c>
      <c r="D4059" s="1" t="s">
        <v>11006</v>
      </c>
      <c r="E4059" s="6">
        <v>793</v>
      </c>
    </row>
    <row r="4060" spans="1:6" x14ac:dyDescent="0.25">
      <c r="A4060" s="4" t="s">
        <v>7</v>
      </c>
      <c r="B4060" s="4" t="s">
        <v>11007</v>
      </c>
      <c r="C4060" s="1" t="s">
        <v>11008</v>
      </c>
      <c r="D4060" s="1" t="s">
        <v>11009</v>
      </c>
      <c r="E4060" s="6">
        <v>410</v>
      </c>
    </row>
    <row r="4061" spans="1:6" x14ac:dyDescent="0.25">
      <c r="A4061" s="4" t="s">
        <v>7</v>
      </c>
      <c r="B4061" s="4" t="s">
        <v>11010</v>
      </c>
      <c r="C4061" s="1" t="s">
        <v>11011</v>
      </c>
      <c r="D4061" s="1" t="s">
        <v>11011</v>
      </c>
      <c r="E4061" s="6">
        <v>1945.45</v>
      </c>
    </row>
    <row r="4062" spans="1:6" x14ac:dyDescent="0.25">
      <c r="A4062" s="4" t="s">
        <v>7</v>
      </c>
      <c r="B4062" s="4" t="s">
        <v>11012</v>
      </c>
      <c r="C4062" s="1" t="s">
        <v>11013</v>
      </c>
      <c r="D4062" s="1" t="s">
        <v>11014</v>
      </c>
      <c r="E4062" s="6">
        <v>46529</v>
      </c>
      <c r="F4062" s="4" t="s">
        <v>131</v>
      </c>
    </row>
    <row r="4063" spans="1:6" x14ac:dyDescent="0.25">
      <c r="A4063" s="4" t="s">
        <v>7</v>
      </c>
      <c r="B4063" s="4" t="s">
        <v>11015</v>
      </c>
      <c r="C4063" s="1" t="s">
        <v>11016</v>
      </c>
      <c r="D4063" s="1" t="s">
        <v>11017</v>
      </c>
      <c r="E4063" s="6">
        <v>1013</v>
      </c>
    </row>
    <row r="4064" spans="1:6" x14ac:dyDescent="0.25">
      <c r="A4064" s="4" t="s">
        <v>7</v>
      </c>
      <c r="B4064" s="4" t="s">
        <v>11018</v>
      </c>
      <c r="C4064" s="1" t="s">
        <v>11019</v>
      </c>
      <c r="D4064" s="1" t="s">
        <v>11020</v>
      </c>
      <c r="E4064" s="6">
        <v>3958</v>
      </c>
    </row>
    <row r="4065" spans="1:6" x14ac:dyDescent="0.25">
      <c r="A4065" s="4" t="s">
        <v>7</v>
      </c>
      <c r="B4065" s="4" t="s">
        <v>11021</v>
      </c>
      <c r="C4065" s="1" t="s">
        <v>11022</v>
      </c>
      <c r="D4065" s="1" t="s">
        <v>11023</v>
      </c>
      <c r="E4065" s="6">
        <v>516</v>
      </c>
      <c r="F4065" s="4" t="s">
        <v>131</v>
      </c>
    </row>
    <row r="4066" spans="1:6" x14ac:dyDescent="0.25">
      <c r="A4066" s="4" t="s">
        <v>7</v>
      </c>
      <c r="B4066" s="4" t="s">
        <v>11024</v>
      </c>
      <c r="C4066" s="1" t="s">
        <v>11025</v>
      </c>
      <c r="D4066" s="1" t="s">
        <v>11025</v>
      </c>
      <c r="E4066" s="6">
        <v>49</v>
      </c>
      <c r="F4066" s="4" t="s">
        <v>131</v>
      </c>
    </row>
    <row r="4067" spans="1:6" x14ac:dyDescent="0.25">
      <c r="A4067" s="4" t="s">
        <v>7</v>
      </c>
      <c r="B4067" s="4" t="s">
        <v>11026</v>
      </c>
      <c r="C4067" s="1" t="s">
        <v>11027</v>
      </c>
      <c r="D4067" s="1" t="s">
        <v>11027</v>
      </c>
      <c r="E4067" s="6">
        <v>2078</v>
      </c>
    </row>
    <row r="4068" spans="1:6" x14ac:dyDescent="0.25">
      <c r="A4068" s="4" t="s">
        <v>7</v>
      </c>
      <c r="B4068" s="4" t="s">
        <v>11028</v>
      </c>
      <c r="C4068" s="1" t="s">
        <v>11029</v>
      </c>
      <c r="D4068" s="1" t="s">
        <v>11030</v>
      </c>
      <c r="E4068" s="6">
        <v>1799</v>
      </c>
      <c r="F4068" s="4" t="s">
        <v>131</v>
      </c>
    </row>
    <row r="4069" spans="1:6" x14ac:dyDescent="0.25">
      <c r="A4069" s="4" t="s">
        <v>7</v>
      </c>
      <c r="B4069" s="4" t="s">
        <v>11031</v>
      </c>
      <c r="C4069" s="1" t="s">
        <v>11032</v>
      </c>
      <c r="D4069" s="1" t="s">
        <v>11033</v>
      </c>
      <c r="E4069" s="6">
        <v>638</v>
      </c>
      <c r="F4069" s="4" t="s">
        <v>131</v>
      </c>
    </row>
    <row r="4070" spans="1:6" x14ac:dyDescent="0.25">
      <c r="A4070" s="4" t="s">
        <v>7</v>
      </c>
      <c r="B4070" s="4" t="s">
        <v>11034</v>
      </c>
      <c r="C4070" s="1" t="s">
        <v>11035</v>
      </c>
      <c r="D4070" s="1" t="s">
        <v>11036</v>
      </c>
      <c r="E4070" s="6">
        <v>4785</v>
      </c>
      <c r="F4070" s="4" t="s">
        <v>131</v>
      </c>
    </row>
    <row r="4071" spans="1:6" x14ac:dyDescent="0.25">
      <c r="A4071" s="4" t="s">
        <v>7</v>
      </c>
      <c r="B4071" s="4" t="s">
        <v>11037</v>
      </c>
      <c r="C4071" s="1" t="s">
        <v>11038</v>
      </c>
      <c r="D4071" s="1" t="s">
        <v>11039</v>
      </c>
      <c r="E4071" s="6">
        <v>4434</v>
      </c>
    </row>
    <row r="4072" spans="1:6" x14ac:dyDescent="0.25">
      <c r="A4072" s="4" t="s">
        <v>7</v>
      </c>
      <c r="B4072" s="4" t="s">
        <v>11040</v>
      </c>
      <c r="C4072" s="1" t="s">
        <v>11041</v>
      </c>
      <c r="D4072" s="1" t="s">
        <v>11042</v>
      </c>
      <c r="E4072" s="6">
        <v>1952</v>
      </c>
    </row>
    <row r="4073" spans="1:6" x14ac:dyDescent="0.25">
      <c r="A4073" s="4" t="s">
        <v>7</v>
      </c>
      <c r="B4073" s="4" t="s">
        <v>11043</v>
      </c>
      <c r="C4073" s="1" t="s">
        <v>11044</v>
      </c>
      <c r="D4073" s="1" t="s">
        <v>11045</v>
      </c>
      <c r="E4073" s="6">
        <v>140</v>
      </c>
    </row>
    <row r="4074" spans="1:6" x14ac:dyDescent="0.25">
      <c r="A4074" s="4" t="s">
        <v>7</v>
      </c>
      <c r="B4074" s="4" t="s">
        <v>11046</v>
      </c>
      <c r="C4074" s="1" t="s">
        <v>11047</v>
      </c>
      <c r="D4074" s="1" t="s">
        <v>11048</v>
      </c>
      <c r="E4074" s="6">
        <v>24</v>
      </c>
    </row>
    <row r="4075" spans="1:6" x14ac:dyDescent="0.25">
      <c r="A4075" s="4" t="s">
        <v>7</v>
      </c>
      <c r="B4075" s="4" t="s">
        <v>11049</v>
      </c>
      <c r="C4075" s="1" t="s">
        <v>11050</v>
      </c>
      <c r="D4075" s="1" t="s">
        <v>11051</v>
      </c>
      <c r="E4075" s="6">
        <v>100</v>
      </c>
    </row>
    <row r="4076" spans="1:6" x14ac:dyDescent="0.25">
      <c r="A4076" s="4" t="s">
        <v>7</v>
      </c>
      <c r="B4076" s="4" t="s">
        <v>11052</v>
      </c>
      <c r="C4076" s="1" t="s">
        <v>11053</v>
      </c>
      <c r="D4076" s="1" t="s">
        <v>11054</v>
      </c>
      <c r="E4076" s="6">
        <v>290.24</v>
      </c>
    </row>
    <row r="4077" spans="1:6" x14ac:dyDescent="0.25">
      <c r="A4077" s="4" t="s">
        <v>7</v>
      </c>
      <c r="B4077" s="4" t="s">
        <v>11055</v>
      </c>
      <c r="C4077" s="1" t="s">
        <v>11056</v>
      </c>
      <c r="D4077" s="1" t="s">
        <v>11057</v>
      </c>
      <c r="E4077" s="6">
        <v>76</v>
      </c>
    </row>
    <row r="4078" spans="1:6" x14ac:dyDescent="0.25">
      <c r="A4078" s="4" t="s">
        <v>7</v>
      </c>
      <c r="B4078" s="4" t="s">
        <v>11058</v>
      </c>
      <c r="C4078" s="1" t="s">
        <v>11059</v>
      </c>
      <c r="D4078" s="1" t="s">
        <v>11060</v>
      </c>
      <c r="E4078" s="6">
        <v>2960</v>
      </c>
    </row>
    <row r="4079" spans="1:6" x14ac:dyDescent="0.25">
      <c r="A4079" s="4" t="s">
        <v>7</v>
      </c>
      <c r="B4079" s="4" t="s">
        <v>11061</v>
      </c>
      <c r="C4079" s="1" t="s">
        <v>11062</v>
      </c>
      <c r="D4079" s="1" t="s">
        <v>11063</v>
      </c>
      <c r="E4079" s="6">
        <v>2197.33</v>
      </c>
      <c r="F4079" s="4" t="s">
        <v>131</v>
      </c>
    </row>
    <row r="4080" spans="1:6" x14ac:dyDescent="0.25">
      <c r="A4080" s="4" t="s">
        <v>7</v>
      </c>
      <c r="B4080" s="4" t="s">
        <v>11064</v>
      </c>
      <c r="C4080" s="1" t="s">
        <v>11065</v>
      </c>
      <c r="D4080" s="1" t="s">
        <v>11066</v>
      </c>
      <c r="E4080" s="6">
        <v>9080</v>
      </c>
      <c r="F4080" s="4" t="s">
        <v>131</v>
      </c>
    </row>
    <row r="4081" spans="1:6" x14ac:dyDescent="0.25">
      <c r="A4081" s="4" t="s">
        <v>7</v>
      </c>
      <c r="B4081" s="4" t="s">
        <v>11067</v>
      </c>
      <c r="C4081" s="1" t="s">
        <v>11068</v>
      </c>
      <c r="D4081" s="1" t="s">
        <v>11069</v>
      </c>
      <c r="E4081" s="6">
        <v>5848</v>
      </c>
      <c r="F4081" s="4" t="s">
        <v>131</v>
      </c>
    </row>
    <row r="4082" spans="1:6" x14ac:dyDescent="0.25">
      <c r="A4082" s="4" t="s">
        <v>7</v>
      </c>
      <c r="B4082" s="4" t="s">
        <v>11070</v>
      </c>
      <c r="C4082" s="1" t="s">
        <v>11071</v>
      </c>
      <c r="D4082" s="1" t="s">
        <v>11072</v>
      </c>
      <c r="E4082" s="6">
        <v>27910</v>
      </c>
      <c r="F4082" s="4" t="s">
        <v>131</v>
      </c>
    </row>
    <row r="4083" spans="1:6" x14ac:dyDescent="0.25">
      <c r="A4083" s="4" t="s">
        <v>7</v>
      </c>
      <c r="B4083" s="4" t="s">
        <v>11073</v>
      </c>
      <c r="C4083" s="1" t="s">
        <v>11074</v>
      </c>
      <c r="D4083" s="1" t="s">
        <v>11074</v>
      </c>
      <c r="E4083" s="6">
        <v>23687</v>
      </c>
      <c r="F4083" s="4" t="s">
        <v>131</v>
      </c>
    </row>
    <row r="4084" spans="1:6" x14ac:dyDescent="0.25">
      <c r="A4084" s="4" t="s">
        <v>7</v>
      </c>
      <c r="B4084" s="4" t="s">
        <v>11075</v>
      </c>
      <c r="C4084" s="1" t="s">
        <v>11076</v>
      </c>
      <c r="D4084" s="1" t="s">
        <v>11077</v>
      </c>
      <c r="E4084" s="6">
        <v>3958</v>
      </c>
      <c r="F4084" s="4" t="s">
        <v>131</v>
      </c>
    </row>
    <row r="4085" spans="1:6" x14ac:dyDescent="0.25">
      <c r="A4085" s="4" t="s">
        <v>7</v>
      </c>
      <c r="B4085" s="4" t="s">
        <v>11078</v>
      </c>
      <c r="C4085" s="1" t="s">
        <v>11079</v>
      </c>
      <c r="D4085" s="1" t="s">
        <v>11079</v>
      </c>
      <c r="E4085" s="6">
        <v>8133</v>
      </c>
      <c r="F4085" s="4" t="s">
        <v>131</v>
      </c>
    </row>
    <row r="4086" spans="1:6" x14ac:dyDescent="0.25">
      <c r="A4086" s="4" t="s">
        <v>7</v>
      </c>
      <c r="B4086" s="4" t="s">
        <v>11080</v>
      </c>
      <c r="C4086" s="1" t="s">
        <v>11081</v>
      </c>
      <c r="D4086" s="1" t="s">
        <v>11082</v>
      </c>
      <c r="E4086" s="6">
        <v>2581</v>
      </c>
      <c r="F4086" s="4" t="s">
        <v>131</v>
      </c>
    </row>
    <row r="4087" spans="1:6" x14ac:dyDescent="0.25">
      <c r="A4087" s="4" t="s">
        <v>7</v>
      </c>
      <c r="B4087" s="4" t="s">
        <v>11083</v>
      </c>
      <c r="C4087" s="1" t="s">
        <v>11084</v>
      </c>
      <c r="D4087" s="1" t="s">
        <v>11085</v>
      </c>
      <c r="E4087" s="6">
        <v>3958</v>
      </c>
      <c r="F4087" s="4" t="s">
        <v>131</v>
      </c>
    </row>
    <row r="4088" spans="1:6" x14ac:dyDescent="0.25">
      <c r="A4088" s="4" t="s">
        <v>7</v>
      </c>
      <c r="B4088" s="4" t="s">
        <v>11086</v>
      </c>
      <c r="C4088" s="1" t="s">
        <v>11087</v>
      </c>
      <c r="D4088" s="1" t="s">
        <v>11088</v>
      </c>
      <c r="E4088" s="6">
        <v>3958</v>
      </c>
      <c r="F4088" s="4" t="s">
        <v>131</v>
      </c>
    </row>
    <row r="4089" spans="1:6" x14ac:dyDescent="0.25">
      <c r="A4089" s="4" t="s">
        <v>7</v>
      </c>
      <c r="B4089" s="4" t="s">
        <v>11089</v>
      </c>
      <c r="C4089" s="1" t="s">
        <v>11090</v>
      </c>
      <c r="D4089" s="1" t="s">
        <v>11091</v>
      </c>
      <c r="E4089" s="6">
        <v>6428.57</v>
      </c>
    </row>
    <row r="4090" spans="1:6" x14ac:dyDescent="0.25">
      <c r="A4090" s="4" t="s">
        <v>7</v>
      </c>
      <c r="B4090" s="4" t="s">
        <v>11092</v>
      </c>
      <c r="C4090" s="1" t="s">
        <v>11093</v>
      </c>
      <c r="D4090" s="1" t="s">
        <v>11094</v>
      </c>
      <c r="E4090" s="6">
        <v>27910</v>
      </c>
      <c r="F4090" s="4" t="s">
        <v>131</v>
      </c>
    </row>
    <row r="4091" spans="1:6" x14ac:dyDescent="0.25">
      <c r="A4091" s="4" t="s">
        <v>7</v>
      </c>
      <c r="B4091" s="4" t="s">
        <v>11095</v>
      </c>
      <c r="C4091" s="1" t="s">
        <v>11096</v>
      </c>
      <c r="D4091" s="1" t="s">
        <v>11097</v>
      </c>
      <c r="E4091" s="6">
        <v>27910</v>
      </c>
      <c r="F4091" s="4" t="s">
        <v>131</v>
      </c>
    </row>
    <row r="4092" spans="1:6" x14ac:dyDescent="0.25">
      <c r="A4092" s="4" t="s">
        <v>7</v>
      </c>
      <c r="B4092" s="4" t="s">
        <v>11098</v>
      </c>
      <c r="C4092" s="1" t="s">
        <v>11099</v>
      </c>
      <c r="D4092" s="1" t="s">
        <v>11100</v>
      </c>
      <c r="E4092" s="6">
        <v>27910</v>
      </c>
      <c r="F4092" s="4" t="s">
        <v>131</v>
      </c>
    </row>
    <row r="4093" spans="1:6" x14ac:dyDescent="0.25">
      <c r="A4093" s="4" t="s">
        <v>7</v>
      </c>
      <c r="B4093" s="4" t="s">
        <v>11101</v>
      </c>
      <c r="C4093" s="1" t="s">
        <v>11102</v>
      </c>
      <c r="D4093" s="1" t="s">
        <v>11103</v>
      </c>
      <c r="E4093" s="6">
        <v>27910</v>
      </c>
      <c r="F4093" s="4" t="s">
        <v>131</v>
      </c>
    </row>
    <row r="4094" spans="1:6" x14ac:dyDescent="0.25">
      <c r="A4094" s="4" t="s">
        <v>7</v>
      </c>
      <c r="B4094" s="4" t="s">
        <v>11104</v>
      </c>
      <c r="C4094" s="1" t="s">
        <v>11105</v>
      </c>
      <c r="D4094" s="1" t="s">
        <v>11106</v>
      </c>
      <c r="E4094" s="6">
        <v>27910</v>
      </c>
      <c r="F4094" s="4" t="s">
        <v>131</v>
      </c>
    </row>
    <row r="4095" spans="1:6" x14ac:dyDescent="0.25">
      <c r="A4095" s="4" t="s">
        <v>7</v>
      </c>
      <c r="B4095" s="4" t="s">
        <v>11107</v>
      </c>
      <c r="C4095" s="1" t="s">
        <v>11108</v>
      </c>
      <c r="D4095" s="1" t="s">
        <v>11108</v>
      </c>
      <c r="E4095" s="6">
        <v>18850</v>
      </c>
      <c r="F4095" s="4" t="s">
        <v>131</v>
      </c>
    </row>
    <row r="4096" spans="1:6" x14ac:dyDescent="0.25">
      <c r="A4096" s="4" t="s">
        <v>7</v>
      </c>
      <c r="B4096" s="4" t="s">
        <v>11109</v>
      </c>
      <c r="C4096" s="1" t="s">
        <v>11110</v>
      </c>
      <c r="D4096" s="1" t="s">
        <v>11110</v>
      </c>
      <c r="E4096" s="6">
        <v>3958</v>
      </c>
      <c r="F4096" s="4" t="s">
        <v>131</v>
      </c>
    </row>
    <row r="4097" spans="1:6" x14ac:dyDescent="0.25">
      <c r="A4097" s="4" t="s">
        <v>7</v>
      </c>
      <c r="B4097" s="4" t="s">
        <v>11111</v>
      </c>
      <c r="C4097" s="1" t="s">
        <v>11112</v>
      </c>
      <c r="D4097" s="1" t="s">
        <v>11112</v>
      </c>
      <c r="E4097" s="6">
        <v>3958</v>
      </c>
      <c r="F4097" s="4" t="s">
        <v>131</v>
      </c>
    </row>
    <row r="4098" spans="1:6" x14ac:dyDescent="0.25">
      <c r="A4098" s="4" t="s">
        <v>7</v>
      </c>
      <c r="B4098" s="4" t="s">
        <v>11113</v>
      </c>
      <c r="C4098" s="1" t="s">
        <v>11114</v>
      </c>
      <c r="D4098" s="1" t="s">
        <v>11115</v>
      </c>
      <c r="E4098" s="6">
        <v>3958</v>
      </c>
      <c r="F4098" s="4" t="s">
        <v>131</v>
      </c>
    </row>
    <row r="4099" spans="1:6" x14ac:dyDescent="0.25">
      <c r="A4099" s="4" t="s">
        <v>7</v>
      </c>
      <c r="B4099" s="4" t="s">
        <v>11116</v>
      </c>
      <c r="C4099" s="1" t="s">
        <v>11117</v>
      </c>
      <c r="D4099" s="1" t="s">
        <v>11117</v>
      </c>
      <c r="E4099" s="6">
        <v>3958</v>
      </c>
      <c r="F4099" s="4" t="s">
        <v>131</v>
      </c>
    </row>
    <row r="4100" spans="1:6" x14ac:dyDescent="0.25">
      <c r="A4100" s="4" t="s">
        <v>7</v>
      </c>
      <c r="B4100" s="4" t="s">
        <v>11118</v>
      </c>
      <c r="C4100" s="1" t="s">
        <v>11119</v>
      </c>
      <c r="D4100" s="1" t="s">
        <v>11119</v>
      </c>
      <c r="E4100" s="6">
        <v>3958</v>
      </c>
      <c r="F4100" s="4" t="s">
        <v>131</v>
      </c>
    </row>
    <row r="4101" spans="1:6" x14ac:dyDescent="0.25">
      <c r="A4101" s="4" t="s">
        <v>7</v>
      </c>
      <c r="B4101" s="4" t="s">
        <v>11120</v>
      </c>
      <c r="C4101" s="1" t="s">
        <v>11121</v>
      </c>
      <c r="D4101" s="1" t="s">
        <v>11122</v>
      </c>
      <c r="E4101" s="6">
        <v>3958</v>
      </c>
      <c r="F4101" s="4" t="s">
        <v>131</v>
      </c>
    </row>
    <row r="4102" spans="1:6" x14ac:dyDescent="0.25">
      <c r="A4102" s="4" t="s">
        <v>7</v>
      </c>
      <c r="B4102" s="4" t="s">
        <v>11123</v>
      </c>
      <c r="C4102" s="1" t="s">
        <v>11124</v>
      </c>
      <c r="D4102" s="1" t="s">
        <v>11125</v>
      </c>
      <c r="E4102" s="6">
        <v>26363</v>
      </c>
    </row>
    <row r="4103" spans="1:6" x14ac:dyDescent="0.25">
      <c r="A4103" s="4" t="s">
        <v>7</v>
      </c>
      <c r="B4103" s="4" t="s">
        <v>11126</v>
      </c>
      <c r="C4103" s="1" t="s">
        <v>11127</v>
      </c>
      <c r="D4103" s="1" t="s">
        <v>11128</v>
      </c>
      <c r="E4103" s="6">
        <v>15144.58</v>
      </c>
      <c r="F4103" s="4" t="s">
        <v>131</v>
      </c>
    </row>
    <row r="4104" spans="1:6" x14ac:dyDescent="0.25">
      <c r="A4104" s="4" t="s">
        <v>7</v>
      </c>
      <c r="B4104" s="4" t="s">
        <v>11129</v>
      </c>
      <c r="C4104" s="1" t="s">
        <v>11130</v>
      </c>
      <c r="D4104" s="1" t="s">
        <v>11130</v>
      </c>
      <c r="E4104" s="6">
        <v>3958</v>
      </c>
      <c r="F4104" s="4" t="s">
        <v>131</v>
      </c>
    </row>
    <row r="4105" spans="1:6" x14ac:dyDescent="0.25">
      <c r="A4105" s="4" t="s">
        <v>7</v>
      </c>
      <c r="B4105" s="4" t="s">
        <v>11131</v>
      </c>
      <c r="C4105" s="1" t="s">
        <v>11132</v>
      </c>
      <c r="D4105" s="1" t="s">
        <v>11132</v>
      </c>
      <c r="E4105" s="6">
        <v>3958</v>
      </c>
      <c r="F4105" s="4" t="s">
        <v>131</v>
      </c>
    </row>
    <row r="4106" spans="1:6" x14ac:dyDescent="0.25">
      <c r="A4106" s="4" t="s">
        <v>7</v>
      </c>
      <c r="B4106" s="4" t="s">
        <v>11133</v>
      </c>
      <c r="C4106" s="1" t="s">
        <v>11134</v>
      </c>
      <c r="D4106" s="1" t="s">
        <v>11134</v>
      </c>
      <c r="E4106" s="6">
        <v>4546.91</v>
      </c>
    </row>
    <row r="4107" spans="1:6" x14ac:dyDescent="0.25">
      <c r="A4107" s="4" t="s">
        <v>7</v>
      </c>
      <c r="B4107" s="4" t="s">
        <v>11135</v>
      </c>
      <c r="C4107" s="1" t="s">
        <v>11136</v>
      </c>
      <c r="D4107" s="1" t="s">
        <v>11137</v>
      </c>
      <c r="E4107" s="6">
        <v>3958</v>
      </c>
      <c r="F4107" s="4" t="s">
        <v>131</v>
      </c>
    </row>
    <row r="4108" spans="1:6" x14ac:dyDescent="0.25">
      <c r="A4108" s="4" t="s">
        <v>7</v>
      </c>
      <c r="B4108" s="4" t="s">
        <v>11138</v>
      </c>
      <c r="C4108" s="1" t="s">
        <v>11139</v>
      </c>
      <c r="D4108" s="1" t="s">
        <v>11140</v>
      </c>
      <c r="E4108" s="6">
        <v>3958</v>
      </c>
    </row>
    <row r="4109" spans="1:6" x14ac:dyDescent="0.25">
      <c r="A4109" s="4" t="s">
        <v>7</v>
      </c>
      <c r="B4109" s="4" t="s">
        <v>11141</v>
      </c>
      <c r="C4109" s="1" t="s">
        <v>11142</v>
      </c>
      <c r="D4109" s="1" t="s">
        <v>11143</v>
      </c>
      <c r="E4109" s="6">
        <v>3958</v>
      </c>
      <c r="F4109" s="4" t="s">
        <v>131</v>
      </c>
    </row>
    <row r="4110" spans="1:6" x14ac:dyDescent="0.25">
      <c r="A4110" s="4" t="s">
        <v>7</v>
      </c>
      <c r="B4110" s="4" t="s">
        <v>11144</v>
      </c>
      <c r="C4110" s="1" t="s">
        <v>11145</v>
      </c>
      <c r="D4110" s="1" t="s">
        <v>11146</v>
      </c>
      <c r="E4110" s="6">
        <v>67700</v>
      </c>
    </row>
    <row r="4111" spans="1:6" x14ac:dyDescent="0.25">
      <c r="A4111" s="4" t="s">
        <v>7</v>
      </c>
      <c r="B4111" s="4" t="s">
        <v>11147</v>
      </c>
      <c r="C4111" s="1" t="s">
        <v>11148</v>
      </c>
      <c r="D4111" s="1" t="s">
        <v>11149</v>
      </c>
      <c r="E4111" s="6">
        <v>991</v>
      </c>
      <c r="F4111" s="4" t="s">
        <v>131</v>
      </c>
    </row>
    <row r="4112" spans="1:6" x14ac:dyDescent="0.25">
      <c r="A4112" s="4" t="s">
        <v>7</v>
      </c>
      <c r="B4112" s="4" t="s">
        <v>11150</v>
      </c>
      <c r="C4112" s="1" t="s">
        <v>11151</v>
      </c>
      <c r="D4112" s="1" t="s">
        <v>11152</v>
      </c>
      <c r="E4112" s="6">
        <v>8328</v>
      </c>
    </row>
    <row r="4113" spans="1:6" x14ac:dyDescent="0.25">
      <c r="A4113" s="4" t="s">
        <v>7</v>
      </c>
      <c r="B4113" s="4" t="s">
        <v>11153</v>
      </c>
      <c r="C4113" s="1" t="s">
        <v>11154</v>
      </c>
      <c r="D4113" s="1" t="s">
        <v>11155</v>
      </c>
      <c r="E4113" s="6">
        <v>3958</v>
      </c>
      <c r="F4113" s="4" t="s">
        <v>131</v>
      </c>
    </row>
    <row r="4114" spans="1:6" x14ac:dyDescent="0.25">
      <c r="A4114" s="4" t="s">
        <v>7</v>
      </c>
      <c r="B4114" s="4" t="s">
        <v>11156</v>
      </c>
      <c r="C4114" s="1" t="s">
        <v>11157</v>
      </c>
      <c r="D4114" s="1" t="s">
        <v>11158</v>
      </c>
      <c r="E4114" s="6">
        <v>3958</v>
      </c>
    </row>
    <row r="4115" spans="1:6" x14ac:dyDescent="0.25">
      <c r="A4115" s="4" t="s">
        <v>7</v>
      </c>
      <c r="B4115" s="4" t="s">
        <v>11159</v>
      </c>
      <c r="C4115" s="1" t="s">
        <v>11160</v>
      </c>
      <c r="D4115" s="1" t="s">
        <v>11161</v>
      </c>
      <c r="E4115" s="6">
        <v>83116.88</v>
      </c>
      <c r="F4115" s="4" t="s">
        <v>131</v>
      </c>
    </row>
    <row r="4116" spans="1:6" x14ac:dyDescent="0.25">
      <c r="A4116" s="4" t="s">
        <v>7</v>
      </c>
      <c r="B4116" s="4" t="s">
        <v>11162</v>
      </c>
      <c r="C4116" s="1" t="s">
        <v>11163</v>
      </c>
      <c r="D4116" s="1" t="s">
        <v>11163</v>
      </c>
      <c r="E4116" s="6">
        <v>14946</v>
      </c>
      <c r="F4116" s="4" t="s">
        <v>131</v>
      </c>
    </row>
    <row r="4117" spans="1:6" x14ac:dyDescent="0.25">
      <c r="A4117" s="4" t="s">
        <v>7</v>
      </c>
      <c r="B4117" s="4" t="s">
        <v>11164</v>
      </c>
      <c r="C4117" s="1" t="s">
        <v>11165</v>
      </c>
      <c r="D4117" s="1" t="s">
        <v>11165</v>
      </c>
      <c r="E4117" s="6">
        <v>3958</v>
      </c>
      <c r="F4117" s="4" t="s">
        <v>131</v>
      </c>
    </row>
    <row r="4118" spans="1:6" x14ac:dyDescent="0.25">
      <c r="A4118" s="4" t="s">
        <v>7</v>
      </c>
      <c r="B4118" s="4" t="s">
        <v>11166</v>
      </c>
      <c r="C4118" s="1" t="s">
        <v>11167</v>
      </c>
      <c r="D4118" s="1" t="s">
        <v>11168</v>
      </c>
      <c r="E4118" s="6">
        <v>12217</v>
      </c>
      <c r="F4118" s="4" t="s">
        <v>131</v>
      </c>
    </row>
    <row r="4119" spans="1:6" x14ac:dyDescent="0.25">
      <c r="A4119" s="4" t="s">
        <v>7</v>
      </c>
      <c r="B4119" s="4" t="s">
        <v>11169</v>
      </c>
      <c r="C4119" s="1" t="s">
        <v>11170</v>
      </c>
      <c r="D4119" s="1" t="s">
        <v>11171</v>
      </c>
      <c r="E4119" s="6">
        <v>29675</v>
      </c>
      <c r="F4119" s="4" t="s">
        <v>131</v>
      </c>
    </row>
    <row r="4120" spans="1:6" x14ac:dyDescent="0.25">
      <c r="A4120" s="4" t="s">
        <v>7</v>
      </c>
      <c r="B4120" s="4" t="s">
        <v>11172</v>
      </c>
      <c r="C4120" s="1" t="s">
        <v>11173</v>
      </c>
      <c r="D4120" s="1" t="s">
        <v>11174</v>
      </c>
      <c r="E4120" s="6">
        <v>21750.13</v>
      </c>
      <c r="F4120" s="4" t="s">
        <v>131</v>
      </c>
    </row>
    <row r="4121" spans="1:6" x14ac:dyDescent="0.25">
      <c r="A4121" s="4" t="s">
        <v>7</v>
      </c>
      <c r="B4121" s="4" t="s">
        <v>11175</v>
      </c>
      <c r="C4121" s="1" t="s">
        <v>11176</v>
      </c>
      <c r="D4121" s="1" t="s">
        <v>11177</v>
      </c>
      <c r="E4121" s="6">
        <v>27910</v>
      </c>
      <c r="F4121" s="4" t="s">
        <v>131</v>
      </c>
    </row>
    <row r="4122" spans="1:6" x14ac:dyDescent="0.25">
      <c r="A4122" s="4" t="s">
        <v>7</v>
      </c>
      <c r="B4122" s="4" t="s">
        <v>11178</v>
      </c>
      <c r="C4122" s="1" t="s">
        <v>11179</v>
      </c>
      <c r="D4122" s="1" t="s">
        <v>11179</v>
      </c>
      <c r="E4122" s="6">
        <v>2214</v>
      </c>
      <c r="F4122" s="4" t="s">
        <v>131</v>
      </c>
    </row>
    <row r="4123" spans="1:6" x14ac:dyDescent="0.25">
      <c r="A4123" s="4" t="s">
        <v>7</v>
      </c>
      <c r="B4123" s="4" t="s">
        <v>11180</v>
      </c>
      <c r="C4123" s="1" t="s">
        <v>11181</v>
      </c>
      <c r="D4123" s="1" t="s">
        <v>11182</v>
      </c>
      <c r="E4123" s="6">
        <v>17754</v>
      </c>
    </row>
    <row r="4124" spans="1:6" x14ac:dyDescent="0.25">
      <c r="A4124" s="4" t="s">
        <v>7</v>
      </c>
      <c r="B4124" s="4" t="s">
        <v>11183</v>
      </c>
      <c r="C4124" s="1" t="s">
        <v>11184</v>
      </c>
      <c r="D4124" s="1" t="s">
        <v>11185</v>
      </c>
      <c r="E4124" s="6">
        <v>3958</v>
      </c>
      <c r="F4124" s="4" t="s">
        <v>131</v>
      </c>
    </row>
    <row r="4125" spans="1:6" x14ac:dyDescent="0.25">
      <c r="A4125" s="4" t="s">
        <v>7</v>
      </c>
      <c r="B4125" s="4" t="s">
        <v>11186</v>
      </c>
      <c r="C4125" s="1" t="s">
        <v>11187</v>
      </c>
      <c r="D4125" s="1" t="s">
        <v>11187</v>
      </c>
      <c r="E4125" s="6">
        <v>2313</v>
      </c>
      <c r="F4125" s="4" t="s">
        <v>131</v>
      </c>
    </row>
    <row r="4126" spans="1:6" x14ac:dyDescent="0.25">
      <c r="A4126" s="4" t="s">
        <v>7</v>
      </c>
      <c r="B4126" s="4" t="s">
        <v>11188</v>
      </c>
      <c r="C4126" s="1" t="s">
        <v>11189</v>
      </c>
      <c r="D4126" s="1" t="s">
        <v>11189</v>
      </c>
      <c r="E4126" s="6">
        <v>8133</v>
      </c>
      <c r="F4126" s="4" t="s">
        <v>131</v>
      </c>
    </row>
    <row r="4127" spans="1:6" x14ac:dyDescent="0.25">
      <c r="A4127" s="4" t="s">
        <v>7</v>
      </c>
      <c r="B4127" s="4" t="s">
        <v>11190</v>
      </c>
      <c r="C4127" s="1" t="s">
        <v>11191</v>
      </c>
      <c r="D4127" s="1" t="s">
        <v>11191</v>
      </c>
      <c r="E4127" s="6">
        <v>716</v>
      </c>
      <c r="F4127" s="4" t="s">
        <v>131</v>
      </c>
    </row>
    <row r="4128" spans="1:6" x14ac:dyDescent="0.25">
      <c r="A4128" s="4" t="s">
        <v>7</v>
      </c>
      <c r="B4128" s="4" t="s">
        <v>11192</v>
      </c>
      <c r="C4128" s="1" t="s">
        <v>11193</v>
      </c>
      <c r="D4128" s="1" t="s">
        <v>11193</v>
      </c>
      <c r="E4128" s="6">
        <v>8783</v>
      </c>
      <c r="F4128" s="4" t="s">
        <v>131</v>
      </c>
    </row>
    <row r="4129" spans="1:6" x14ac:dyDescent="0.25">
      <c r="A4129" s="4" t="s">
        <v>7</v>
      </c>
      <c r="B4129" s="4" t="s">
        <v>11194</v>
      </c>
      <c r="C4129" s="1" t="s">
        <v>11195</v>
      </c>
      <c r="D4129" s="1" t="s">
        <v>11196</v>
      </c>
      <c r="E4129" s="6">
        <v>14912</v>
      </c>
      <c r="F4129" s="4" t="s">
        <v>131</v>
      </c>
    </row>
    <row r="4130" spans="1:6" x14ac:dyDescent="0.25">
      <c r="A4130" s="4" t="s">
        <v>7</v>
      </c>
      <c r="B4130" s="4" t="s">
        <v>11197</v>
      </c>
      <c r="C4130" s="1" t="s">
        <v>11198</v>
      </c>
      <c r="D4130" s="1" t="s">
        <v>11199</v>
      </c>
      <c r="E4130" s="6">
        <v>3958</v>
      </c>
    </row>
    <row r="4131" spans="1:6" x14ac:dyDescent="0.25">
      <c r="A4131" s="4" t="s">
        <v>7</v>
      </c>
      <c r="B4131" s="4" t="s">
        <v>11200</v>
      </c>
      <c r="C4131" s="1" t="s">
        <v>11201</v>
      </c>
      <c r="D4131" s="1" t="s">
        <v>11202</v>
      </c>
      <c r="E4131" s="6">
        <v>3958</v>
      </c>
      <c r="F4131" s="4" t="s">
        <v>131</v>
      </c>
    </row>
    <row r="4132" spans="1:6" x14ac:dyDescent="0.25">
      <c r="A4132" s="4" t="s">
        <v>7</v>
      </c>
      <c r="B4132" s="4" t="s">
        <v>11203</v>
      </c>
      <c r="C4132" s="1" t="s">
        <v>11204</v>
      </c>
      <c r="D4132" s="1" t="s">
        <v>11205</v>
      </c>
      <c r="E4132" s="6">
        <v>3958</v>
      </c>
      <c r="F4132" s="4" t="s">
        <v>131</v>
      </c>
    </row>
    <row r="4133" spans="1:6" x14ac:dyDescent="0.25">
      <c r="A4133" s="4" t="s">
        <v>7</v>
      </c>
      <c r="B4133" s="4" t="s">
        <v>11206</v>
      </c>
      <c r="C4133" s="1" t="s">
        <v>11207</v>
      </c>
      <c r="D4133" s="1" t="s">
        <v>11208</v>
      </c>
      <c r="E4133" s="6">
        <v>9419</v>
      </c>
      <c r="F4133" s="4" t="s">
        <v>131</v>
      </c>
    </row>
    <row r="4134" spans="1:6" x14ac:dyDescent="0.25">
      <c r="A4134" s="4" t="s">
        <v>7</v>
      </c>
      <c r="B4134" s="4" t="s">
        <v>11209</v>
      </c>
      <c r="C4134" s="1" t="s">
        <v>11210</v>
      </c>
      <c r="D4134" s="1" t="s">
        <v>11210</v>
      </c>
      <c r="E4134" s="6">
        <v>1091</v>
      </c>
      <c r="F4134" s="4" t="s">
        <v>131</v>
      </c>
    </row>
    <row r="4135" spans="1:6" x14ac:dyDescent="0.25">
      <c r="A4135" s="4" t="s">
        <v>7</v>
      </c>
      <c r="B4135" s="4" t="s">
        <v>11211</v>
      </c>
      <c r="C4135" s="1" t="s">
        <v>11212</v>
      </c>
      <c r="D4135" s="1" t="s">
        <v>11213</v>
      </c>
      <c r="E4135" s="6">
        <v>9419</v>
      </c>
      <c r="F4135" s="4" t="s">
        <v>131</v>
      </c>
    </row>
    <row r="4136" spans="1:6" x14ac:dyDescent="0.25">
      <c r="A4136" s="4" t="s">
        <v>7</v>
      </c>
      <c r="B4136" s="4" t="s">
        <v>11214</v>
      </c>
      <c r="C4136" s="1" t="s">
        <v>11215</v>
      </c>
      <c r="D4136" s="1" t="s">
        <v>11215</v>
      </c>
      <c r="E4136" s="6">
        <v>3958</v>
      </c>
      <c r="F4136" s="4" t="s">
        <v>131</v>
      </c>
    </row>
    <row r="4137" spans="1:6" x14ac:dyDescent="0.25">
      <c r="A4137" s="4" t="s">
        <v>7</v>
      </c>
      <c r="B4137" s="4" t="s">
        <v>11216</v>
      </c>
      <c r="C4137" s="1" t="s">
        <v>11217</v>
      </c>
      <c r="D4137" s="1" t="s">
        <v>11218</v>
      </c>
      <c r="E4137" s="6">
        <v>16929</v>
      </c>
      <c r="F4137" s="4" t="s">
        <v>131</v>
      </c>
    </row>
    <row r="4138" spans="1:6" x14ac:dyDescent="0.25">
      <c r="A4138" s="4" t="s">
        <v>7</v>
      </c>
      <c r="B4138" s="4" t="s">
        <v>11219</v>
      </c>
      <c r="C4138" s="1" t="s">
        <v>11220</v>
      </c>
      <c r="D4138" s="1" t="s">
        <v>11221</v>
      </c>
      <c r="E4138" s="6">
        <v>3958</v>
      </c>
      <c r="F4138" s="4" t="s">
        <v>131</v>
      </c>
    </row>
    <row r="4139" spans="1:6" x14ac:dyDescent="0.25">
      <c r="A4139" s="4" t="s">
        <v>7</v>
      </c>
      <c r="B4139" s="4" t="s">
        <v>11222</v>
      </c>
      <c r="C4139" s="1" t="s">
        <v>11223</v>
      </c>
      <c r="D4139" s="1" t="s">
        <v>11224</v>
      </c>
      <c r="E4139" s="6">
        <v>7673</v>
      </c>
    </row>
    <row r="4140" spans="1:6" x14ac:dyDescent="0.25">
      <c r="A4140" s="4" t="s">
        <v>7</v>
      </c>
      <c r="B4140" s="4" t="s">
        <v>11225</v>
      </c>
      <c r="C4140" s="1" t="s">
        <v>11226</v>
      </c>
      <c r="D4140" s="1" t="s">
        <v>11227</v>
      </c>
      <c r="E4140" s="6">
        <v>3958</v>
      </c>
    </row>
    <row r="4141" spans="1:6" x14ac:dyDescent="0.25">
      <c r="A4141" s="4" t="s">
        <v>7</v>
      </c>
      <c r="B4141" s="4" t="s">
        <v>11228</v>
      </c>
      <c r="C4141" s="1" t="s">
        <v>11229</v>
      </c>
      <c r="D4141" s="1" t="s">
        <v>11230</v>
      </c>
      <c r="E4141" s="6">
        <v>4091.81</v>
      </c>
    </row>
    <row r="4142" spans="1:6" x14ac:dyDescent="0.25">
      <c r="A4142" s="4" t="s">
        <v>7</v>
      </c>
      <c r="B4142" s="4" t="s">
        <v>11231</v>
      </c>
      <c r="C4142" s="1" t="s">
        <v>11232</v>
      </c>
      <c r="D4142" s="1" t="s">
        <v>11233</v>
      </c>
      <c r="E4142" s="6">
        <v>4492.7700000000004</v>
      </c>
      <c r="F4142" s="4" t="s">
        <v>131</v>
      </c>
    </row>
    <row r="4143" spans="1:6" x14ac:dyDescent="0.25">
      <c r="A4143" s="4" t="s">
        <v>7</v>
      </c>
      <c r="B4143" s="4" t="s">
        <v>11234</v>
      </c>
      <c r="C4143" s="1" t="s">
        <v>11235</v>
      </c>
      <c r="D4143" s="1" t="s">
        <v>11236</v>
      </c>
      <c r="E4143" s="6">
        <v>3958</v>
      </c>
      <c r="F4143" s="4" t="s">
        <v>131</v>
      </c>
    </row>
    <row r="4144" spans="1:6" x14ac:dyDescent="0.25">
      <c r="A4144" s="4" t="s">
        <v>7</v>
      </c>
      <c r="B4144" s="4" t="s">
        <v>11237</v>
      </c>
      <c r="C4144" s="1" t="s">
        <v>11238</v>
      </c>
      <c r="D4144" s="1" t="s">
        <v>11238</v>
      </c>
      <c r="E4144" s="6">
        <v>3958</v>
      </c>
      <c r="F4144" s="4" t="s">
        <v>131</v>
      </c>
    </row>
    <row r="4145" spans="1:6" x14ac:dyDescent="0.25">
      <c r="A4145" s="4" t="s">
        <v>7</v>
      </c>
      <c r="B4145" s="4" t="s">
        <v>11239</v>
      </c>
      <c r="C4145" s="1" t="s">
        <v>11240</v>
      </c>
      <c r="D4145" s="1" t="s">
        <v>11240</v>
      </c>
      <c r="E4145" s="6">
        <v>3958</v>
      </c>
      <c r="F4145" s="4" t="s">
        <v>131</v>
      </c>
    </row>
    <row r="4146" spans="1:6" x14ac:dyDescent="0.25">
      <c r="A4146" s="4" t="s">
        <v>7</v>
      </c>
      <c r="B4146" s="4" t="s">
        <v>11241</v>
      </c>
      <c r="C4146" s="1" t="s">
        <v>11242</v>
      </c>
      <c r="D4146" s="1" t="s">
        <v>11242</v>
      </c>
      <c r="E4146" s="6">
        <v>3958</v>
      </c>
      <c r="F4146" s="4" t="s">
        <v>131</v>
      </c>
    </row>
    <row r="4147" spans="1:6" x14ac:dyDescent="0.25">
      <c r="A4147" s="4" t="s">
        <v>7</v>
      </c>
      <c r="B4147" s="4" t="s">
        <v>11243</v>
      </c>
      <c r="C4147" s="1" t="s">
        <v>11244</v>
      </c>
      <c r="D4147" s="1" t="s">
        <v>11245</v>
      </c>
      <c r="E4147" s="6">
        <v>4672</v>
      </c>
    </row>
    <row r="4148" spans="1:6" x14ac:dyDescent="0.25">
      <c r="A4148" s="4" t="s">
        <v>7</v>
      </c>
      <c r="B4148" s="4" t="s">
        <v>11246</v>
      </c>
      <c r="C4148" s="1" t="s">
        <v>11247</v>
      </c>
      <c r="D4148" s="1" t="s">
        <v>11247</v>
      </c>
      <c r="E4148" s="6">
        <v>3958</v>
      </c>
      <c r="F4148" s="4" t="s">
        <v>131</v>
      </c>
    </row>
    <row r="4149" spans="1:6" x14ac:dyDescent="0.25">
      <c r="A4149" s="4" t="s">
        <v>7</v>
      </c>
      <c r="B4149" s="4" t="s">
        <v>11248</v>
      </c>
      <c r="C4149" s="1" t="s">
        <v>11249</v>
      </c>
      <c r="D4149" s="1" t="s">
        <v>11250</v>
      </c>
      <c r="E4149" s="6">
        <v>357</v>
      </c>
      <c r="F4149" s="4" t="s">
        <v>131</v>
      </c>
    </row>
    <row r="4150" spans="1:6" x14ac:dyDescent="0.25">
      <c r="A4150" s="4" t="s">
        <v>7</v>
      </c>
      <c r="B4150" s="4" t="s">
        <v>11251</v>
      </c>
      <c r="C4150" s="1" t="s">
        <v>11252</v>
      </c>
      <c r="D4150" s="1" t="s">
        <v>11252</v>
      </c>
      <c r="E4150" s="6">
        <v>3958</v>
      </c>
      <c r="F4150" s="4" t="s">
        <v>131</v>
      </c>
    </row>
    <row r="4151" spans="1:6" x14ac:dyDescent="0.25">
      <c r="A4151" s="4" t="s">
        <v>7</v>
      </c>
      <c r="B4151" s="4" t="s">
        <v>11253</v>
      </c>
      <c r="C4151" s="1" t="s">
        <v>11254</v>
      </c>
      <c r="D4151" s="1" t="s">
        <v>11254</v>
      </c>
      <c r="E4151" s="6">
        <v>677</v>
      </c>
      <c r="F4151" s="4" t="s">
        <v>131</v>
      </c>
    </row>
    <row r="4152" spans="1:6" x14ac:dyDescent="0.25">
      <c r="A4152" s="4" t="s">
        <v>7</v>
      </c>
      <c r="B4152" s="4" t="s">
        <v>11255</v>
      </c>
      <c r="C4152" s="1" t="s">
        <v>11256</v>
      </c>
      <c r="D4152" s="1" t="s">
        <v>11257</v>
      </c>
      <c r="E4152" s="6">
        <v>17446</v>
      </c>
    </row>
    <row r="4153" spans="1:6" x14ac:dyDescent="0.25">
      <c r="A4153" s="4" t="s">
        <v>7</v>
      </c>
      <c r="B4153" s="4" t="s">
        <v>11258</v>
      </c>
      <c r="C4153" s="1" t="s">
        <v>11259</v>
      </c>
      <c r="D4153" s="1" t="s">
        <v>11259</v>
      </c>
      <c r="E4153" s="6">
        <v>3958</v>
      </c>
      <c r="F4153" s="4" t="s">
        <v>131</v>
      </c>
    </row>
    <row r="4154" spans="1:6" x14ac:dyDescent="0.25">
      <c r="A4154" s="4" t="s">
        <v>7</v>
      </c>
      <c r="B4154" s="4" t="s">
        <v>11260</v>
      </c>
      <c r="C4154" s="1" t="s">
        <v>11261</v>
      </c>
      <c r="D4154" s="1" t="s">
        <v>11262</v>
      </c>
      <c r="E4154" s="6">
        <v>53038</v>
      </c>
      <c r="F4154" s="4" t="s">
        <v>131</v>
      </c>
    </row>
    <row r="4155" spans="1:6" x14ac:dyDescent="0.25">
      <c r="A4155" s="4" t="s">
        <v>7</v>
      </c>
      <c r="B4155" s="4" t="s">
        <v>11263</v>
      </c>
      <c r="C4155" s="1" t="s">
        <v>11264</v>
      </c>
      <c r="D4155" s="1" t="s">
        <v>11265</v>
      </c>
      <c r="E4155" s="6">
        <v>4939</v>
      </c>
      <c r="F4155" s="4" t="s">
        <v>131</v>
      </c>
    </row>
    <row r="4156" spans="1:6" x14ac:dyDescent="0.25">
      <c r="A4156" s="4" t="s">
        <v>7</v>
      </c>
      <c r="B4156" s="4" t="s">
        <v>11266</v>
      </c>
      <c r="C4156" s="1" t="s">
        <v>11267</v>
      </c>
      <c r="D4156" s="1" t="s">
        <v>11267</v>
      </c>
      <c r="E4156" s="6">
        <v>4129</v>
      </c>
      <c r="F4156" s="4" t="s">
        <v>131</v>
      </c>
    </row>
    <row r="4157" spans="1:6" x14ac:dyDescent="0.25">
      <c r="A4157" s="4" t="s">
        <v>7</v>
      </c>
      <c r="B4157" s="4" t="s">
        <v>11268</v>
      </c>
      <c r="C4157" s="1" t="s">
        <v>11269</v>
      </c>
      <c r="D4157" s="1" t="s">
        <v>11270</v>
      </c>
      <c r="E4157" s="6">
        <v>4826.25</v>
      </c>
      <c r="F4157" s="4" t="s">
        <v>131</v>
      </c>
    </row>
    <row r="4158" spans="1:6" x14ac:dyDescent="0.25">
      <c r="A4158" s="4" t="s">
        <v>7</v>
      </c>
      <c r="B4158" s="4" t="s">
        <v>11271</v>
      </c>
      <c r="C4158" s="1" t="s">
        <v>11272</v>
      </c>
      <c r="D4158" s="1" t="s">
        <v>11272</v>
      </c>
      <c r="E4158" s="6">
        <v>3958</v>
      </c>
      <c r="F4158" s="4" t="s">
        <v>131</v>
      </c>
    </row>
    <row r="4159" spans="1:6" x14ac:dyDescent="0.25">
      <c r="A4159" s="4" t="s">
        <v>7</v>
      </c>
      <c r="B4159" s="4" t="s">
        <v>11273</v>
      </c>
      <c r="C4159" s="1" t="s">
        <v>11274</v>
      </c>
      <c r="D4159" s="1" t="s">
        <v>11274</v>
      </c>
      <c r="E4159" s="6">
        <v>558</v>
      </c>
      <c r="F4159" s="4" t="s">
        <v>131</v>
      </c>
    </row>
    <row r="4160" spans="1:6" x14ac:dyDescent="0.25">
      <c r="A4160" s="4" t="s">
        <v>7</v>
      </c>
      <c r="B4160" s="4" t="s">
        <v>11275</v>
      </c>
      <c r="C4160" s="1" t="s">
        <v>11276</v>
      </c>
      <c r="D4160" s="1" t="s">
        <v>11277</v>
      </c>
      <c r="E4160" s="6">
        <v>2494</v>
      </c>
      <c r="F4160" s="4" t="s">
        <v>131</v>
      </c>
    </row>
    <row r="4161" spans="1:6" x14ac:dyDescent="0.25">
      <c r="A4161" s="4" t="s">
        <v>7</v>
      </c>
      <c r="B4161" s="4" t="s">
        <v>11278</v>
      </c>
      <c r="C4161" s="1" t="s">
        <v>11279</v>
      </c>
      <c r="D4161" s="1" t="s">
        <v>11280</v>
      </c>
      <c r="E4161" s="6">
        <v>13818</v>
      </c>
    </row>
    <row r="4162" spans="1:6" x14ac:dyDescent="0.25">
      <c r="A4162" s="4" t="s">
        <v>7</v>
      </c>
      <c r="B4162" s="4" t="s">
        <v>11281</v>
      </c>
      <c r="C4162" s="1" t="s">
        <v>11282</v>
      </c>
      <c r="D4162" s="1" t="s">
        <v>11282</v>
      </c>
      <c r="E4162" s="6">
        <v>5513.25</v>
      </c>
    </row>
    <row r="4163" spans="1:6" x14ac:dyDescent="0.25">
      <c r="A4163" s="4" t="s">
        <v>7</v>
      </c>
      <c r="B4163" s="4" t="s">
        <v>11283</v>
      </c>
      <c r="C4163" s="1" t="s">
        <v>11284</v>
      </c>
      <c r="D4163" s="1" t="s">
        <v>11285</v>
      </c>
      <c r="E4163" s="6">
        <v>9041</v>
      </c>
    </row>
    <row r="4164" spans="1:6" x14ac:dyDescent="0.25">
      <c r="A4164" s="4" t="s">
        <v>7</v>
      </c>
      <c r="B4164" s="4" t="s">
        <v>11286</v>
      </c>
      <c r="C4164" s="1" t="s">
        <v>11287</v>
      </c>
      <c r="D4164" s="1" t="s">
        <v>11288</v>
      </c>
      <c r="E4164" s="6">
        <v>17696</v>
      </c>
      <c r="F4164" s="4" t="s">
        <v>131</v>
      </c>
    </row>
    <row r="4165" spans="1:6" x14ac:dyDescent="0.25">
      <c r="A4165" s="4" t="s">
        <v>7</v>
      </c>
      <c r="B4165" s="4" t="s">
        <v>11289</v>
      </c>
      <c r="C4165" s="1" t="s">
        <v>11290</v>
      </c>
      <c r="D4165" s="1" t="s">
        <v>11290</v>
      </c>
      <c r="E4165" s="6">
        <v>3958</v>
      </c>
      <c r="F4165" s="4" t="s">
        <v>131</v>
      </c>
    </row>
    <row r="4166" spans="1:6" x14ac:dyDescent="0.25">
      <c r="A4166" s="4" t="s">
        <v>7</v>
      </c>
      <c r="B4166" s="4" t="s">
        <v>11291</v>
      </c>
      <c r="C4166" s="1" t="s">
        <v>11292</v>
      </c>
      <c r="D4166" s="1" t="s">
        <v>11293</v>
      </c>
      <c r="E4166" s="6">
        <v>4102</v>
      </c>
    </row>
    <row r="4167" spans="1:6" x14ac:dyDescent="0.25">
      <c r="A4167" s="4" t="s">
        <v>7</v>
      </c>
      <c r="B4167" s="4" t="s">
        <v>11294</v>
      </c>
      <c r="C4167" s="1" t="s">
        <v>11295</v>
      </c>
      <c r="D4167" s="1" t="s">
        <v>11295</v>
      </c>
      <c r="E4167" s="6">
        <v>3958</v>
      </c>
      <c r="F4167" s="4" t="s">
        <v>131</v>
      </c>
    </row>
    <row r="4168" spans="1:6" x14ac:dyDescent="0.25">
      <c r="A4168" s="4" t="s">
        <v>7</v>
      </c>
      <c r="B4168" s="4" t="s">
        <v>11296</v>
      </c>
      <c r="C4168" s="1" t="s">
        <v>11297</v>
      </c>
      <c r="D4168" s="1" t="s">
        <v>11298</v>
      </c>
      <c r="E4168" s="6">
        <v>3958</v>
      </c>
      <c r="F4168" s="4" t="s">
        <v>131</v>
      </c>
    </row>
    <row r="4169" spans="1:6" x14ac:dyDescent="0.25">
      <c r="A4169" s="4" t="s">
        <v>7</v>
      </c>
      <c r="B4169" s="4" t="s">
        <v>11299</v>
      </c>
      <c r="C4169" s="1" t="s">
        <v>11300</v>
      </c>
      <c r="D4169" s="1" t="s">
        <v>11300</v>
      </c>
      <c r="E4169" s="6">
        <v>3958</v>
      </c>
      <c r="F4169" s="4" t="s">
        <v>131</v>
      </c>
    </row>
    <row r="4170" spans="1:6" x14ac:dyDescent="0.25">
      <c r="A4170" s="4" t="s">
        <v>7</v>
      </c>
      <c r="B4170" s="4" t="s">
        <v>11301</v>
      </c>
      <c r="C4170" s="1" t="s">
        <v>11302</v>
      </c>
      <c r="D4170" s="1" t="s">
        <v>11302</v>
      </c>
      <c r="E4170" s="6">
        <v>3528</v>
      </c>
      <c r="F4170" s="4" t="s">
        <v>131</v>
      </c>
    </row>
    <row r="4171" spans="1:6" x14ac:dyDescent="0.25">
      <c r="A4171" s="4" t="s">
        <v>7</v>
      </c>
      <c r="B4171" s="4" t="s">
        <v>11303</v>
      </c>
      <c r="C4171" s="1" t="s">
        <v>11304</v>
      </c>
      <c r="D4171" s="1" t="s">
        <v>11305</v>
      </c>
      <c r="E4171" s="6">
        <v>3958</v>
      </c>
      <c r="F4171" s="4" t="s">
        <v>131</v>
      </c>
    </row>
    <row r="4172" spans="1:6" x14ac:dyDescent="0.25">
      <c r="A4172" s="4" t="s">
        <v>7</v>
      </c>
      <c r="B4172" s="4" t="s">
        <v>11306</v>
      </c>
      <c r="C4172" s="1" t="s">
        <v>11307</v>
      </c>
      <c r="D4172" s="1" t="s">
        <v>11307</v>
      </c>
      <c r="E4172" s="6">
        <v>1538</v>
      </c>
      <c r="F4172" s="4" t="s">
        <v>131</v>
      </c>
    </row>
    <row r="4173" spans="1:6" x14ac:dyDescent="0.25">
      <c r="A4173" s="4" t="s">
        <v>7</v>
      </c>
      <c r="B4173" s="4" t="s">
        <v>11308</v>
      </c>
      <c r="C4173" s="1" t="s">
        <v>11309</v>
      </c>
      <c r="D4173" s="1" t="s">
        <v>11310</v>
      </c>
      <c r="E4173" s="6">
        <v>3958</v>
      </c>
      <c r="F4173" s="4" t="s">
        <v>131</v>
      </c>
    </row>
    <row r="4174" spans="1:6" x14ac:dyDescent="0.25">
      <c r="A4174" s="4" t="s">
        <v>7</v>
      </c>
      <c r="B4174" s="4" t="s">
        <v>11311</v>
      </c>
      <c r="C4174" s="1" t="s">
        <v>11312</v>
      </c>
      <c r="D4174" s="1" t="s">
        <v>11313</v>
      </c>
      <c r="E4174" s="6">
        <v>3958</v>
      </c>
      <c r="F4174" s="4" t="s">
        <v>131</v>
      </c>
    </row>
    <row r="4175" spans="1:6" x14ac:dyDescent="0.25">
      <c r="A4175" s="4" t="s">
        <v>7</v>
      </c>
      <c r="B4175" s="4" t="s">
        <v>11314</v>
      </c>
      <c r="C4175" s="1" t="s">
        <v>11315</v>
      </c>
      <c r="D4175" s="1" t="s">
        <v>11316</v>
      </c>
      <c r="E4175" s="6">
        <v>3958</v>
      </c>
      <c r="F4175" s="4" t="s">
        <v>131</v>
      </c>
    </row>
    <row r="4176" spans="1:6" x14ac:dyDescent="0.25">
      <c r="A4176" s="4" t="s">
        <v>7</v>
      </c>
      <c r="B4176" s="4" t="s">
        <v>11317</v>
      </c>
      <c r="C4176" s="1" t="s">
        <v>11318</v>
      </c>
      <c r="D4176" s="1" t="s">
        <v>11305</v>
      </c>
      <c r="E4176" s="6">
        <v>3958</v>
      </c>
      <c r="F4176" s="4" t="s">
        <v>131</v>
      </c>
    </row>
    <row r="4177" spans="1:6" x14ac:dyDescent="0.25">
      <c r="A4177" s="4" t="s">
        <v>7</v>
      </c>
      <c r="B4177" s="4" t="s">
        <v>11319</v>
      </c>
      <c r="C4177" s="1" t="s">
        <v>11320</v>
      </c>
      <c r="D4177" s="1" t="s">
        <v>11320</v>
      </c>
      <c r="E4177" s="6">
        <v>582</v>
      </c>
      <c r="F4177" s="4" t="s">
        <v>131</v>
      </c>
    </row>
    <row r="4178" spans="1:6" x14ac:dyDescent="0.25">
      <c r="A4178" s="4" t="s">
        <v>7</v>
      </c>
      <c r="B4178" s="4" t="s">
        <v>11321</v>
      </c>
      <c r="C4178" s="1" t="s">
        <v>11322</v>
      </c>
      <c r="D4178" s="1" t="s">
        <v>11323</v>
      </c>
      <c r="E4178" s="6">
        <v>1992</v>
      </c>
      <c r="F4178" s="4" t="s">
        <v>131</v>
      </c>
    </row>
    <row r="4179" spans="1:6" x14ac:dyDescent="0.25">
      <c r="A4179" s="4" t="s">
        <v>7</v>
      </c>
      <c r="B4179" s="4" t="s">
        <v>11324</v>
      </c>
      <c r="C4179" s="1" t="s">
        <v>11325</v>
      </c>
      <c r="D4179" s="1" t="s">
        <v>11325</v>
      </c>
      <c r="E4179" s="6">
        <v>3958</v>
      </c>
      <c r="F4179" s="4" t="s">
        <v>131</v>
      </c>
    </row>
    <row r="4180" spans="1:6" x14ac:dyDescent="0.25">
      <c r="A4180" s="4" t="s">
        <v>7</v>
      </c>
      <c r="B4180" s="4" t="s">
        <v>11326</v>
      </c>
      <c r="C4180" s="1" t="s">
        <v>11327</v>
      </c>
      <c r="D4180" s="1" t="s">
        <v>11328</v>
      </c>
      <c r="E4180" s="6">
        <v>5470</v>
      </c>
    </row>
    <row r="4181" spans="1:6" x14ac:dyDescent="0.25">
      <c r="A4181" s="4" t="s">
        <v>7</v>
      </c>
      <c r="B4181" s="4" t="s">
        <v>11329</v>
      </c>
      <c r="C4181" s="1" t="s">
        <v>11330</v>
      </c>
      <c r="D4181" s="1" t="s">
        <v>11331</v>
      </c>
      <c r="E4181" s="6">
        <v>4011</v>
      </c>
      <c r="F4181" s="4" t="s">
        <v>131</v>
      </c>
    </row>
    <row r="4182" spans="1:6" x14ac:dyDescent="0.25">
      <c r="A4182" s="4" t="s">
        <v>7</v>
      </c>
      <c r="B4182" s="4" t="s">
        <v>11332</v>
      </c>
      <c r="C4182" s="1" t="s">
        <v>11333</v>
      </c>
      <c r="D4182" s="1" t="s">
        <v>11333</v>
      </c>
      <c r="E4182" s="6">
        <v>2052.54</v>
      </c>
      <c r="F4182" s="4" t="s">
        <v>583</v>
      </c>
    </row>
    <row r="4183" spans="1:6" x14ac:dyDescent="0.25">
      <c r="A4183" s="4" t="s">
        <v>7</v>
      </c>
      <c r="B4183" s="4" t="s">
        <v>11334</v>
      </c>
      <c r="C4183" s="1" t="s">
        <v>11335</v>
      </c>
      <c r="D4183" s="1" t="s">
        <v>11335</v>
      </c>
      <c r="E4183" s="6">
        <v>22831.17</v>
      </c>
      <c r="F4183" s="4" t="s">
        <v>131</v>
      </c>
    </row>
    <row r="4184" spans="1:6" x14ac:dyDescent="0.25">
      <c r="A4184" s="4" t="s">
        <v>7</v>
      </c>
      <c r="B4184" s="4" t="s">
        <v>11336</v>
      </c>
      <c r="C4184" s="1" t="s">
        <v>11337</v>
      </c>
      <c r="D4184" s="1" t="s">
        <v>11338</v>
      </c>
      <c r="E4184" s="6">
        <v>27910</v>
      </c>
      <c r="F4184" s="4" t="s">
        <v>131</v>
      </c>
    </row>
    <row r="4185" spans="1:6" x14ac:dyDescent="0.25">
      <c r="A4185" s="4" t="s">
        <v>7</v>
      </c>
      <c r="B4185" s="4" t="s">
        <v>11339</v>
      </c>
      <c r="C4185" s="1" t="s">
        <v>11340</v>
      </c>
      <c r="D4185" s="1" t="s">
        <v>11341</v>
      </c>
      <c r="E4185" s="6">
        <v>7431</v>
      </c>
      <c r="F4185" s="4" t="s">
        <v>131</v>
      </c>
    </row>
    <row r="4186" spans="1:6" x14ac:dyDescent="0.25">
      <c r="A4186" s="4" t="s">
        <v>7</v>
      </c>
      <c r="B4186" s="4" t="s">
        <v>11342</v>
      </c>
      <c r="C4186" s="1" t="s">
        <v>11343</v>
      </c>
      <c r="D4186" s="1" t="s">
        <v>11343</v>
      </c>
      <c r="E4186" s="6">
        <v>1324.68</v>
      </c>
      <c r="F4186" s="4" t="s">
        <v>131</v>
      </c>
    </row>
    <row r="4187" spans="1:6" x14ac:dyDescent="0.25">
      <c r="A4187" s="4" t="s">
        <v>7</v>
      </c>
      <c r="B4187" s="4" t="s">
        <v>11344</v>
      </c>
      <c r="C4187" s="1" t="s">
        <v>11345</v>
      </c>
      <c r="D4187" s="1" t="s">
        <v>11346</v>
      </c>
      <c r="E4187" s="6">
        <v>27910</v>
      </c>
      <c r="F4187" s="4" t="s">
        <v>131</v>
      </c>
    </row>
    <row r="4188" spans="1:6" x14ac:dyDescent="0.25">
      <c r="A4188" s="4" t="s">
        <v>7</v>
      </c>
      <c r="B4188" s="4" t="s">
        <v>11347</v>
      </c>
      <c r="C4188" s="1" t="s">
        <v>11348</v>
      </c>
      <c r="D4188" s="1" t="s">
        <v>11348</v>
      </c>
      <c r="E4188" s="6">
        <v>3861</v>
      </c>
      <c r="F4188" s="4" t="s">
        <v>131</v>
      </c>
    </row>
    <row r="4189" spans="1:6" x14ac:dyDescent="0.25">
      <c r="A4189" s="4" t="s">
        <v>7</v>
      </c>
      <c r="B4189" s="4" t="s">
        <v>11349</v>
      </c>
      <c r="C4189" s="1" t="s">
        <v>11350</v>
      </c>
      <c r="D4189" s="1" t="s">
        <v>11351</v>
      </c>
      <c r="E4189" s="6">
        <v>12881</v>
      </c>
      <c r="F4189" s="4" t="s">
        <v>131</v>
      </c>
    </row>
    <row r="4190" spans="1:6" x14ac:dyDescent="0.25">
      <c r="A4190" s="4" t="s">
        <v>7</v>
      </c>
      <c r="B4190" s="4" t="s">
        <v>11352</v>
      </c>
      <c r="C4190" s="1" t="s">
        <v>11353</v>
      </c>
      <c r="D4190" s="1" t="s">
        <v>11353</v>
      </c>
      <c r="E4190" s="6">
        <v>410</v>
      </c>
      <c r="F4190" s="4" t="s">
        <v>131</v>
      </c>
    </row>
    <row r="4191" spans="1:6" x14ac:dyDescent="0.25">
      <c r="A4191" s="4" t="s">
        <v>7</v>
      </c>
      <c r="B4191" s="4" t="s">
        <v>11354</v>
      </c>
      <c r="C4191" s="1" t="s">
        <v>11355</v>
      </c>
      <c r="D4191" s="1" t="s">
        <v>11355</v>
      </c>
      <c r="E4191" s="6">
        <v>410</v>
      </c>
      <c r="F4191" s="4" t="s">
        <v>131</v>
      </c>
    </row>
    <row r="4192" spans="1:6" x14ac:dyDescent="0.25">
      <c r="A4192" s="4" t="s">
        <v>7</v>
      </c>
      <c r="B4192" s="4" t="s">
        <v>11356</v>
      </c>
      <c r="C4192" s="1" t="s">
        <v>11357</v>
      </c>
      <c r="D4192" s="1" t="s">
        <v>11358</v>
      </c>
      <c r="E4192" s="6">
        <v>6532</v>
      </c>
      <c r="F4192" s="4" t="s">
        <v>131</v>
      </c>
    </row>
    <row r="4193" spans="1:6" x14ac:dyDescent="0.25">
      <c r="A4193" s="4" t="s">
        <v>7</v>
      </c>
      <c r="B4193" s="4" t="s">
        <v>11359</v>
      </c>
      <c r="C4193" s="1" t="s">
        <v>11360</v>
      </c>
      <c r="D4193" s="1" t="s">
        <v>11361</v>
      </c>
      <c r="E4193" s="6">
        <v>27910</v>
      </c>
      <c r="F4193" s="4" t="s">
        <v>131</v>
      </c>
    </row>
    <row r="4194" spans="1:6" x14ac:dyDescent="0.25">
      <c r="A4194" s="4" t="s">
        <v>7</v>
      </c>
      <c r="B4194" s="4" t="s">
        <v>11362</v>
      </c>
      <c r="C4194" s="1" t="s">
        <v>11363</v>
      </c>
      <c r="D4194" s="1" t="s">
        <v>11363</v>
      </c>
      <c r="E4194" s="6">
        <v>1792</v>
      </c>
      <c r="F4194" s="4" t="s">
        <v>131</v>
      </c>
    </row>
    <row r="4195" spans="1:6" x14ac:dyDescent="0.25">
      <c r="A4195" s="4" t="s">
        <v>7</v>
      </c>
      <c r="B4195" s="4" t="s">
        <v>11364</v>
      </c>
      <c r="C4195" s="1" t="s">
        <v>11365</v>
      </c>
      <c r="D4195" s="1" t="s">
        <v>11365</v>
      </c>
      <c r="E4195" s="6">
        <v>4985</v>
      </c>
      <c r="F4195" s="4" t="s">
        <v>131</v>
      </c>
    </row>
    <row r="4196" spans="1:6" x14ac:dyDescent="0.25">
      <c r="A4196" s="4" t="s">
        <v>7</v>
      </c>
      <c r="B4196" s="4" t="s">
        <v>11366</v>
      </c>
      <c r="C4196" s="1" t="s">
        <v>11367</v>
      </c>
      <c r="D4196" s="1" t="s">
        <v>11367</v>
      </c>
      <c r="E4196" s="6">
        <v>4985</v>
      </c>
      <c r="F4196" s="4" t="s">
        <v>131</v>
      </c>
    </row>
    <row r="4197" spans="1:6" x14ac:dyDescent="0.25">
      <c r="A4197" s="4" t="s">
        <v>7</v>
      </c>
      <c r="B4197" s="4" t="s">
        <v>11368</v>
      </c>
      <c r="C4197" s="1" t="s">
        <v>11369</v>
      </c>
      <c r="D4197" s="1" t="s">
        <v>11370</v>
      </c>
      <c r="E4197" s="6">
        <v>27910</v>
      </c>
      <c r="F4197" s="4" t="s">
        <v>131</v>
      </c>
    </row>
    <row r="4198" spans="1:6" x14ac:dyDescent="0.25">
      <c r="A4198" s="4" t="s">
        <v>7</v>
      </c>
      <c r="B4198" s="4" t="s">
        <v>11371</v>
      </c>
      <c r="C4198" s="1" t="s">
        <v>11372</v>
      </c>
      <c r="D4198" s="1" t="s">
        <v>11372</v>
      </c>
      <c r="E4198" s="6">
        <v>8524</v>
      </c>
      <c r="F4198" s="4" t="s">
        <v>131</v>
      </c>
    </row>
    <row r="4199" spans="1:6" x14ac:dyDescent="0.25">
      <c r="A4199" s="4" t="s">
        <v>7</v>
      </c>
      <c r="B4199" s="4" t="s">
        <v>11373</v>
      </c>
      <c r="C4199" s="1" t="s">
        <v>11374</v>
      </c>
      <c r="D4199" s="1" t="s">
        <v>11374</v>
      </c>
      <c r="E4199" s="6">
        <v>834</v>
      </c>
      <c r="F4199" s="4" t="s">
        <v>131</v>
      </c>
    </row>
    <row r="4200" spans="1:6" x14ac:dyDescent="0.25">
      <c r="A4200" s="4" t="s">
        <v>7</v>
      </c>
      <c r="B4200" s="4" t="s">
        <v>11375</v>
      </c>
      <c r="C4200" s="1" t="s">
        <v>11376</v>
      </c>
      <c r="D4200" s="1" t="s">
        <v>11377</v>
      </c>
      <c r="E4200" s="6">
        <v>2646</v>
      </c>
      <c r="F4200" s="4" t="s">
        <v>131</v>
      </c>
    </row>
    <row r="4201" spans="1:6" x14ac:dyDescent="0.25">
      <c r="A4201" s="4" t="s">
        <v>7</v>
      </c>
      <c r="B4201" s="4" t="s">
        <v>11378</v>
      </c>
      <c r="C4201" s="1" t="s">
        <v>11379</v>
      </c>
      <c r="D4201" s="1" t="s">
        <v>11379</v>
      </c>
      <c r="E4201" s="6">
        <v>3958</v>
      </c>
      <c r="F4201" s="4" t="s">
        <v>131</v>
      </c>
    </row>
    <row r="4202" spans="1:6" x14ac:dyDescent="0.25">
      <c r="A4202" s="4" t="s">
        <v>7</v>
      </c>
      <c r="B4202" s="4" t="s">
        <v>11380</v>
      </c>
      <c r="C4202" s="1" t="s">
        <v>11381</v>
      </c>
      <c r="D4202" s="1" t="s">
        <v>11381</v>
      </c>
      <c r="E4202" s="6">
        <v>3958</v>
      </c>
      <c r="F4202" s="4" t="s">
        <v>131</v>
      </c>
    </row>
    <row r="4203" spans="1:6" x14ac:dyDescent="0.25">
      <c r="A4203" s="4" t="s">
        <v>7</v>
      </c>
      <c r="B4203" s="4" t="s">
        <v>11382</v>
      </c>
      <c r="C4203" s="1" t="s">
        <v>11383</v>
      </c>
      <c r="D4203" s="1" t="s">
        <v>11383</v>
      </c>
      <c r="E4203" s="6">
        <v>3958</v>
      </c>
      <c r="F4203" s="4" t="s">
        <v>131</v>
      </c>
    </row>
    <row r="4204" spans="1:6" x14ac:dyDescent="0.25">
      <c r="A4204" s="4" t="s">
        <v>7</v>
      </c>
      <c r="B4204" s="4" t="s">
        <v>11384</v>
      </c>
      <c r="C4204" s="1" t="s">
        <v>11385</v>
      </c>
      <c r="D4204" s="1" t="s">
        <v>11385</v>
      </c>
      <c r="E4204" s="6">
        <v>3958</v>
      </c>
      <c r="F4204" s="4" t="s">
        <v>131</v>
      </c>
    </row>
    <row r="4205" spans="1:6" x14ac:dyDescent="0.25">
      <c r="A4205" s="4" t="s">
        <v>7</v>
      </c>
      <c r="B4205" s="4" t="s">
        <v>11386</v>
      </c>
      <c r="C4205" s="1" t="s">
        <v>11387</v>
      </c>
      <c r="D4205" s="1" t="s">
        <v>11387</v>
      </c>
      <c r="E4205" s="6">
        <v>3958</v>
      </c>
      <c r="F4205" s="4" t="s">
        <v>131</v>
      </c>
    </row>
    <row r="4206" spans="1:6" x14ac:dyDescent="0.25">
      <c r="A4206" s="4" t="s">
        <v>7</v>
      </c>
      <c r="B4206" s="4" t="s">
        <v>11388</v>
      </c>
      <c r="C4206" s="1" t="s">
        <v>11389</v>
      </c>
      <c r="D4206" s="1" t="s">
        <v>11389</v>
      </c>
      <c r="E4206" s="6">
        <v>3958</v>
      </c>
      <c r="F4206" s="4" t="s">
        <v>131</v>
      </c>
    </row>
    <row r="4207" spans="1:6" x14ac:dyDescent="0.25">
      <c r="A4207" s="4" t="s">
        <v>7</v>
      </c>
      <c r="B4207" s="4" t="s">
        <v>11390</v>
      </c>
      <c r="C4207" s="1" t="s">
        <v>11391</v>
      </c>
      <c r="D4207" s="1" t="s">
        <v>11391</v>
      </c>
      <c r="E4207" s="6">
        <v>3958</v>
      </c>
      <c r="F4207" s="4" t="s">
        <v>131</v>
      </c>
    </row>
    <row r="4208" spans="1:6" x14ac:dyDescent="0.25">
      <c r="A4208" s="4" t="s">
        <v>7</v>
      </c>
      <c r="B4208" s="4" t="s">
        <v>11392</v>
      </c>
      <c r="C4208" s="1" t="s">
        <v>11393</v>
      </c>
      <c r="D4208" s="1" t="s">
        <v>11394</v>
      </c>
      <c r="E4208" s="6">
        <v>47615</v>
      </c>
    </row>
    <row r="4209" spans="1:6" x14ac:dyDescent="0.25">
      <c r="A4209" s="4" t="s">
        <v>7</v>
      </c>
      <c r="B4209" s="4" t="s">
        <v>11395</v>
      </c>
      <c r="C4209" s="1" t="s">
        <v>11396</v>
      </c>
      <c r="D4209" s="1" t="s">
        <v>11396</v>
      </c>
      <c r="E4209" s="6">
        <v>3958</v>
      </c>
      <c r="F4209" s="4" t="s">
        <v>131</v>
      </c>
    </row>
    <row r="4210" spans="1:6" x14ac:dyDescent="0.25">
      <c r="A4210" s="4" t="s">
        <v>7</v>
      </c>
      <c r="B4210" s="4" t="s">
        <v>11397</v>
      </c>
      <c r="C4210" s="1" t="s">
        <v>11398</v>
      </c>
      <c r="D4210" s="1" t="s">
        <v>11398</v>
      </c>
      <c r="E4210" s="6">
        <v>715</v>
      </c>
      <c r="F4210" s="4" t="s">
        <v>131</v>
      </c>
    </row>
    <row r="4211" spans="1:6" x14ac:dyDescent="0.25">
      <c r="A4211" s="4" t="s">
        <v>7</v>
      </c>
      <c r="B4211" s="4" t="s">
        <v>11399</v>
      </c>
      <c r="C4211" s="1" t="s">
        <v>11400</v>
      </c>
      <c r="D4211" s="1" t="s">
        <v>11400</v>
      </c>
      <c r="E4211" s="6">
        <v>3958</v>
      </c>
      <c r="F4211" s="4" t="s">
        <v>131</v>
      </c>
    </row>
    <row r="4212" spans="1:6" x14ac:dyDescent="0.25">
      <c r="A4212" s="4" t="s">
        <v>7</v>
      </c>
      <c r="B4212" s="4" t="s">
        <v>11401</v>
      </c>
      <c r="C4212" s="1" t="s">
        <v>11402</v>
      </c>
      <c r="D4212" s="1" t="s">
        <v>11402</v>
      </c>
      <c r="E4212" s="6">
        <v>3958</v>
      </c>
      <c r="F4212" s="4" t="s">
        <v>131</v>
      </c>
    </row>
    <row r="4213" spans="1:6" x14ac:dyDescent="0.25">
      <c r="A4213" s="4" t="s">
        <v>7</v>
      </c>
      <c r="B4213" s="4" t="s">
        <v>11403</v>
      </c>
      <c r="C4213" s="1" t="s">
        <v>11404</v>
      </c>
      <c r="D4213" s="1" t="s">
        <v>11404</v>
      </c>
      <c r="E4213" s="6">
        <v>3958</v>
      </c>
      <c r="F4213" s="4" t="s">
        <v>131</v>
      </c>
    </row>
    <row r="4214" spans="1:6" x14ac:dyDescent="0.25">
      <c r="A4214" s="4" t="s">
        <v>7</v>
      </c>
      <c r="B4214" s="4" t="s">
        <v>11405</v>
      </c>
      <c r="C4214" s="1" t="s">
        <v>11406</v>
      </c>
      <c r="D4214" s="1" t="s">
        <v>11406</v>
      </c>
      <c r="E4214" s="6">
        <v>3958</v>
      </c>
      <c r="F4214" s="4" t="s">
        <v>131</v>
      </c>
    </row>
    <row r="4215" spans="1:6" x14ac:dyDescent="0.25">
      <c r="A4215" s="4" t="s">
        <v>7</v>
      </c>
      <c r="B4215" s="4" t="s">
        <v>11407</v>
      </c>
      <c r="C4215" s="1" t="s">
        <v>11408</v>
      </c>
      <c r="D4215" s="1" t="s">
        <v>11409</v>
      </c>
      <c r="E4215" s="6">
        <v>3958</v>
      </c>
      <c r="F4215" s="4" t="s">
        <v>131</v>
      </c>
    </row>
    <row r="4216" spans="1:6" x14ac:dyDescent="0.25">
      <c r="A4216" s="4" t="s">
        <v>7</v>
      </c>
      <c r="B4216" s="4" t="s">
        <v>11410</v>
      </c>
      <c r="C4216" s="1" t="s">
        <v>11411</v>
      </c>
      <c r="D4216" s="1" t="s">
        <v>11412</v>
      </c>
      <c r="E4216" s="6">
        <v>482</v>
      </c>
    </row>
    <row r="4217" spans="1:6" x14ac:dyDescent="0.25">
      <c r="A4217" s="4" t="s">
        <v>7</v>
      </c>
      <c r="B4217" s="4" t="s">
        <v>11413</v>
      </c>
      <c r="C4217" s="1" t="s">
        <v>11414</v>
      </c>
      <c r="D4217" s="1" t="s">
        <v>11415</v>
      </c>
      <c r="E4217" s="6">
        <v>3958</v>
      </c>
      <c r="F4217" s="4" t="s">
        <v>131</v>
      </c>
    </row>
    <row r="4218" spans="1:6" x14ac:dyDescent="0.25">
      <c r="A4218" s="4" t="s">
        <v>7</v>
      </c>
      <c r="B4218" s="4" t="s">
        <v>11416</v>
      </c>
      <c r="C4218" s="1" t="s">
        <v>11417</v>
      </c>
      <c r="D4218" s="1" t="s">
        <v>11418</v>
      </c>
      <c r="E4218" s="6">
        <v>3958</v>
      </c>
      <c r="F4218" s="4" t="s">
        <v>131</v>
      </c>
    </row>
    <row r="4219" spans="1:6" x14ac:dyDescent="0.25">
      <c r="A4219" s="4" t="s">
        <v>7</v>
      </c>
      <c r="B4219" s="4" t="s">
        <v>11419</v>
      </c>
      <c r="C4219" s="1" t="s">
        <v>11420</v>
      </c>
      <c r="D4219" s="1" t="s">
        <v>11420</v>
      </c>
      <c r="E4219" s="6">
        <v>588</v>
      </c>
      <c r="F4219" s="4" t="s">
        <v>131</v>
      </c>
    </row>
    <row r="4220" spans="1:6" x14ac:dyDescent="0.25">
      <c r="A4220" s="4" t="s">
        <v>7</v>
      </c>
      <c r="B4220" s="4" t="s">
        <v>11421</v>
      </c>
      <c r="C4220" s="1" t="s">
        <v>11422</v>
      </c>
      <c r="D4220" s="1" t="s">
        <v>11422</v>
      </c>
      <c r="E4220" s="6">
        <v>3958</v>
      </c>
      <c r="F4220" s="4" t="s">
        <v>131</v>
      </c>
    </row>
    <row r="4221" spans="1:6" x14ac:dyDescent="0.25">
      <c r="A4221" s="4" t="s">
        <v>7</v>
      </c>
      <c r="B4221" s="4" t="s">
        <v>11423</v>
      </c>
      <c r="C4221" s="1" t="s">
        <v>11424</v>
      </c>
      <c r="D4221" s="1" t="s">
        <v>11425</v>
      </c>
      <c r="E4221" s="6">
        <v>3958</v>
      </c>
      <c r="F4221" s="4" t="s">
        <v>131</v>
      </c>
    </row>
    <row r="4222" spans="1:6" x14ac:dyDescent="0.25">
      <c r="A4222" s="4" t="s">
        <v>7</v>
      </c>
      <c r="B4222" s="4" t="s">
        <v>11426</v>
      </c>
      <c r="C4222" s="1" t="s">
        <v>11427</v>
      </c>
      <c r="D4222" s="1" t="s">
        <v>11427</v>
      </c>
      <c r="E4222" s="6">
        <v>1739</v>
      </c>
    </row>
    <row r="4223" spans="1:6" x14ac:dyDescent="0.25">
      <c r="A4223" s="4" t="s">
        <v>7</v>
      </c>
      <c r="B4223" s="4" t="s">
        <v>11428</v>
      </c>
      <c r="C4223" s="1" t="s">
        <v>11429</v>
      </c>
      <c r="D4223" s="1" t="s">
        <v>11430</v>
      </c>
      <c r="E4223" s="6">
        <v>68</v>
      </c>
    </row>
    <row r="4224" spans="1:6" x14ac:dyDescent="0.25">
      <c r="A4224" s="4" t="s">
        <v>7</v>
      </c>
      <c r="B4224" s="4" t="s">
        <v>11431</v>
      </c>
      <c r="C4224" s="1" t="s">
        <v>11432</v>
      </c>
      <c r="D4224" s="1" t="s">
        <v>11433</v>
      </c>
      <c r="E4224" s="6">
        <v>12250</v>
      </c>
      <c r="F4224" s="4" t="s">
        <v>131</v>
      </c>
    </row>
    <row r="4225" spans="1:6" x14ac:dyDescent="0.25">
      <c r="A4225" s="4" t="s">
        <v>7</v>
      </c>
      <c r="B4225" s="4" t="s">
        <v>11434</v>
      </c>
      <c r="C4225" s="1" t="s">
        <v>11435</v>
      </c>
      <c r="D4225" s="1" t="s">
        <v>11436</v>
      </c>
      <c r="E4225" s="6">
        <v>3958</v>
      </c>
    </row>
    <row r="4226" spans="1:6" x14ac:dyDescent="0.25">
      <c r="A4226" s="4" t="s">
        <v>7</v>
      </c>
      <c r="B4226" s="4" t="s">
        <v>11437</v>
      </c>
      <c r="C4226" s="1" t="s">
        <v>11438</v>
      </c>
      <c r="D4226" s="1" t="s">
        <v>11439</v>
      </c>
      <c r="E4226" s="6">
        <v>29277</v>
      </c>
      <c r="F4226" s="4" t="s">
        <v>131</v>
      </c>
    </row>
    <row r="4227" spans="1:6" x14ac:dyDescent="0.25">
      <c r="A4227" s="4" t="s">
        <v>7</v>
      </c>
      <c r="B4227" s="4" t="s">
        <v>11440</v>
      </c>
      <c r="C4227" s="1" t="s">
        <v>11441</v>
      </c>
      <c r="D4227" s="1" t="s">
        <v>11442</v>
      </c>
      <c r="E4227" s="6">
        <v>50318</v>
      </c>
    </row>
    <row r="4228" spans="1:6" x14ac:dyDescent="0.25">
      <c r="A4228" s="4" t="s">
        <v>7</v>
      </c>
      <c r="B4228" s="4" t="s">
        <v>11443</v>
      </c>
      <c r="C4228" s="1" t="s">
        <v>11444</v>
      </c>
      <c r="D4228" s="1" t="s">
        <v>11445</v>
      </c>
      <c r="E4228" s="6">
        <v>5218</v>
      </c>
    </row>
    <row r="4229" spans="1:6" x14ac:dyDescent="0.25">
      <c r="A4229" s="4" t="s">
        <v>7</v>
      </c>
      <c r="B4229" s="4" t="s">
        <v>11446</v>
      </c>
      <c r="C4229" s="1" t="s">
        <v>11447</v>
      </c>
      <c r="D4229" s="1" t="s">
        <v>11448</v>
      </c>
      <c r="E4229" s="6">
        <v>3043</v>
      </c>
      <c r="F4229" s="4" t="s">
        <v>131</v>
      </c>
    </row>
    <row r="4230" spans="1:6" x14ac:dyDescent="0.25">
      <c r="A4230" s="4" t="s">
        <v>7</v>
      </c>
      <c r="B4230" s="4" t="s">
        <v>11449</v>
      </c>
      <c r="C4230" s="1" t="s">
        <v>11450</v>
      </c>
      <c r="D4230" s="1" t="s">
        <v>11451</v>
      </c>
      <c r="E4230" s="6">
        <v>11177</v>
      </c>
    </row>
    <row r="4231" spans="1:6" x14ac:dyDescent="0.25">
      <c r="A4231" s="4" t="s">
        <v>7</v>
      </c>
      <c r="B4231" s="4" t="s">
        <v>11452</v>
      </c>
      <c r="C4231" s="1" t="s">
        <v>11453</v>
      </c>
      <c r="D4231" s="1" t="s">
        <v>11454</v>
      </c>
      <c r="E4231" s="6">
        <v>49436</v>
      </c>
    </row>
    <row r="4232" spans="1:6" x14ac:dyDescent="0.25">
      <c r="A4232" s="4" t="s">
        <v>7</v>
      </c>
      <c r="B4232" s="4" t="s">
        <v>11455</v>
      </c>
      <c r="C4232" s="1" t="s">
        <v>11456</v>
      </c>
      <c r="D4232" s="1" t="s">
        <v>11457</v>
      </c>
      <c r="E4232" s="6">
        <v>15229</v>
      </c>
      <c r="F4232" s="4" t="s">
        <v>131</v>
      </c>
    </row>
    <row r="4233" spans="1:6" x14ac:dyDescent="0.25">
      <c r="A4233" s="4" t="s">
        <v>7</v>
      </c>
      <c r="B4233" s="4" t="s">
        <v>11458</v>
      </c>
      <c r="C4233" s="1" t="s">
        <v>11459</v>
      </c>
      <c r="D4233" s="1" t="s">
        <v>11460</v>
      </c>
      <c r="E4233" s="6">
        <v>35458</v>
      </c>
    </row>
    <row r="4234" spans="1:6" x14ac:dyDescent="0.25">
      <c r="A4234" s="4" t="s">
        <v>7</v>
      </c>
      <c r="B4234" s="4" t="s">
        <v>11461</v>
      </c>
      <c r="C4234" s="1" t="s">
        <v>11462</v>
      </c>
      <c r="D4234" s="1" t="s">
        <v>11463</v>
      </c>
      <c r="E4234" s="6">
        <v>20390</v>
      </c>
      <c r="F4234" s="4" t="s">
        <v>131</v>
      </c>
    </row>
    <row r="4235" spans="1:6" x14ac:dyDescent="0.25">
      <c r="A4235" s="4" t="s">
        <v>7</v>
      </c>
      <c r="B4235" s="4" t="s">
        <v>11464</v>
      </c>
      <c r="C4235" s="1" t="s">
        <v>11465</v>
      </c>
      <c r="D4235" s="1" t="s">
        <v>11466</v>
      </c>
      <c r="E4235" s="6">
        <v>96445</v>
      </c>
      <c r="F4235" s="4" t="s">
        <v>131</v>
      </c>
    </row>
    <row r="4236" spans="1:6" x14ac:dyDescent="0.25">
      <c r="A4236" s="4" t="s">
        <v>7</v>
      </c>
      <c r="B4236" s="4" t="s">
        <v>11467</v>
      </c>
      <c r="C4236" s="1" t="s">
        <v>11468</v>
      </c>
      <c r="D4236" s="1" t="s">
        <v>11469</v>
      </c>
      <c r="E4236" s="6">
        <v>3958</v>
      </c>
      <c r="F4236" s="4" t="s">
        <v>131</v>
      </c>
    </row>
    <row r="4237" spans="1:6" x14ac:dyDescent="0.25">
      <c r="A4237" s="4" t="s">
        <v>7</v>
      </c>
      <c r="B4237" s="4" t="s">
        <v>11470</v>
      </c>
      <c r="C4237" s="1" t="s">
        <v>11471</v>
      </c>
      <c r="D4237" s="1" t="s">
        <v>11472</v>
      </c>
      <c r="E4237" s="6">
        <v>21446</v>
      </c>
      <c r="F4237" s="4" t="s">
        <v>131</v>
      </c>
    </row>
    <row r="4238" spans="1:6" x14ac:dyDescent="0.25">
      <c r="A4238" s="4" t="s">
        <v>7</v>
      </c>
      <c r="B4238" s="4" t="s">
        <v>11473</v>
      </c>
      <c r="C4238" s="1" t="s">
        <v>11474</v>
      </c>
      <c r="D4238" s="1" t="s">
        <v>11475</v>
      </c>
      <c r="E4238" s="6">
        <v>38971</v>
      </c>
      <c r="F4238" s="4" t="s">
        <v>131</v>
      </c>
    </row>
    <row r="4239" spans="1:6" x14ac:dyDescent="0.25">
      <c r="A4239" s="4" t="s">
        <v>7</v>
      </c>
      <c r="B4239" s="4" t="s">
        <v>11476</v>
      </c>
      <c r="C4239" s="1" t="s">
        <v>11477</v>
      </c>
      <c r="D4239" s="1" t="s">
        <v>11478</v>
      </c>
      <c r="E4239" s="6">
        <v>18542</v>
      </c>
      <c r="F4239" s="4" t="s">
        <v>131</v>
      </c>
    </row>
    <row r="4240" spans="1:6" x14ac:dyDescent="0.25">
      <c r="A4240" s="4" t="s">
        <v>7</v>
      </c>
      <c r="B4240" s="4" t="s">
        <v>11479</v>
      </c>
      <c r="C4240" s="1" t="s">
        <v>11480</v>
      </c>
      <c r="D4240" s="1" t="s">
        <v>11481</v>
      </c>
      <c r="E4240" s="6">
        <v>3958</v>
      </c>
    </row>
    <row r="4241" spans="1:6" x14ac:dyDescent="0.25">
      <c r="A4241" s="4" t="s">
        <v>7</v>
      </c>
      <c r="B4241" s="4" t="s">
        <v>11482</v>
      </c>
      <c r="C4241" s="1" t="s">
        <v>11483</v>
      </c>
      <c r="D4241" s="1" t="s">
        <v>11484</v>
      </c>
      <c r="E4241" s="6">
        <v>26530</v>
      </c>
    </row>
    <row r="4242" spans="1:6" x14ac:dyDescent="0.25">
      <c r="A4242" s="4" t="s">
        <v>7</v>
      </c>
      <c r="B4242" s="4" t="s">
        <v>11485</v>
      </c>
      <c r="C4242" s="1" t="s">
        <v>11486</v>
      </c>
      <c r="D4242" s="1" t="s">
        <v>11487</v>
      </c>
      <c r="E4242" s="6">
        <v>44448</v>
      </c>
      <c r="F4242" s="4" t="s">
        <v>131</v>
      </c>
    </row>
    <row r="4243" spans="1:6" x14ac:dyDescent="0.25">
      <c r="A4243" s="4" t="s">
        <v>7</v>
      </c>
      <c r="B4243" s="4" t="s">
        <v>11488</v>
      </c>
      <c r="C4243" s="1" t="s">
        <v>11489</v>
      </c>
      <c r="D4243" s="1" t="s">
        <v>11490</v>
      </c>
      <c r="E4243" s="6">
        <v>59149</v>
      </c>
      <c r="F4243" s="4" t="s">
        <v>131</v>
      </c>
    </row>
    <row r="4244" spans="1:6" x14ac:dyDescent="0.25">
      <c r="A4244" s="4" t="s">
        <v>7</v>
      </c>
      <c r="B4244" s="4" t="s">
        <v>11491</v>
      </c>
      <c r="C4244" s="1" t="s">
        <v>11492</v>
      </c>
      <c r="D4244" s="1" t="s">
        <v>11492</v>
      </c>
      <c r="E4244" s="6">
        <v>3958</v>
      </c>
      <c r="F4244" s="4" t="s">
        <v>131</v>
      </c>
    </row>
    <row r="4245" spans="1:6" x14ac:dyDescent="0.25">
      <c r="A4245" s="4" t="s">
        <v>7</v>
      </c>
      <c r="B4245" s="4" t="s">
        <v>11493</v>
      </c>
      <c r="C4245" s="1" t="s">
        <v>11494</v>
      </c>
      <c r="D4245" s="1" t="s">
        <v>11495</v>
      </c>
      <c r="E4245" s="6">
        <v>41976</v>
      </c>
      <c r="F4245" s="4" t="s">
        <v>131</v>
      </c>
    </row>
    <row r="4246" spans="1:6" x14ac:dyDescent="0.25">
      <c r="A4246" s="4" t="s">
        <v>7</v>
      </c>
      <c r="B4246" s="4" t="s">
        <v>11496</v>
      </c>
      <c r="C4246" s="1" t="s">
        <v>11497</v>
      </c>
      <c r="D4246" s="1" t="s">
        <v>11498</v>
      </c>
      <c r="E4246" s="6">
        <v>41364</v>
      </c>
      <c r="F4246" s="4" t="s">
        <v>131</v>
      </c>
    </row>
    <row r="4247" spans="1:6" x14ac:dyDescent="0.25">
      <c r="A4247" s="4" t="s">
        <v>7</v>
      </c>
      <c r="B4247" s="4" t="s">
        <v>11499</v>
      </c>
      <c r="C4247" s="1" t="s">
        <v>11500</v>
      </c>
      <c r="D4247" s="1" t="s">
        <v>11501</v>
      </c>
      <c r="E4247" s="6">
        <v>3958</v>
      </c>
      <c r="F4247" s="4" t="s">
        <v>131</v>
      </c>
    </row>
    <row r="4248" spans="1:6" x14ac:dyDescent="0.25">
      <c r="A4248" s="4" t="s">
        <v>7</v>
      </c>
      <c r="B4248" s="4" t="s">
        <v>11502</v>
      </c>
      <c r="C4248" s="1" t="s">
        <v>11503</v>
      </c>
      <c r="D4248" s="1" t="s">
        <v>11504</v>
      </c>
      <c r="E4248" s="6">
        <v>34277.11</v>
      </c>
      <c r="F4248" s="4" t="s">
        <v>131</v>
      </c>
    </row>
    <row r="4249" spans="1:6" x14ac:dyDescent="0.25">
      <c r="A4249" s="4" t="s">
        <v>7</v>
      </c>
      <c r="B4249" s="4" t="s">
        <v>11505</v>
      </c>
      <c r="C4249" s="1" t="s">
        <v>11506</v>
      </c>
      <c r="D4249" s="1" t="s">
        <v>11507</v>
      </c>
      <c r="E4249" s="6">
        <v>17478</v>
      </c>
      <c r="F4249" s="4" t="s">
        <v>131</v>
      </c>
    </row>
    <row r="4250" spans="1:6" x14ac:dyDescent="0.25">
      <c r="A4250" s="4" t="s">
        <v>7</v>
      </c>
      <c r="B4250" s="4" t="s">
        <v>11508</v>
      </c>
      <c r="C4250" s="1" t="s">
        <v>11509</v>
      </c>
      <c r="D4250" s="1" t="s">
        <v>11510</v>
      </c>
      <c r="E4250" s="6">
        <v>9779</v>
      </c>
      <c r="F4250" s="4" t="s">
        <v>131</v>
      </c>
    </row>
    <row r="4251" spans="1:6" x14ac:dyDescent="0.25">
      <c r="A4251" s="4" t="s">
        <v>7</v>
      </c>
      <c r="B4251" s="4" t="s">
        <v>11511</v>
      </c>
      <c r="C4251" s="1" t="s">
        <v>11512</v>
      </c>
      <c r="D4251" s="1" t="s">
        <v>11512</v>
      </c>
      <c r="E4251" s="6">
        <v>3958</v>
      </c>
      <c r="F4251" s="4" t="s">
        <v>131</v>
      </c>
    </row>
    <row r="4252" spans="1:6" x14ac:dyDescent="0.25">
      <c r="A4252" s="4" t="s">
        <v>7</v>
      </c>
      <c r="B4252" s="4" t="s">
        <v>11513</v>
      </c>
      <c r="C4252" s="1" t="s">
        <v>11514</v>
      </c>
      <c r="D4252" s="1" t="s">
        <v>11515</v>
      </c>
      <c r="E4252" s="6">
        <v>13634</v>
      </c>
      <c r="F4252" s="4" t="s">
        <v>131</v>
      </c>
    </row>
    <row r="4253" spans="1:6" x14ac:dyDescent="0.25">
      <c r="A4253" s="4" t="s">
        <v>7</v>
      </c>
      <c r="B4253" s="4" t="s">
        <v>11516</v>
      </c>
      <c r="C4253" s="1" t="s">
        <v>11517</v>
      </c>
      <c r="D4253" s="1" t="s">
        <v>11518</v>
      </c>
      <c r="E4253" s="6">
        <v>3958</v>
      </c>
    </row>
    <row r="4254" spans="1:6" x14ac:dyDescent="0.25">
      <c r="A4254" s="4" t="s">
        <v>7</v>
      </c>
      <c r="B4254" s="4" t="s">
        <v>11519</v>
      </c>
      <c r="C4254" s="1" t="s">
        <v>11520</v>
      </c>
      <c r="D4254" s="1" t="s">
        <v>11521</v>
      </c>
      <c r="E4254" s="6">
        <v>59335</v>
      </c>
      <c r="F4254" s="4" t="s">
        <v>131</v>
      </c>
    </row>
    <row r="4255" spans="1:6" x14ac:dyDescent="0.25">
      <c r="A4255" s="4" t="s">
        <v>7</v>
      </c>
      <c r="B4255" s="4" t="s">
        <v>11522</v>
      </c>
      <c r="C4255" s="1" t="s">
        <v>11523</v>
      </c>
      <c r="D4255" s="1" t="s">
        <v>11524</v>
      </c>
      <c r="E4255" s="6">
        <v>3958</v>
      </c>
      <c r="F4255" s="4" t="s">
        <v>131</v>
      </c>
    </row>
    <row r="4256" spans="1:6" x14ac:dyDescent="0.25">
      <c r="A4256" s="4" t="s">
        <v>7</v>
      </c>
      <c r="B4256" s="4" t="s">
        <v>11525</v>
      </c>
      <c r="C4256" s="1" t="s">
        <v>11526</v>
      </c>
      <c r="D4256" s="1" t="s">
        <v>11527</v>
      </c>
      <c r="E4256" s="6">
        <v>29424</v>
      </c>
    </row>
    <row r="4257" spans="1:6" x14ac:dyDescent="0.25">
      <c r="A4257" s="4" t="s">
        <v>7</v>
      </c>
      <c r="B4257" s="4" t="s">
        <v>11528</v>
      </c>
      <c r="C4257" s="1" t="s">
        <v>11529</v>
      </c>
      <c r="D4257" s="1" t="s">
        <v>11530</v>
      </c>
      <c r="E4257" s="6">
        <v>16947</v>
      </c>
      <c r="F4257" s="4" t="s">
        <v>131</v>
      </c>
    </row>
    <row r="4258" spans="1:6" x14ac:dyDescent="0.25">
      <c r="A4258" s="4" t="s">
        <v>7</v>
      </c>
      <c r="B4258" s="4" t="s">
        <v>11531</v>
      </c>
      <c r="C4258" s="1" t="s">
        <v>11532</v>
      </c>
      <c r="D4258" s="1" t="s">
        <v>11533</v>
      </c>
      <c r="E4258" s="6">
        <v>3666</v>
      </c>
      <c r="F4258" s="4" t="s">
        <v>131</v>
      </c>
    </row>
    <row r="4259" spans="1:6" x14ac:dyDescent="0.25">
      <c r="A4259" s="4" t="s">
        <v>7</v>
      </c>
      <c r="B4259" s="4" t="s">
        <v>11534</v>
      </c>
      <c r="C4259" s="1" t="s">
        <v>11535</v>
      </c>
      <c r="D4259" s="1" t="s">
        <v>11535</v>
      </c>
      <c r="E4259" s="6">
        <v>10899</v>
      </c>
      <c r="F4259" s="4" t="s">
        <v>131</v>
      </c>
    </row>
    <row r="4260" spans="1:6" x14ac:dyDescent="0.25">
      <c r="A4260" s="4" t="s">
        <v>7</v>
      </c>
      <c r="B4260" s="4" t="s">
        <v>11536</v>
      </c>
      <c r="C4260" s="1" t="s">
        <v>11537</v>
      </c>
      <c r="D4260" s="1" t="s">
        <v>11538</v>
      </c>
      <c r="E4260" s="6">
        <v>10899</v>
      </c>
      <c r="F4260" s="4" t="s">
        <v>131</v>
      </c>
    </row>
    <row r="4261" spans="1:6" x14ac:dyDescent="0.25">
      <c r="A4261" s="4" t="s">
        <v>7</v>
      </c>
      <c r="B4261" s="4" t="s">
        <v>11539</v>
      </c>
      <c r="C4261" s="1" t="s">
        <v>11540</v>
      </c>
      <c r="D4261" s="1" t="s">
        <v>1280</v>
      </c>
      <c r="E4261" s="6">
        <v>950</v>
      </c>
    </row>
    <row r="4262" spans="1:6" x14ac:dyDescent="0.25">
      <c r="A4262" s="4" t="s">
        <v>7</v>
      </c>
      <c r="B4262" s="4" t="s">
        <v>11541</v>
      </c>
      <c r="C4262" s="1" t="s">
        <v>11542</v>
      </c>
      <c r="D4262" s="1" t="s">
        <v>11543</v>
      </c>
      <c r="E4262" s="6">
        <v>3958</v>
      </c>
    </row>
    <row r="4263" spans="1:6" x14ac:dyDescent="0.25">
      <c r="A4263" s="4" t="s">
        <v>7</v>
      </c>
      <c r="B4263" s="4" t="s">
        <v>11544</v>
      </c>
      <c r="C4263" s="1" t="s">
        <v>11545</v>
      </c>
      <c r="D4263" s="1" t="s">
        <v>11546</v>
      </c>
      <c r="E4263" s="6">
        <v>7981</v>
      </c>
    </row>
    <row r="4264" spans="1:6" x14ac:dyDescent="0.25">
      <c r="A4264" s="4" t="s">
        <v>7</v>
      </c>
      <c r="B4264" s="4" t="s">
        <v>11547</v>
      </c>
      <c r="C4264" s="1" t="s">
        <v>11548</v>
      </c>
      <c r="D4264" s="1" t="s">
        <v>11548</v>
      </c>
      <c r="E4264" s="6">
        <v>3958</v>
      </c>
      <c r="F4264" s="4" t="s">
        <v>131</v>
      </c>
    </row>
    <row r="4265" spans="1:6" x14ac:dyDescent="0.25">
      <c r="A4265" s="4" t="s">
        <v>7</v>
      </c>
      <c r="B4265" s="4" t="s">
        <v>11549</v>
      </c>
      <c r="C4265" s="1" t="s">
        <v>11550</v>
      </c>
      <c r="D4265" s="1" t="s">
        <v>11550</v>
      </c>
      <c r="E4265" s="6">
        <v>406</v>
      </c>
      <c r="F4265" s="4" t="s">
        <v>131</v>
      </c>
    </row>
    <row r="4266" spans="1:6" x14ac:dyDescent="0.25">
      <c r="A4266" s="4" t="s">
        <v>7</v>
      </c>
      <c r="B4266" s="4" t="s">
        <v>11551</v>
      </c>
      <c r="C4266" s="1" t="s">
        <v>11552</v>
      </c>
      <c r="D4266" s="1" t="s">
        <v>11553</v>
      </c>
      <c r="E4266" s="6">
        <v>5546.39</v>
      </c>
      <c r="F4266" s="4" t="s">
        <v>131</v>
      </c>
    </row>
    <row r="4267" spans="1:6" x14ac:dyDescent="0.25">
      <c r="A4267" s="4" t="s">
        <v>7</v>
      </c>
      <c r="B4267" s="4" t="s">
        <v>11554</v>
      </c>
      <c r="C4267" s="1" t="s">
        <v>11555</v>
      </c>
      <c r="D4267" s="1" t="s">
        <v>11556</v>
      </c>
      <c r="E4267" s="6">
        <v>3958</v>
      </c>
      <c r="F4267" s="4" t="s">
        <v>131</v>
      </c>
    </row>
    <row r="4268" spans="1:6" x14ac:dyDescent="0.25">
      <c r="A4268" s="4" t="s">
        <v>7</v>
      </c>
      <c r="B4268" s="4" t="s">
        <v>11557</v>
      </c>
      <c r="C4268" s="1" t="s">
        <v>11558</v>
      </c>
      <c r="D4268" s="1" t="s">
        <v>11559</v>
      </c>
      <c r="E4268" s="6">
        <v>3958</v>
      </c>
      <c r="F4268" s="4" t="s">
        <v>131</v>
      </c>
    </row>
    <row r="4269" spans="1:6" x14ac:dyDescent="0.25">
      <c r="A4269" s="4" t="s">
        <v>7</v>
      </c>
      <c r="B4269" s="4" t="s">
        <v>11560</v>
      </c>
      <c r="C4269" s="1" t="s">
        <v>11561</v>
      </c>
      <c r="D4269" s="1" t="s">
        <v>11562</v>
      </c>
      <c r="E4269" s="6">
        <v>15947</v>
      </c>
      <c r="F4269" s="4" t="s">
        <v>131</v>
      </c>
    </row>
    <row r="4270" spans="1:6" x14ac:dyDescent="0.25">
      <c r="A4270" s="4" t="s">
        <v>7</v>
      </c>
      <c r="B4270" s="4" t="s">
        <v>11563</v>
      </c>
      <c r="C4270" s="1" t="s">
        <v>11564</v>
      </c>
      <c r="D4270" s="1" t="s">
        <v>11565</v>
      </c>
      <c r="E4270" s="6">
        <v>20262</v>
      </c>
      <c r="F4270" s="4" t="s">
        <v>131</v>
      </c>
    </row>
    <row r="4271" spans="1:6" x14ac:dyDescent="0.25">
      <c r="A4271" s="4" t="s">
        <v>7</v>
      </c>
      <c r="B4271" s="4" t="s">
        <v>11566</v>
      </c>
      <c r="C4271" s="1" t="s">
        <v>11567</v>
      </c>
      <c r="D4271" s="1" t="s">
        <v>11568</v>
      </c>
      <c r="E4271" s="6">
        <v>3958</v>
      </c>
    </row>
    <row r="4272" spans="1:6" x14ac:dyDescent="0.25">
      <c r="A4272" s="4" t="s">
        <v>7</v>
      </c>
      <c r="B4272" s="4" t="s">
        <v>11569</v>
      </c>
      <c r="C4272" s="1" t="s">
        <v>11570</v>
      </c>
      <c r="D4272" s="1" t="s">
        <v>11571</v>
      </c>
      <c r="E4272" s="6">
        <v>15606</v>
      </c>
      <c r="F4272" s="4" t="s">
        <v>131</v>
      </c>
    </row>
    <row r="4273" spans="1:6" x14ac:dyDescent="0.25">
      <c r="A4273" s="4" t="s">
        <v>7</v>
      </c>
      <c r="B4273" s="4" t="s">
        <v>11572</v>
      </c>
      <c r="C4273" s="1" t="s">
        <v>11573</v>
      </c>
      <c r="D4273" s="1" t="s">
        <v>11574</v>
      </c>
      <c r="E4273" s="6">
        <v>21521</v>
      </c>
    </row>
    <row r="4274" spans="1:6" x14ac:dyDescent="0.25">
      <c r="A4274" s="4" t="s">
        <v>7</v>
      </c>
      <c r="B4274" s="4" t="s">
        <v>11575</v>
      </c>
      <c r="C4274" s="1" t="s">
        <v>11576</v>
      </c>
      <c r="D4274" s="1" t="s">
        <v>11577</v>
      </c>
      <c r="E4274" s="6">
        <v>27910</v>
      </c>
      <c r="F4274" s="4" t="s">
        <v>131</v>
      </c>
    </row>
    <row r="4275" spans="1:6" x14ac:dyDescent="0.25">
      <c r="A4275" s="4" t="s">
        <v>7</v>
      </c>
      <c r="B4275" s="4" t="s">
        <v>11578</v>
      </c>
      <c r="C4275" s="1" t="s">
        <v>11579</v>
      </c>
      <c r="D4275" s="1" t="s">
        <v>11580</v>
      </c>
      <c r="E4275" s="6">
        <v>60025</v>
      </c>
    </row>
    <row r="4276" spans="1:6" x14ac:dyDescent="0.25">
      <c r="A4276" s="4" t="s">
        <v>7</v>
      </c>
      <c r="B4276" s="4" t="s">
        <v>11581</v>
      </c>
      <c r="C4276" s="1" t="s">
        <v>11582</v>
      </c>
      <c r="D4276" s="1" t="s">
        <v>11583</v>
      </c>
      <c r="E4276" s="6">
        <v>12882</v>
      </c>
      <c r="F4276" s="4" t="s">
        <v>131</v>
      </c>
    </row>
    <row r="4277" spans="1:6" x14ac:dyDescent="0.25">
      <c r="A4277" s="4" t="s">
        <v>7</v>
      </c>
      <c r="B4277" s="4" t="s">
        <v>11584</v>
      </c>
      <c r="C4277" s="1" t="s">
        <v>11585</v>
      </c>
      <c r="D4277" s="1" t="s">
        <v>11586</v>
      </c>
      <c r="E4277" s="6">
        <v>12882</v>
      </c>
      <c r="F4277" s="4" t="s">
        <v>131</v>
      </c>
    </row>
    <row r="4278" spans="1:6" x14ac:dyDescent="0.25">
      <c r="A4278" s="4" t="s">
        <v>7</v>
      </c>
      <c r="B4278" s="4" t="s">
        <v>11587</v>
      </c>
      <c r="C4278" s="1" t="s">
        <v>11588</v>
      </c>
      <c r="D4278" s="1" t="s">
        <v>11580</v>
      </c>
      <c r="E4278" s="6">
        <v>57083</v>
      </c>
    </row>
    <row r="4279" spans="1:6" x14ac:dyDescent="0.25">
      <c r="A4279" s="4" t="s">
        <v>7</v>
      </c>
      <c r="B4279" s="4" t="s">
        <v>11589</v>
      </c>
      <c r="C4279" s="1" t="s">
        <v>11590</v>
      </c>
      <c r="D4279" s="1" t="s">
        <v>11591</v>
      </c>
      <c r="E4279" s="6">
        <v>4261</v>
      </c>
      <c r="F4279" s="4" t="s">
        <v>131</v>
      </c>
    </row>
    <row r="4280" spans="1:6" x14ac:dyDescent="0.25">
      <c r="A4280" s="4" t="s">
        <v>7</v>
      </c>
      <c r="B4280" s="4" t="s">
        <v>11592</v>
      </c>
      <c r="C4280" s="1" t="s">
        <v>11593</v>
      </c>
      <c r="D4280" s="1" t="s">
        <v>11594</v>
      </c>
      <c r="E4280" s="6">
        <v>83446</v>
      </c>
      <c r="F4280" s="4" t="s">
        <v>131</v>
      </c>
    </row>
    <row r="4281" spans="1:6" x14ac:dyDescent="0.25">
      <c r="A4281" s="4" t="s">
        <v>7</v>
      </c>
      <c r="B4281" s="4" t="s">
        <v>11595</v>
      </c>
      <c r="C4281" s="1" t="s">
        <v>11596</v>
      </c>
      <c r="D4281" s="1" t="s">
        <v>11597</v>
      </c>
      <c r="E4281" s="6">
        <v>27910</v>
      </c>
      <c r="F4281" s="4" t="s">
        <v>131</v>
      </c>
    </row>
    <row r="4282" spans="1:6" x14ac:dyDescent="0.25">
      <c r="A4282" s="4" t="s">
        <v>7</v>
      </c>
      <c r="B4282" s="4" t="s">
        <v>11598</v>
      </c>
      <c r="C4282" s="1" t="s">
        <v>11599</v>
      </c>
      <c r="D4282" s="1" t="s">
        <v>11599</v>
      </c>
      <c r="E4282" s="6">
        <v>5546.39</v>
      </c>
      <c r="F4282" s="4" t="s">
        <v>131</v>
      </c>
    </row>
    <row r="4283" spans="1:6" x14ac:dyDescent="0.25">
      <c r="A4283" s="4" t="s">
        <v>7</v>
      </c>
      <c r="B4283" s="4" t="s">
        <v>11600</v>
      </c>
      <c r="C4283" s="1" t="s">
        <v>11601</v>
      </c>
      <c r="D4283" s="1" t="s">
        <v>11602</v>
      </c>
      <c r="E4283" s="6">
        <v>2690</v>
      </c>
    </row>
    <row r="4284" spans="1:6" x14ac:dyDescent="0.25">
      <c r="A4284" s="4" t="s">
        <v>7</v>
      </c>
      <c r="B4284" s="4" t="s">
        <v>11603</v>
      </c>
      <c r="C4284" s="1" t="s">
        <v>11604</v>
      </c>
      <c r="D4284" s="1" t="s">
        <v>11605</v>
      </c>
      <c r="E4284" s="6">
        <v>26675</v>
      </c>
    </row>
    <row r="4285" spans="1:6" x14ac:dyDescent="0.25">
      <c r="A4285" s="4" t="s">
        <v>7</v>
      </c>
      <c r="B4285" s="4" t="s">
        <v>11606</v>
      </c>
      <c r="C4285" s="1" t="s">
        <v>11607</v>
      </c>
      <c r="D4285" s="1" t="s">
        <v>11608</v>
      </c>
      <c r="E4285" s="6">
        <v>37062</v>
      </c>
      <c r="F4285" s="4" t="s">
        <v>131</v>
      </c>
    </row>
    <row r="4286" spans="1:6" x14ac:dyDescent="0.25">
      <c r="A4286" s="4" t="s">
        <v>7</v>
      </c>
      <c r="B4286" s="4" t="s">
        <v>11609</v>
      </c>
      <c r="C4286" s="1" t="s">
        <v>11610</v>
      </c>
      <c r="D4286" s="1" t="s">
        <v>11611</v>
      </c>
      <c r="E4286" s="6">
        <v>11890</v>
      </c>
      <c r="F4286" s="4" t="s">
        <v>131</v>
      </c>
    </row>
    <row r="4287" spans="1:6" x14ac:dyDescent="0.25">
      <c r="A4287" s="4" t="s">
        <v>7</v>
      </c>
      <c r="B4287" s="4" t="s">
        <v>11612</v>
      </c>
      <c r="C4287" s="1" t="s">
        <v>11613</v>
      </c>
      <c r="D4287" s="1" t="s">
        <v>11298</v>
      </c>
      <c r="E4287" s="6">
        <v>16574</v>
      </c>
    </row>
    <row r="4288" spans="1:6" x14ac:dyDescent="0.25">
      <c r="A4288" s="4" t="s">
        <v>7</v>
      </c>
      <c r="B4288" s="4" t="s">
        <v>11614</v>
      </c>
      <c r="C4288" s="1" t="s">
        <v>11615</v>
      </c>
      <c r="D4288" s="1" t="s">
        <v>11616</v>
      </c>
      <c r="E4288" s="6">
        <v>73658</v>
      </c>
      <c r="F4288" s="4" t="s">
        <v>131</v>
      </c>
    </row>
    <row r="4289" spans="1:6" x14ac:dyDescent="0.25">
      <c r="A4289" s="4" t="s">
        <v>7</v>
      </c>
      <c r="B4289" s="4" t="s">
        <v>11617</v>
      </c>
      <c r="C4289" s="1" t="s">
        <v>11618</v>
      </c>
      <c r="D4289" s="1" t="s">
        <v>11619</v>
      </c>
      <c r="E4289" s="6">
        <v>83566</v>
      </c>
    </row>
    <row r="4290" spans="1:6" x14ac:dyDescent="0.25">
      <c r="A4290" s="4" t="s">
        <v>7</v>
      </c>
      <c r="B4290" s="4" t="s">
        <v>11620</v>
      </c>
      <c r="C4290" s="1" t="s">
        <v>11621</v>
      </c>
      <c r="D4290" s="1" t="s">
        <v>11622</v>
      </c>
      <c r="E4290" s="6">
        <v>10567</v>
      </c>
    </row>
    <row r="4291" spans="1:6" x14ac:dyDescent="0.25">
      <c r="A4291" s="4" t="s">
        <v>7</v>
      </c>
      <c r="B4291" s="4" t="s">
        <v>11623</v>
      </c>
      <c r="C4291" s="1" t="s">
        <v>11624</v>
      </c>
      <c r="D4291" s="1" t="s">
        <v>11625</v>
      </c>
      <c r="E4291" s="6">
        <v>17714</v>
      </c>
    </row>
    <row r="4292" spans="1:6" x14ac:dyDescent="0.25">
      <c r="A4292" s="4" t="s">
        <v>7</v>
      </c>
      <c r="B4292" s="4" t="s">
        <v>11626</v>
      </c>
      <c r="C4292" s="1" t="s">
        <v>11627</v>
      </c>
      <c r="D4292" s="1" t="s">
        <v>11628</v>
      </c>
      <c r="E4292" s="6">
        <v>1939</v>
      </c>
    </row>
    <row r="4293" spans="1:6" x14ac:dyDescent="0.25">
      <c r="A4293" s="4" t="s">
        <v>7</v>
      </c>
      <c r="B4293" s="4" t="s">
        <v>11629</v>
      </c>
      <c r="C4293" s="1" t="s">
        <v>11630</v>
      </c>
      <c r="D4293" s="1" t="s">
        <v>11631</v>
      </c>
      <c r="E4293" s="6">
        <v>58971</v>
      </c>
      <c r="F4293" s="4" t="s">
        <v>131</v>
      </c>
    </row>
    <row r="4294" spans="1:6" x14ac:dyDescent="0.25">
      <c r="A4294" s="4" t="s">
        <v>7</v>
      </c>
      <c r="B4294" s="4" t="s">
        <v>11632</v>
      </c>
      <c r="C4294" s="1" t="s">
        <v>11633</v>
      </c>
      <c r="D4294" s="1" t="s">
        <v>11634</v>
      </c>
      <c r="E4294" s="6">
        <v>10214</v>
      </c>
      <c r="F4294" s="4" t="s">
        <v>131</v>
      </c>
    </row>
    <row r="4295" spans="1:6" x14ac:dyDescent="0.25">
      <c r="A4295" s="4" t="s">
        <v>7</v>
      </c>
      <c r="B4295" s="4" t="s">
        <v>11635</v>
      </c>
      <c r="C4295" s="1" t="s">
        <v>11636</v>
      </c>
      <c r="D4295" s="1" t="s">
        <v>11637</v>
      </c>
      <c r="E4295" s="6">
        <v>19193</v>
      </c>
    </row>
    <row r="4296" spans="1:6" x14ac:dyDescent="0.25">
      <c r="A4296" s="4" t="s">
        <v>7</v>
      </c>
      <c r="B4296" s="4" t="s">
        <v>11638</v>
      </c>
      <c r="C4296" s="1" t="s">
        <v>11639</v>
      </c>
      <c r="D4296" s="1" t="s">
        <v>11640</v>
      </c>
      <c r="E4296" s="6">
        <v>23404</v>
      </c>
      <c r="F4296" s="4" t="s">
        <v>131</v>
      </c>
    </row>
    <row r="4297" spans="1:6" x14ac:dyDescent="0.25">
      <c r="A4297" s="4" t="s">
        <v>7</v>
      </c>
      <c r="B4297" s="4" t="s">
        <v>11641</v>
      </c>
      <c r="C4297" s="1" t="s">
        <v>11642</v>
      </c>
      <c r="D4297" s="1" t="s">
        <v>11643</v>
      </c>
      <c r="E4297" s="6">
        <v>27910</v>
      </c>
    </row>
    <row r="4298" spans="1:6" x14ac:dyDescent="0.25">
      <c r="A4298" s="4" t="s">
        <v>7</v>
      </c>
      <c r="B4298" s="4" t="s">
        <v>11644</v>
      </c>
      <c r="C4298" s="1" t="s">
        <v>11645</v>
      </c>
      <c r="D4298" s="1" t="s">
        <v>11646</v>
      </c>
      <c r="E4298" s="6">
        <v>15606</v>
      </c>
      <c r="F4298" s="4" t="s">
        <v>131</v>
      </c>
    </row>
    <row r="4299" spans="1:6" x14ac:dyDescent="0.25">
      <c r="A4299" s="4" t="s">
        <v>7</v>
      </c>
      <c r="B4299" s="4" t="s">
        <v>11647</v>
      </c>
      <c r="C4299" s="1" t="s">
        <v>11648</v>
      </c>
      <c r="D4299" s="1" t="s">
        <v>11649</v>
      </c>
      <c r="E4299" s="6">
        <v>27910</v>
      </c>
      <c r="F4299" s="4" t="s">
        <v>131</v>
      </c>
    </row>
    <row r="4300" spans="1:6" x14ac:dyDescent="0.25">
      <c r="A4300" s="4" t="s">
        <v>7</v>
      </c>
      <c r="B4300" s="4" t="s">
        <v>11650</v>
      </c>
      <c r="C4300" s="1" t="s">
        <v>11651</v>
      </c>
      <c r="D4300" s="1" t="s">
        <v>11651</v>
      </c>
      <c r="E4300" s="6">
        <v>1036</v>
      </c>
    </row>
    <row r="4301" spans="1:6" x14ac:dyDescent="0.25">
      <c r="A4301" s="4" t="s">
        <v>7</v>
      </c>
      <c r="B4301" s="4" t="s">
        <v>11652</v>
      </c>
      <c r="C4301" s="1" t="s">
        <v>11653</v>
      </c>
      <c r="D4301" s="1" t="s">
        <v>11654</v>
      </c>
      <c r="E4301" s="6">
        <v>3958</v>
      </c>
      <c r="F4301" s="4" t="s">
        <v>131</v>
      </c>
    </row>
    <row r="4302" spans="1:6" x14ac:dyDescent="0.25">
      <c r="A4302" s="4" t="s">
        <v>7</v>
      </c>
      <c r="B4302" s="4" t="s">
        <v>11655</v>
      </c>
      <c r="C4302" s="1" t="s">
        <v>11656</v>
      </c>
      <c r="D4302" s="1" t="s">
        <v>11657</v>
      </c>
      <c r="E4302" s="6">
        <v>6968</v>
      </c>
    </row>
    <row r="4303" spans="1:6" x14ac:dyDescent="0.25">
      <c r="A4303" s="4" t="s">
        <v>7</v>
      </c>
      <c r="B4303" s="4" t="s">
        <v>11658</v>
      </c>
      <c r="C4303" s="1" t="s">
        <v>11659</v>
      </c>
      <c r="D4303" s="1" t="s">
        <v>11660</v>
      </c>
      <c r="E4303" s="6">
        <v>3958</v>
      </c>
      <c r="F4303" s="4" t="s">
        <v>131</v>
      </c>
    </row>
    <row r="4304" spans="1:6" x14ac:dyDescent="0.25">
      <c r="A4304" s="4" t="s">
        <v>7</v>
      </c>
      <c r="B4304" s="4" t="s">
        <v>11661</v>
      </c>
      <c r="C4304" s="1" t="s">
        <v>11662</v>
      </c>
      <c r="D4304" s="1" t="s">
        <v>11663</v>
      </c>
      <c r="E4304" s="6">
        <v>3958</v>
      </c>
    </row>
    <row r="4305" spans="1:6" x14ac:dyDescent="0.25">
      <c r="A4305" s="4" t="s">
        <v>7</v>
      </c>
      <c r="B4305" s="4" t="s">
        <v>11664</v>
      </c>
      <c r="C4305" s="1" t="s">
        <v>11665</v>
      </c>
      <c r="D4305" s="1" t="s">
        <v>11666</v>
      </c>
      <c r="E4305" s="6">
        <v>5528.25</v>
      </c>
    </row>
    <row r="4306" spans="1:6" x14ac:dyDescent="0.25">
      <c r="A4306" s="4" t="s">
        <v>7</v>
      </c>
      <c r="B4306" s="4" t="s">
        <v>11667</v>
      </c>
      <c r="C4306" s="1" t="s">
        <v>11668</v>
      </c>
      <c r="D4306" s="1" t="s">
        <v>11669</v>
      </c>
      <c r="E4306" s="6">
        <v>15818.18</v>
      </c>
      <c r="F4306" s="4" t="s">
        <v>131</v>
      </c>
    </row>
    <row r="4307" spans="1:6" x14ac:dyDescent="0.25">
      <c r="A4307" s="4" t="s">
        <v>7</v>
      </c>
      <c r="B4307" s="4" t="s">
        <v>11670</v>
      </c>
      <c r="C4307" s="1" t="s">
        <v>11671</v>
      </c>
      <c r="D4307" s="1" t="s">
        <v>11672</v>
      </c>
      <c r="E4307" s="6">
        <v>33545</v>
      </c>
      <c r="F4307" s="4" t="s">
        <v>131</v>
      </c>
    </row>
    <row r="4308" spans="1:6" x14ac:dyDescent="0.25">
      <c r="A4308" s="4" t="s">
        <v>7</v>
      </c>
      <c r="B4308" s="4" t="s">
        <v>11673</v>
      </c>
      <c r="C4308" s="1" t="s">
        <v>11674</v>
      </c>
      <c r="D4308" s="1" t="s">
        <v>11674</v>
      </c>
      <c r="E4308" s="6">
        <v>3958</v>
      </c>
      <c r="F4308" s="4" t="s">
        <v>131</v>
      </c>
    </row>
    <row r="4309" spans="1:6" x14ac:dyDescent="0.25">
      <c r="A4309" s="4" t="s">
        <v>7</v>
      </c>
      <c r="B4309" s="4" t="s">
        <v>11675</v>
      </c>
      <c r="C4309" s="1" t="s">
        <v>11676</v>
      </c>
      <c r="D4309" s="1" t="s">
        <v>11677</v>
      </c>
      <c r="E4309" s="6">
        <v>27910</v>
      </c>
    </row>
    <row r="4310" spans="1:6" x14ac:dyDescent="0.25">
      <c r="A4310" s="4" t="s">
        <v>7</v>
      </c>
      <c r="B4310" s="4" t="s">
        <v>11678</v>
      </c>
      <c r="C4310" s="1" t="s">
        <v>11679</v>
      </c>
      <c r="D4310" s="1" t="s">
        <v>11680</v>
      </c>
      <c r="E4310" s="6">
        <v>3958</v>
      </c>
    </row>
    <row r="4311" spans="1:6" x14ac:dyDescent="0.25">
      <c r="A4311" s="4" t="s">
        <v>7</v>
      </c>
      <c r="B4311" s="4" t="s">
        <v>11681</v>
      </c>
      <c r="C4311" s="1" t="s">
        <v>11682</v>
      </c>
      <c r="D4311" s="1" t="s">
        <v>11683</v>
      </c>
      <c r="E4311" s="6">
        <v>10584.42</v>
      </c>
    </row>
    <row r="4312" spans="1:6" x14ac:dyDescent="0.25">
      <c r="A4312" s="4" t="s">
        <v>7</v>
      </c>
      <c r="B4312" s="4" t="s">
        <v>11684</v>
      </c>
      <c r="C4312" s="1" t="s">
        <v>11685</v>
      </c>
      <c r="D4312" s="1" t="s">
        <v>11686</v>
      </c>
      <c r="E4312" s="6">
        <v>11445.78</v>
      </c>
      <c r="F4312" s="4" t="s">
        <v>131</v>
      </c>
    </row>
    <row r="4313" spans="1:6" x14ac:dyDescent="0.25">
      <c r="A4313" s="4" t="s">
        <v>7</v>
      </c>
      <c r="B4313" s="4" t="s">
        <v>11687</v>
      </c>
      <c r="C4313" s="1" t="s">
        <v>11688</v>
      </c>
      <c r="D4313" s="1" t="s">
        <v>11689</v>
      </c>
      <c r="E4313" s="6">
        <v>10843.37</v>
      </c>
      <c r="F4313" s="4" t="s">
        <v>131</v>
      </c>
    </row>
    <row r="4314" spans="1:6" x14ac:dyDescent="0.25">
      <c r="A4314" s="4" t="s">
        <v>7</v>
      </c>
      <c r="B4314" s="4" t="s">
        <v>11690</v>
      </c>
      <c r="C4314" s="1" t="s">
        <v>11691</v>
      </c>
      <c r="D4314" s="1" t="s">
        <v>11691</v>
      </c>
      <c r="E4314" s="6">
        <v>388</v>
      </c>
      <c r="F4314" s="4" t="s">
        <v>131</v>
      </c>
    </row>
    <row r="4315" spans="1:6" x14ac:dyDescent="0.25">
      <c r="A4315" s="4" t="s">
        <v>7</v>
      </c>
      <c r="B4315" s="4" t="s">
        <v>11692</v>
      </c>
      <c r="C4315" s="1" t="s">
        <v>11693</v>
      </c>
      <c r="D4315" s="1" t="s">
        <v>11694</v>
      </c>
      <c r="E4315" s="6">
        <v>6859</v>
      </c>
      <c r="F4315" s="4" t="s">
        <v>131</v>
      </c>
    </row>
    <row r="4316" spans="1:6" x14ac:dyDescent="0.25">
      <c r="A4316" s="4" t="s">
        <v>7</v>
      </c>
      <c r="B4316" s="4" t="s">
        <v>11695</v>
      </c>
      <c r="C4316" s="1" t="s">
        <v>11696</v>
      </c>
      <c r="D4316" s="1" t="s">
        <v>11696</v>
      </c>
      <c r="E4316" s="6">
        <v>3808</v>
      </c>
      <c r="F4316" s="4" t="s">
        <v>131</v>
      </c>
    </row>
    <row r="4317" spans="1:6" x14ac:dyDescent="0.25">
      <c r="A4317" s="4" t="s">
        <v>7</v>
      </c>
      <c r="B4317" s="4" t="s">
        <v>11697</v>
      </c>
      <c r="C4317" s="1" t="s">
        <v>11698</v>
      </c>
      <c r="D4317" s="1" t="s">
        <v>11698</v>
      </c>
      <c r="E4317" s="6">
        <v>6859</v>
      </c>
      <c r="F4317" s="4" t="s">
        <v>131</v>
      </c>
    </row>
    <row r="4318" spans="1:6" x14ac:dyDescent="0.25">
      <c r="A4318" s="4" t="s">
        <v>7</v>
      </c>
      <c r="B4318" s="4" t="s">
        <v>11699</v>
      </c>
      <c r="C4318" s="1" t="s">
        <v>11700</v>
      </c>
      <c r="D4318" s="1" t="s">
        <v>11701</v>
      </c>
      <c r="E4318" s="6">
        <v>22546</v>
      </c>
      <c r="F4318" s="4" t="s">
        <v>131</v>
      </c>
    </row>
    <row r="4319" spans="1:6" x14ac:dyDescent="0.25">
      <c r="A4319" s="4" t="s">
        <v>7</v>
      </c>
      <c r="B4319" s="4" t="s">
        <v>11702</v>
      </c>
      <c r="C4319" s="1" t="s">
        <v>11703</v>
      </c>
      <c r="D4319" s="1" t="s">
        <v>11704</v>
      </c>
      <c r="E4319" s="6">
        <v>5493</v>
      </c>
      <c r="F4319" s="4" t="s">
        <v>131</v>
      </c>
    </row>
    <row r="4320" spans="1:6" x14ac:dyDescent="0.25">
      <c r="A4320" s="4" t="s">
        <v>7</v>
      </c>
      <c r="B4320" s="4" t="s">
        <v>11705</v>
      </c>
      <c r="C4320" s="1" t="s">
        <v>11706</v>
      </c>
      <c r="D4320" s="1" t="s">
        <v>11706</v>
      </c>
      <c r="E4320" s="6">
        <v>7965</v>
      </c>
      <c r="F4320" s="4" t="s">
        <v>131</v>
      </c>
    </row>
    <row r="4321" spans="1:6" x14ac:dyDescent="0.25">
      <c r="A4321" s="4" t="s">
        <v>7</v>
      </c>
      <c r="B4321" s="4" t="s">
        <v>11707</v>
      </c>
      <c r="C4321" s="1" t="s">
        <v>11708</v>
      </c>
      <c r="D4321" s="1" t="s">
        <v>11709</v>
      </c>
      <c r="E4321" s="6">
        <v>2054</v>
      </c>
      <c r="F4321" s="4" t="s">
        <v>131</v>
      </c>
    </row>
    <row r="4322" spans="1:6" x14ac:dyDescent="0.25">
      <c r="A4322" s="4" t="s">
        <v>7</v>
      </c>
      <c r="B4322" s="4" t="s">
        <v>11710</v>
      </c>
      <c r="C4322" s="1" t="s">
        <v>11711</v>
      </c>
      <c r="D4322" s="1" t="s">
        <v>11712</v>
      </c>
      <c r="E4322" s="6">
        <v>3958</v>
      </c>
      <c r="F4322" s="4" t="s">
        <v>131</v>
      </c>
    </row>
    <row r="4323" spans="1:6" x14ac:dyDescent="0.25">
      <c r="A4323" s="4" t="s">
        <v>7</v>
      </c>
      <c r="B4323" s="4" t="s">
        <v>11713</v>
      </c>
      <c r="C4323" s="1" t="s">
        <v>11714</v>
      </c>
      <c r="D4323" s="1" t="s">
        <v>11715</v>
      </c>
      <c r="E4323" s="6">
        <v>29524</v>
      </c>
      <c r="F4323" s="4" t="s">
        <v>131</v>
      </c>
    </row>
    <row r="4324" spans="1:6" x14ac:dyDescent="0.25">
      <c r="A4324" s="4" t="s">
        <v>7</v>
      </c>
      <c r="B4324" s="4" t="s">
        <v>11716</v>
      </c>
      <c r="C4324" s="1" t="s">
        <v>11717</v>
      </c>
      <c r="D4324" s="1" t="s">
        <v>11717</v>
      </c>
      <c r="E4324" s="6">
        <v>3958</v>
      </c>
      <c r="F4324" s="4" t="s">
        <v>131</v>
      </c>
    </row>
    <row r="4325" spans="1:6" x14ac:dyDescent="0.25">
      <c r="A4325" s="4" t="s">
        <v>7</v>
      </c>
      <c r="B4325" s="4" t="s">
        <v>11718</v>
      </c>
      <c r="C4325" s="1" t="s">
        <v>11719</v>
      </c>
      <c r="D4325" s="1" t="s">
        <v>11719</v>
      </c>
      <c r="E4325" s="6">
        <v>43255</v>
      </c>
      <c r="F4325" s="4" t="s">
        <v>131</v>
      </c>
    </row>
    <row r="4326" spans="1:6" x14ac:dyDescent="0.25">
      <c r="A4326" s="4" t="s">
        <v>7</v>
      </c>
      <c r="B4326" s="4" t="s">
        <v>11720</v>
      </c>
      <c r="C4326" s="1" t="s">
        <v>11721</v>
      </c>
      <c r="D4326" s="1" t="s">
        <v>11722</v>
      </c>
      <c r="E4326" s="6">
        <v>24635</v>
      </c>
      <c r="F4326" s="4" t="s">
        <v>131</v>
      </c>
    </row>
    <row r="4327" spans="1:6" x14ac:dyDescent="0.25">
      <c r="A4327" s="4" t="s">
        <v>7</v>
      </c>
      <c r="B4327" s="4" t="s">
        <v>11723</v>
      </c>
      <c r="C4327" s="1" t="s">
        <v>11724</v>
      </c>
      <c r="D4327" s="1" t="s">
        <v>11725</v>
      </c>
      <c r="E4327" s="6">
        <v>40475</v>
      </c>
    </row>
    <row r="4328" spans="1:6" x14ac:dyDescent="0.25">
      <c r="A4328" s="4" t="s">
        <v>7</v>
      </c>
      <c r="B4328" s="4" t="s">
        <v>11726</v>
      </c>
      <c r="C4328" s="1" t="s">
        <v>11727</v>
      </c>
      <c r="D4328" s="1" t="s">
        <v>11728</v>
      </c>
      <c r="E4328" s="6">
        <v>22546</v>
      </c>
      <c r="F4328" s="4" t="s">
        <v>131</v>
      </c>
    </row>
    <row r="4329" spans="1:6" x14ac:dyDescent="0.25">
      <c r="A4329" s="4" t="s">
        <v>7</v>
      </c>
      <c r="B4329" s="4" t="s">
        <v>11729</v>
      </c>
      <c r="C4329" s="1" t="s">
        <v>11730</v>
      </c>
      <c r="D4329" s="1" t="s">
        <v>11730</v>
      </c>
      <c r="E4329" s="6">
        <v>3958</v>
      </c>
      <c r="F4329" s="4" t="s">
        <v>131</v>
      </c>
    </row>
    <row r="4330" spans="1:6" x14ac:dyDescent="0.25">
      <c r="A4330" s="4" t="s">
        <v>7</v>
      </c>
      <c r="B4330" s="4" t="s">
        <v>11731</v>
      </c>
      <c r="C4330" s="1" t="s">
        <v>11732</v>
      </c>
      <c r="D4330" s="1" t="s">
        <v>11732</v>
      </c>
      <c r="E4330" s="6">
        <v>5008</v>
      </c>
      <c r="F4330" s="4" t="s">
        <v>131</v>
      </c>
    </row>
    <row r="4331" spans="1:6" x14ac:dyDescent="0.25">
      <c r="A4331" s="4" t="s">
        <v>7</v>
      </c>
      <c r="B4331" s="4" t="s">
        <v>11733</v>
      </c>
      <c r="C4331" s="1" t="s">
        <v>11734</v>
      </c>
      <c r="D4331" s="1" t="s">
        <v>11735</v>
      </c>
      <c r="E4331" s="6">
        <v>10280</v>
      </c>
    </row>
    <row r="4332" spans="1:6" x14ac:dyDescent="0.25">
      <c r="A4332" s="4" t="s">
        <v>7</v>
      </c>
      <c r="B4332" s="4" t="s">
        <v>11736</v>
      </c>
      <c r="C4332" s="1" t="s">
        <v>11737</v>
      </c>
      <c r="D4332" s="1" t="s">
        <v>11738</v>
      </c>
      <c r="E4332" s="6">
        <v>10765</v>
      </c>
      <c r="F4332" s="4" t="s">
        <v>131</v>
      </c>
    </row>
    <row r="4333" spans="1:6" x14ac:dyDescent="0.25">
      <c r="A4333" s="4" t="s">
        <v>7</v>
      </c>
      <c r="B4333" s="4" t="s">
        <v>11739</v>
      </c>
      <c r="C4333" s="1" t="s">
        <v>11740</v>
      </c>
      <c r="D4333" s="1" t="s">
        <v>11741</v>
      </c>
      <c r="E4333" s="6">
        <v>5393</v>
      </c>
    </row>
    <row r="4334" spans="1:6" x14ac:dyDescent="0.25">
      <c r="A4334" s="4" t="s">
        <v>7</v>
      </c>
      <c r="B4334" s="4" t="s">
        <v>11742</v>
      </c>
      <c r="C4334" s="1" t="s">
        <v>11743</v>
      </c>
      <c r="D4334" s="1" t="s">
        <v>11744</v>
      </c>
      <c r="E4334" s="6">
        <v>5032</v>
      </c>
    </row>
    <row r="4335" spans="1:6" x14ac:dyDescent="0.25">
      <c r="A4335" s="4" t="s">
        <v>7</v>
      </c>
      <c r="B4335" s="4" t="s">
        <v>11745</v>
      </c>
      <c r="C4335" s="1" t="s">
        <v>11746</v>
      </c>
      <c r="D4335" s="1" t="s">
        <v>11747</v>
      </c>
      <c r="E4335" s="6">
        <v>1077</v>
      </c>
    </row>
    <row r="4336" spans="1:6" x14ac:dyDescent="0.25">
      <c r="A4336" s="4" t="s">
        <v>7</v>
      </c>
      <c r="B4336" s="4" t="s">
        <v>11748</v>
      </c>
      <c r="C4336" s="1" t="s">
        <v>11749</v>
      </c>
      <c r="D4336" s="1" t="s">
        <v>11750</v>
      </c>
      <c r="E4336" s="6">
        <v>2699</v>
      </c>
      <c r="F4336" s="4" t="s">
        <v>131</v>
      </c>
    </row>
    <row r="4337" spans="1:6" x14ac:dyDescent="0.25">
      <c r="A4337" s="4" t="s">
        <v>7</v>
      </c>
      <c r="B4337" s="4" t="s">
        <v>11751</v>
      </c>
      <c r="C4337" s="1" t="s">
        <v>11752</v>
      </c>
      <c r="D4337" s="1" t="s">
        <v>11752</v>
      </c>
      <c r="E4337" s="6">
        <v>394</v>
      </c>
      <c r="F4337" s="4" t="s">
        <v>131</v>
      </c>
    </row>
    <row r="4338" spans="1:6" x14ac:dyDescent="0.25">
      <c r="A4338" s="4" t="s">
        <v>7</v>
      </c>
      <c r="B4338" s="4" t="s">
        <v>11753</v>
      </c>
      <c r="C4338" s="1" t="s">
        <v>11754</v>
      </c>
      <c r="D4338" s="1" t="s">
        <v>11754</v>
      </c>
      <c r="E4338" s="6">
        <v>8455</v>
      </c>
    </row>
    <row r="4339" spans="1:6" x14ac:dyDescent="0.25">
      <c r="A4339" s="4" t="s">
        <v>7</v>
      </c>
      <c r="B4339" s="4" t="s">
        <v>11755</v>
      </c>
      <c r="C4339" s="1" t="s">
        <v>11756</v>
      </c>
      <c r="D4339" s="1" t="s">
        <v>11756</v>
      </c>
      <c r="E4339" s="6">
        <v>9119</v>
      </c>
    </row>
    <row r="4340" spans="1:6" x14ac:dyDescent="0.25">
      <c r="A4340" s="4" t="s">
        <v>7</v>
      </c>
      <c r="B4340" s="4" t="s">
        <v>11757</v>
      </c>
      <c r="C4340" s="1" t="s">
        <v>11758</v>
      </c>
      <c r="D4340" s="1" t="s">
        <v>11759</v>
      </c>
      <c r="E4340" s="6">
        <v>793</v>
      </c>
      <c r="F4340" s="4" t="s">
        <v>131</v>
      </c>
    </row>
    <row r="4341" spans="1:6" x14ac:dyDescent="0.25">
      <c r="A4341" s="4" t="s">
        <v>7</v>
      </c>
      <c r="B4341" s="4" t="s">
        <v>11760</v>
      </c>
      <c r="C4341" s="1" t="s">
        <v>11761</v>
      </c>
      <c r="D4341" s="1" t="s">
        <v>11762</v>
      </c>
      <c r="E4341" s="6">
        <v>1103</v>
      </c>
    </row>
    <row r="4342" spans="1:6" x14ac:dyDescent="0.25">
      <c r="A4342" s="4" t="s">
        <v>7</v>
      </c>
      <c r="B4342" s="4" t="s">
        <v>11763</v>
      </c>
      <c r="C4342" s="1" t="s">
        <v>11764</v>
      </c>
      <c r="D4342" s="1" t="s">
        <v>11765</v>
      </c>
      <c r="E4342" s="6">
        <v>442</v>
      </c>
    </row>
    <row r="4343" spans="1:6" x14ac:dyDescent="0.25">
      <c r="A4343" s="4" t="s">
        <v>7</v>
      </c>
      <c r="B4343" s="4" t="s">
        <v>11766</v>
      </c>
      <c r="C4343" s="1" t="s">
        <v>11767</v>
      </c>
      <c r="D4343" s="1" t="s">
        <v>11768</v>
      </c>
      <c r="E4343" s="6">
        <v>442</v>
      </c>
    </row>
    <row r="4344" spans="1:6" x14ac:dyDescent="0.25">
      <c r="A4344" s="4" t="s">
        <v>7</v>
      </c>
      <c r="B4344" s="4" t="s">
        <v>11769</v>
      </c>
      <c r="C4344" s="1" t="s">
        <v>11770</v>
      </c>
      <c r="D4344" s="1" t="s">
        <v>11771</v>
      </c>
      <c r="E4344" s="6">
        <v>793</v>
      </c>
      <c r="F4344" s="4" t="s">
        <v>131</v>
      </c>
    </row>
    <row r="4345" spans="1:6" x14ac:dyDescent="0.25">
      <c r="A4345" s="4" t="s">
        <v>7</v>
      </c>
      <c r="B4345" s="4" t="s">
        <v>11772</v>
      </c>
      <c r="C4345" s="1" t="s">
        <v>11773</v>
      </c>
      <c r="D4345" s="1" t="s">
        <v>11774</v>
      </c>
      <c r="E4345" s="6">
        <v>10035</v>
      </c>
      <c r="F4345" s="4" t="s">
        <v>131</v>
      </c>
    </row>
    <row r="4346" spans="1:6" x14ac:dyDescent="0.25">
      <c r="A4346" s="4" t="s">
        <v>7</v>
      </c>
      <c r="B4346" s="4" t="s">
        <v>11775</v>
      </c>
      <c r="C4346" s="1" t="s">
        <v>11776</v>
      </c>
      <c r="D4346" s="1" t="s">
        <v>11777</v>
      </c>
      <c r="E4346" s="6">
        <v>12653</v>
      </c>
    </row>
    <row r="4347" spans="1:6" x14ac:dyDescent="0.25">
      <c r="A4347" s="4" t="s">
        <v>7</v>
      </c>
      <c r="B4347" s="4" t="s">
        <v>11778</v>
      </c>
      <c r="C4347" s="1" t="s">
        <v>11779</v>
      </c>
      <c r="D4347" s="1" t="s">
        <v>11780</v>
      </c>
      <c r="E4347" s="6">
        <v>1366</v>
      </c>
      <c r="F4347" s="4" t="s">
        <v>131</v>
      </c>
    </row>
    <row r="4348" spans="1:6" x14ac:dyDescent="0.25">
      <c r="A4348" s="4" t="s">
        <v>7</v>
      </c>
      <c r="B4348" s="4" t="s">
        <v>11781</v>
      </c>
      <c r="C4348" s="1" t="s">
        <v>11782</v>
      </c>
      <c r="D4348" s="1" t="s">
        <v>11783</v>
      </c>
      <c r="E4348" s="6">
        <v>12653</v>
      </c>
    </row>
    <row r="4349" spans="1:6" x14ac:dyDescent="0.25">
      <c r="A4349" s="4" t="s">
        <v>7</v>
      </c>
      <c r="B4349" s="4" t="s">
        <v>11786</v>
      </c>
      <c r="C4349" s="1" t="s">
        <v>11787</v>
      </c>
      <c r="D4349" s="1" t="s">
        <v>11788</v>
      </c>
      <c r="E4349" s="6">
        <v>5290</v>
      </c>
      <c r="F4349" s="4" t="s">
        <v>131</v>
      </c>
    </row>
    <row r="4350" spans="1:6" x14ac:dyDescent="0.25">
      <c r="A4350" s="4" t="s">
        <v>7</v>
      </c>
      <c r="B4350" s="4" t="s">
        <v>11789</v>
      </c>
      <c r="C4350" s="1" t="s">
        <v>11790</v>
      </c>
      <c r="D4350" s="1" t="s">
        <v>11791</v>
      </c>
      <c r="E4350" s="6">
        <v>8526</v>
      </c>
      <c r="F4350" s="4" t="s">
        <v>131</v>
      </c>
    </row>
    <row r="4351" spans="1:6" x14ac:dyDescent="0.25">
      <c r="A4351" s="4" t="s">
        <v>7</v>
      </c>
      <c r="B4351" s="4" t="s">
        <v>11792</v>
      </c>
      <c r="C4351" s="1" t="s">
        <v>11793</v>
      </c>
      <c r="D4351" s="1" t="s">
        <v>11794</v>
      </c>
      <c r="E4351" s="6">
        <v>793</v>
      </c>
    </row>
    <row r="4352" spans="1:6" x14ac:dyDescent="0.25">
      <c r="A4352" s="4" t="s">
        <v>7</v>
      </c>
      <c r="B4352" s="4" t="s">
        <v>11795</v>
      </c>
      <c r="C4352" s="1" t="s">
        <v>11796</v>
      </c>
      <c r="D4352" s="1" t="s">
        <v>11791</v>
      </c>
      <c r="E4352" s="6">
        <v>71986</v>
      </c>
    </row>
    <row r="4353" spans="1:6" x14ac:dyDescent="0.25">
      <c r="A4353" s="4" t="s">
        <v>7</v>
      </c>
      <c r="B4353" s="4" t="s">
        <v>11797</v>
      </c>
      <c r="C4353" s="1" t="s">
        <v>11798</v>
      </c>
      <c r="D4353" s="1" t="s">
        <v>11799</v>
      </c>
      <c r="E4353" s="6">
        <v>1677.5</v>
      </c>
    </row>
    <row r="4354" spans="1:6" x14ac:dyDescent="0.25">
      <c r="A4354" s="4" t="s">
        <v>7</v>
      </c>
      <c r="B4354" s="4" t="s">
        <v>11800</v>
      </c>
      <c r="C4354" s="1" t="s">
        <v>11801</v>
      </c>
      <c r="D4354" s="1" t="s">
        <v>11802</v>
      </c>
      <c r="E4354" s="6">
        <v>793</v>
      </c>
    </row>
    <row r="4355" spans="1:6" x14ac:dyDescent="0.25">
      <c r="A4355" s="4" t="s">
        <v>7</v>
      </c>
      <c r="B4355" s="4" t="s">
        <v>11803</v>
      </c>
      <c r="C4355" s="1" t="s">
        <v>11804</v>
      </c>
      <c r="D4355" s="1" t="s">
        <v>11805</v>
      </c>
      <c r="E4355" s="6">
        <v>410</v>
      </c>
    </row>
    <row r="4356" spans="1:6" x14ac:dyDescent="0.25">
      <c r="A4356" s="4" t="s">
        <v>7</v>
      </c>
      <c r="B4356" s="4" t="s">
        <v>11806</v>
      </c>
      <c r="C4356" s="1" t="s">
        <v>11807</v>
      </c>
      <c r="D4356" s="1" t="s">
        <v>11808</v>
      </c>
      <c r="E4356" s="6">
        <v>2035</v>
      </c>
    </row>
    <row r="4357" spans="1:6" x14ac:dyDescent="0.25">
      <c r="A4357" s="4" t="s">
        <v>7</v>
      </c>
      <c r="B4357" s="4" t="s">
        <v>11809</v>
      </c>
      <c r="C4357" s="1" t="s">
        <v>11810</v>
      </c>
      <c r="D4357" s="1" t="s">
        <v>11811</v>
      </c>
      <c r="E4357" s="6">
        <v>3958</v>
      </c>
    </row>
    <row r="4358" spans="1:6" x14ac:dyDescent="0.25">
      <c r="A4358" s="4" t="s">
        <v>7</v>
      </c>
      <c r="B4358" s="4" t="s">
        <v>11812</v>
      </c>
      <c r="C4358" s="1" t="s">
        <v>11813</v>
      </c>
      <c r="D4358" s="1" t="s">
        <v>11814</v>
      </c>
      <c r="E4358" s="6">
        <v>2699</v>
      </c>
      <c r="F4358" s="4" t="s">
        <v>131</v>
      </c>
    </row>
    <row r="4359" spans="1:6" x14ac:dyDescent="0.25">
      <c r="A4359" s="4" t="s">
        <v>7</v>
      </c>
      <c r="B4359" s="4" t="s">
        <v>11815</v>
      </c>
      <c r="C4359" s="1" t="s">
        <v>11816</v>
      </c>
      <c r="D4359" s="1" t="s">
        <v>11816</v>
      </c>
      <c r="E4359" s="6">
        <v>135</v>
      </c>
    </row>
    <row r="4360" spans="1:6" x14ac:dyDescent="0.25">
      <c r="A4360" s="4" t="s">
        <v>7</v>
      </c>
      <c r="B4360" s="4" t="s">
        <v>11817</v>
      </c>
      <c r="C4360" s="1" t="s">
        <v>11818</v>
      </c>
      <c r="D4360" s="1" t="s">
        <v>11819</v>
      </c>
      <c r="E4360" s="6">
        <v>54090.9</v>
      </c>
      <c r="F4360" s="4" t="s">
        <v>131</v>
      </c>
    </row>
    <row r="4361" spans="1:6" x14ac:dyDescent="0.25">
      <c r="A4361" s="4" t="s">
        <v>7</v>
      </c>
      <c r="B4361" s="4" t="s">
        <v>11820</v>
      </c>
      <c r="C4361" s="1" t="s">
        <v>11821</v>
      </c>
      <c r="D4361" s="1" t="s">
        <v>11822</v>
      </c>
      <c r="E4361" s="6">
        <v>4129</v>
      </c>
    </row>
    <row r="4362" spans="1:6" x14ac:dyDescent="0.25">
      <c r="A4362" s="4" t="s">
        <v>7</v>
      </c>
      <c r="B4362" s="4" t="s">
        <v>11823</v>
      </c>
      <c r="C4362" s="1" t="s">
        <v>11824</v>
      </c>
      <c r="D4362" s="1" t="s">
        <v>11825</v>
      </c>
      <c r="E4362" s="6">
        <v>1151.74</v>
      </c>
    </row>
    <row r="4363" spans="1:6" x14ac:dyDescent="0.25">
      <c r="A4363" s="4" t="s">
        <v>7</v>
      </c>
      <c r="B4363" s="4" t="s">
        <v>11826</v>
      </c>
      <c r="C4363" s="1" t="s">
        <v>11827</v>
      </c>
      <c r="D4363" s="1" t="s">
        <v>11828</v>
      </c>
      <c r="E4363" s="6">
        <v>60</v>
      </c>
      <c r="F4363" s="4" t="s">
        <v>131</v>
      </c>
    </row>
    <row r="4364" spans="1:6" x14ac:dyDescent="0.25">
      <c r="A4364" s="4" t="s">
        <v>7</v>
      </c>
      <c r="B4364" s="4" t="s">
        <v>11829</v>
      </c>
      <c r="C4364" s="1" t="s">
        <v>11830</v>
      </c>
      <c r="D4364" s="1" t="s">
        <v>11831</v>
      </c>
      <c r="E4364" s="6">
        <v>783</v>
      </c>
    </row>
    <row r="4365" spans="1:6" x14ac:dyDescent="0.25">
      <c r="A4365" s="4" t="s">
        <v>7</v>
      </c>
      <c r="B4365" s="4" t="s">
        <v>11832</v>
      </c>
      <c r="C4365" s="1" t="s">
        <v>11833</v>
      </c>
      <c r="D4365" s="1" t="s">
        <v>11834</v>
      </c>
      <c r="E4365" s="6">
        <v>7224</v>
      </c>
    </row>
    <row r="4366" spans="1:6" x14ac:dyDescent="0.25">
      <c r="A4366" s="4" t="s">
        <v>7</v>
      </c>
      <c r="B4366" s="4" t="s">
        <v>11835</v>
      </c>
      <c r="C4366" s="1" t="s">
        <v>11836</v>
      </c>
      <c r="D4366" s="1" t="s">
        <v>11837</v>
      </c>
      <c r="E4366" s="6">
        <v>12653</v>
      </c>
    </row>
    <row r="4367" spans="1:6" x14ac:dyDescent="0.25">
      <c r="A4367" s="4" t="s">
        <v>7</v>
      </c>
      <c r="B4367" s="4" t="s">
        <v>11838</v>
      </c>
      <c r="C4367" s="1" t="s">
        <v>11839</v>
      </c>
      <c r="D4367" s="1" t="s">
        <v>11840</v>
      </c>
      <c r="E4367" s="6">
        <v>1469</v>
      </c>
    </row>
    <row r="4368" spans="1:6" x14ac:dyDescent="0.25">
      <c r="A4368" s="4" t="s">
        <v>7</v>
      </c>
      <c r="B4368" s="4" t="s">
        <v>11841</v>
      </c>
      <c r="C4368" s="1" t="s">
        <v>11842</v>
      </c>
      <c r="D4368" s="1" t="s">
        <v>11843</v>
      </c>
      <c r="E4368" s="6">
        <v>8526</v>
      </c>
      <c r="F4368" s="4" t="s">
        <v>131</v>
      </c>
    </row>
    <row r="4369" spans="1:6" x14ac:dyDescent="0.25">
      <c r="A4369" s="4" t="s">
        <v>7</v>
      </c>
      <c r="B4369" s="4" t="s">
        <v>11844</v>
      </c>
      <c r="C4369" s="1" t="s">
        <v>11845</v>
      </c>
      <c r="D4369" s="1" t="s">
        <v>10891</v>
      </c>
      <c r="E4369" s="6">
        <v>12265</v>
      </c>
    </row>
    <row r="4370" spans="1:6" x14ac:dyDescent="0.25">
      <c r="A4370" s="4" t="s">
        <v>7</v>
      </c>
      <c r="B4370" s="4" t="s">
        <v>11846</v>
      </c>
      <c r="C4370" s="1" t="s">
        <v>11847</v>
      </c>
      <c r="D4370" s="1" t="s">
        <v>11848</v>
      </c>
      <c r="E4370" s="6">
        <v>633</v>
      </c>
      <c r="F4370" s="4" t="s">
        <v>131</v>
      </c>
    </row>
    <row r="4371" spans="1:6" x14ac:dyDescent="0.25">
      <c r="A4371" s="4" t="s">
        <v>7</v>
      </c>
      <c r="B4371" s="4" t="s">
        <v>11849</v>
      </c>
      <c r="C4371" s="1" t="s">
        <v>11850</v>
      </c>
      <c r="D4371" s="1" t="s">
        <v>11851</v>
      </c>
      <c r="E4371" s="6">
        <v>2698</v>
      </c>
    </row>
    <row r="4372" spans="1:6" x14ac:dyDescent="0.25">
      <c r="A4372" s="4" t="s">
        <v>7</v>
      </c>
      <c r="B4372" s="4" t="s">
        <v>11852</v>
      </c>
      <c r="C4372" s="1" t="s">
        <v>11853</v>
      </c>
      <c r="D4372" s="1" t="s">
        <v>11854</v>
      </c>
      <c r="E4372" s="6">
        <v>2698</v>
      </c>
      <c r="F4372" s="4" t="s">
        <v>131</v>
      </c>
    </row>
    <row r="4373" spans="1:6" x14ac:dyDescent="0.25">
      <c r="A4373" s="4" t="s">
        <v>7</v>
      </c>
      <c r="B4373" s="4" t="s">
        <v>11855</v>
      </c>
      <c r="C4373" s="1" t="s">
        <v>11856</v>
      </c>
      <c r="D4373" s="1" t="s">
        <v>11857</v>
      </c>
      <c r="E4373" s="6">
        <v>6600</v>
      </c>
      <c r="F4373" s="4" t="s">
        <v>131</v>
      </c>
    </row>
    <row r="4374" spans="1:6" x14ac:dyDescent="0.25">
      <c r="A4374" s="4" t="s">
        <v>7</v>
      </c>
      <c r="B4374" s="4" t="s">
        <v>11858</v>
      </c>
      <c r="C4374" s="1" t="s">
        <v>11859</v>
      </c>
      <c r="D4374" s="1" t="s">
        <v>11860</v>
      </c>
      <c r="E4374" s="6">
        <v>786</v>
      </c>
      <c r="F4374" s="4" t="s">
        <v>131</v>
      </c>
    </row>
    <row r="4375" spans="1:6" x14ac:dyDescent="0.25">
      <c r="A4375" s="4" t="s">
        <v>7</v>
      </c>
      <c r="B4375" s="4" t="s">
        <v>11861</v>
      </c>
      <c r="C4375" s="1" t="s">
        <v>11862</v>
      </c>
      <c r="D4375" s="1" t="s">
        <v>11863</v>
      </c>
      <c r="E4375" s="6">
        <v>502</v>
      </c>
      <c r="F4375" s="4" t="s">
        <v>131</v>
      </c>
    </row>
    <row r="4376" spans="1:6" x14ac:dyDescent="0.25">
      <c r="A4376" s="4" t="s">
        <v>7</v>
      </c>
      <c r="B4376" s="4" t="s">
        <v>11864</v>
      </c>
      <c r="C4376" s="1" t="s">
        <v>11865</v>
      </c>
      <c r="D4376" s="1" t="s">
        <v>11866</v>
      </c>
      <c r="E4376" s="6">
        <v>914</v>
      </c>
    </row>
    <row r="4377" spans="1:6" x14ac:dyDescent="0.25">
      <c r="A4377" s="4" t="s">
        <v>7</v>
      </c>
      <c r="B4377" s="4" t="s">
        <v>11867</v>
      </c>
      <c r="C4377" s="1" t="s">
        <v>11868</v>
      </c>
      <c r="D4377" s="1" t="s">
        <v>1771</v>
      </c>
      <c r="E4377" s="6">
        <v>1077</v>
      </c>
      <c r="F4377" s="4" t="s">
        <v>131</v>
      </c>
    </row>
    <row r="4378" spans="1:6" x14ac:dyDescent="0.25">
      <c r="A4378" s="4" t="s">
        <v>7</v>
      </c>
      <c r="B4378" s="4" t="s">
        <v>11869</v>
      </c>
      <c r="C4378" s="1" t="s">
        <v>1777</v>
      </c>
      <c r="D4378" s="1" t="s">
        <v>1777</v>
      </c>
      <c r="E4378" s="6">
        <v>352</v>
      </c>
      <c r="F4378" s="4" t="s">
        <v>131</v>
      </c>
    </row>
    <row r="4379" spans="1:6" x14ac:dyDescent="0.25">
      <c r="A4379" s="4" t="s">
        <v>7</v>
      </c>
      <c r="B4379" s="4" t="s">
        <v>11870</v>
      </c>
      <c r="C4379" s="1" t="s">
        <v>10683</v>
      </c>
      <c r="D4379" s="1" t="s">
        <v>10683</v>
      </c>
      <c r="E4379" s="6">
        <v>52</v>
      </c>
      <c r="F4379" s="4" t="s">
        <v>131</v>
      </c>
    </row>
    <row r="4380" spans="1:6" x14ac:dyDescent="0.25">
      <c r="A4380" s="4" t="s">
        <v>7</v>
      </c>
      <c r="B4380" s="4" t="s">
        <v>11871</v>
      </c>
      <c r="C4380" s="1" t="s">
        <v>11872</v>
      </c>
      <c r="D4380" s="1" t="s">
        <v>11873</v>
      </c>
      <c r="E4380" s="6">
        <v>1636</v>
      </c>
      <c r="F4380" s="4" t="s">
        <v>131</v>
      </c>
    </row>
    <row r="4381" spans="1:6" x14ac:dyDescent="0.25">
      <c r="A4381" s="4" t="s">
        <v>7</v>
      </c>
      <c r="B4381" s="4" t="s">
        <v>11874</v>
      </c>
      <c r="C4381" s="1" t="s">
        <v>11875</v>
      </c>
      <c r="D4381" s="1" t="s">
        <v>11873</v>
      </c>
      <c r="E4381" s="6">
        <v>1150</v>
      </c>
      <c r="F4381" s="4" t="s">
        <v>131</v>
      </c>
    </row>
    <row r="4382" spans="1:6" x14ac:dyDescent="0.25">
      <c r="A4382" s="4" t="s">
        <v>7</v>
      </c>
      <c r="B4382" s="4" t="s">
        <v>11876</v>
      </c>
      <c r="C4382" s="1" t="s">
        <v>11877</v>
      </c>
      <c r="D4382" s="1" t="s">
        <v>11878</v>
      </c>
      <c r="E4382" s="6">
        <v>254</v>
      </c>
      <c r="F4382" s="4" t="s">
        <v>131</v>
      </c>
    </row>
    <row r="4383" spans="1:6" x14ac:dyDescent="0.25">
      <c r="A4383" s="4" t="s">
        <v>7</v>
      </c>
      <c r="B4383" s="4" t="s">
        <v>11879</v>
      </c>
      <c r="C4383" s="1" t="s">
        <v>11880</v>
      </c>
      <c r="D4383" s="1" t="s">
        <v>11880</v>
      </c>
      <c r="E4383" s="6">
        <v>135</v>
      </c>
      <c r="F4383" s="4" t="s">
        <v>131</v>
      </c>
    </row>
    <row r="4384" spans="1:6" x14ac:dyDescent="0.25">
      <c r="A4384" s="4" t="s">
        <v>7</v>
      </c>
      <c r="B4384" s="4" t="s">
        <v>11881</v>
      </c>
      <c r="C4384" s="1" t="s">
        <v>11882</v>
      </c>
      <c r="D4384" s="1" t="s">
        <v>11882</v>
      </c>
      <c r="E4384" s="6">
        <v>135</v>
      </c>
      <c r="F4384" s="4" t="s">
        <v>131</v>
      </c>
    </row>
    <row r="4385" spans="1:6" x14ac:dyDescent="0.25">
      <c r="A4385" s="4" t="s">
        <v>7</v>
      </c>
      <c r="B4385" s="4" t="s">
        <v>11883</v>
      </c>
      <c r="C4385" s="1" t="s">
        <v>11884</v>
      </c>
      <c r="D4385" s="1" t="s">
        <v>11884</v>
      </c>
      <c r="E4385" s="6">
        <v>3200</v>
      </c>
      <c r="F4385" s="4" t="s">
        <v>131</v>
      </c>
    </row>
    <row r="4386" spans="1:6" x14ac:dyDescent="0.25">
      <c r="A4386" s="4" t="s">
        <v>7</v>
      </c>
      <c r="B4386" s="4" t="s">
        <v>11885</v>
      </c>
      <c r="C4386" s="1" t="s">
        <v>11886</v>
      </c>
      <c r="D4386" s="1" t="s">
        <v>11886</v>
      </c>
      <c r="E4386" s="6">
        <v>135</v>
      </c>
      <c r="F4386" s="4" t="s">
        <v>131</v>
      </c>
    </row>
    <row r="4387" spans="1:6" x14ac:dyDescent="0.25">
      <c r="A4387" s="4" t="s">
        <v>7</v>
      </c>
      <c r="B4387" s="4" t="s">
        <v>11887</v>
      </c>
      <c r="C4387" s="1" t="s">
        <v>11888</v>
      </c>
      <c r="D4387" s="1" t="s">
        <v>1464</v>
      </c>
      <c r="E4387" s="6">
        <v>32618</v>
      </c>
      <c r="F4387" s="4" t="s">
        <v>131</v>
      </c>
    </row>
    <row r="4388" spans="1:6" x14ac:dyDescent="0.25">
      <c r="A4388" s="4" t="s">
        <v>7</v>
      </c>
      <c r="B4388" s="4" t="s">
        <v>11889</v>
      </c>
      <c r="C4388" s="1" t="s">
        <v>11890</v>
      </c>
      <c r="D4388" s="1" t="s">
        <v>11890</v>
      </c>
      <c r="E4388" s="6">
        <v>22825</v>
      </c>
      <c r="F4388" s="4" t="s">
        <v>131</v>
      </c>
    </row>
    <row r="4389" spans="1:6" x14ac:dyDescent="0.25">
      <c r="A4389" s="4" t="s">
        <v>7</v>
      </c>
      <c r="B4389" s="4" t="s">
        <v>11891</v>
      </c>
      <c r="C4389" s="1" t="s">
        <v>11892</v>
      </c>
      <c r="D4389" s="1" t="s">
        <v>11893</v>
      </c>
      <c r="E4389" s="6">
        <v>5580</v>
      </c>
      <c r="F4389" s="4" t="s">
        <v>131</v>
      </c>
    </row>
    <row r="4390" spans="1:6" x14ac:dyDescent="0.25">
      <c r="A4390" s="4" t="s">
        <v>7</v>
      </c>
      <c r="B4390" s="4" t="s">
        <v>11894</v>
      </c>
      <c r="C4390" s="1" t="s">
        <v>11895</v>
      </c>
      <c r="D4390" s="1" t="s">
        <v>11895</v>
      </c>
      <c r="E4390" s="6">
        <v>2698</v>
      </c>
      <c r="F4390" s="4" t="s">
        <v>131</v>
      </c>
    </row>
    <row r="4391" spans="1:6" x14ac:dyDescent="0.25">
      <c r="A4391" s="4" t="s">
        <v>7</v>
      </c>
      <c r="B4391" s="4" t="s">
        <v>11896</v>
      </c>
      <c r="C4391" s="1" t="s">
        <v>11897</v>
      </c>
      <c r="D4391" s="1" t="s">
        <v>11898</v>
      </c>
      <c r="E4391" s="6">
        <v>332</v>
      </c>
      <c r="F4391" s="4" t="s">
        <v>131</v>
      </c>
    </row>
    <row r="4392" spans="1:6" x14ac:dyDescent="0.25">
      <c r="A4392" s="4" t="s">
        <v>7</v>
      </c>
      <c r="B4392" s="4" t="s">
        <v>11899</v>
      </c>
      <c r="C4392" s="1" t="s">
        <v>11900</v>
      </c>
      <c r="D4392" s="1" t="s">
        <v>11900</v>
      </c>
      <c r="E4392" s="6">
        <v>3958</v>
      </c>
      <c r="F4392" s="4" t="s">
        <v>131</v>
      </c>
    </row>
    <row r="4393" spans="1:6" x14ac:dyDescent="0.25">
      <c r="A4393" s="4" t="s">
        <v>7</v>
      </c>
      <c r="B4393" s="4" t="s">
        <v>11901</v>
      </c>
      <c r="C4393" s="1" t="s">
        <v>11902</v>
      </c>
      <c r="D4393" s="1" t="s">
        <v>11903</v>
      </c>
      <c r="E4393" s="6">
        <v>793</v>
      </c>
      <c r="F4393" s="4" t="s">
        <v>131</v>
      </c>
    </row>
    <row r="4394" spans="1:6" x14ac:dyDescent="0.25">
      <c r="A4394" s="4" t="s">
        <v>7</v>
      </c>
      <c r="B4394" s="4" t="s">
        <v>11904</v>
      </c>
      <c r="C4394" s="1" t="s">
        <v>11905</v>
      </c>
      <c r="D4394" s="1" t="s">
        <v>11905</v>
      </c>
      <c r="E4394" s="6">
        <v>13410</v>
      </c>
      <c r="F4394" s="4" t="s">
        <v>131</v>
      </c>
    </row>
    <row r="4395" spans="1:6" x14ac:dyDescent="0.25">
      <c r="A4395" s="4" t="s">
        <v>7</v>
      </c>
      <c r="B4395" s="4" t="s">
        <v>11906</v>
      </c>
      <c r="C4395" s="1" t="s">
        <v>11907</v>
      </c>
      <c r="D4395" s="1" t="s">
        <v>11908</v>
      </c>
      <c r="E4395" s="6">
        <v>183</v>
      </c>
      <c r="F4395" s="4" t="s">
        <v>131</v>
      </c>
    </row>
    <row r="4396" spans="1:6" x14ac:dyDescent="0.25">
      <c r="A4396" s="4" t="s">
        <v>7</v>
      </c>
      <c r="B4396" s="4" t="s">
        <v>11909</v>
      </c>
      <c r="C4396" s="1" t="s">
        <v>11910</v>
      </c>
      <c r="D4396" s="1" t="s">
        <v>11911</v>
      </c>
      <c r="E4396" s="6">
        <v>6336</v>
      </c>
      <c r="F4396" s="4" t="s">
        <v>131</v>
      </c>
    </row>
    <row r="4397" spans="1:6" x14ac:dyDescent="0.25">
      <c r="A4397" s="4" t="s">
        <v>7</v>
      </c>
      <c r="B4397" s="4" t="s">
        <v>11912</v>
      </c>
      <c r="C4397" s="1" t="s">
        <v>11913</v>
      </c>
      <c r="D4397" s="1" t="s">
        <v>11914</v>
      </c>
      <c r="E4397" s="6">
        <v>24635</v>
      </c>
      <c r="F4397" s="4" t="s">
        <v>131</v>
      </c>
    </row>
    <row r="4398" spans="1:6" x14ac:dyDescent="0.25">
      <c r="A4398" s="4" t="s">
        <v>7</v>
      </c>
      <c r="B4398" s="4" t="s">
        <v>11915</v>
      </c>
      <c r="C4398" s="1" t="s">
        <v>11916</v>
      </c>
      <c r="D4398" s="1" t="s">
        <v>11917</v>
      </c>
      <c r="E4398" s="6">
        <v>9419</v>
      </c>
      <c r="F4398" s="4" t="s">
        <v>131</v>
      </c>
    </row>
    <row r="4399" spans="1:6" x14ac:dyDescent="0.25">
      <c r="A4399" s="4" t="s">
        <v>7</v>
      </c>
      <c r="B4399" s="4" t="s">
        <v>11918</v>
      </c>
      <c r="C4399" s="1" t="s">
        <v>11919</v>
      </c>
      <c r="D4399" s="1" t="s">
        <v>11920</v>
      </c>
      <c r="E4399" s="6">
        <v>2699</v>
      </c>
      <c r="F4399" s="4" t="s">
        <v>131</v>
      </c>
    </row>
    <row r="4400" spans="1:6" x14ac:dyDescent="0.25">
      <c r="A4400" s="4" t="s">
        <v>7</v>
      </c>
      <c r="B4400" s="4" t="s">
        <v>11921</v>
      </c>
      <c r="C4400" s="1" t="s">
        <v>11922</v>
      </c>
      <c r="D4400" s="1" t="s">
        <v>11923</v>
      </c>
      <c r="E4400" s="6">
        <v>9415</v>
      </c>
      <c r="F4400" s="4" t="s">
        <v>131</v>
      </c>
    </row>
    <row r="4401" spans="1:6" x14ac:dyDescent="0.25">
      <c r="A4401" s="4" t="s">
        <v>7</v>
      </c>
      <c r="B4401" s="4" t="s">
        <v>11924</v>
      </c>
      <c r="C4401" s="1" t="s">
        <v>11925</v>
      </c>
      <c r="D4401" s="1" t="s">
        <v>11926</v>
      </c>
      <c r="E4401" s="6">
        <v>914</v>
      </c>
      <c r="F4401" s="4" t="s">
        <v>131</v>
      </c>
    </row>
    <row r="4402" spans="1:6" x14ac:dyDescent="0.25">
      <c r="A4402" s="4" t="s">
        <v>7</v>
      </c>
      <c r="B4402" s="4" t="s">
        <v>11927</v>
      </c>
      <c r="C4402" s="1" t="s">
        <v>11928</v>
      </c>
      <c r="D4402" s="1" t="s">
        <v>11929</v>
      </c>
      <c r="E4402" s="6">
        <v>21217</v>
      </c>
    </row>
    <row r="4403" spans="1:6" x14ac:dyDescent="0.25">
      <c r="A4403" s="4" t="s">
        <v>7</v>
      </c>
      <c r="B4403" s="4" t="s">
        <v>11930</v>
      </c>
      <c r="C4403" s="1" t="s">
        <v>11931</v>
      </c>
      <c r="D4403" s="1" t="s">
        <v>11932</v>
      </c>
      <c r="E4403" s="6">
        <v>2035</v>
      </c>
      <c r="F4403" s="4" t="s">
        <v>131</v>
      </c>
    </row>
    <row r="4404" spans="1:6" x14ac:dyDescent="0.25">
      <c r="A4404" s="4" t="s">
        <v>7</v>
      </c>
      <c r="B4404" s="4" t="s">
        <v>11933</v>
      </c>
      <c r="C4404" s="1" t="s">
        <v>11934</v>
      </c>
      <c r="D4404" s="1" t="s">
        <v>11935</v>
      </c>
      <c r="E4404" s="6">
        <v>377</v>
      </c>
      <c r="F4404" s="4" t="s">
        <v>131</v>
      </c>
    </row>
    <row r="4405" spans="1:6" x14ac:dyDescent="0.25">
      <c r="A4405" s="4" t="s">
        <v>7</v>
      </c>
      <c r="B4405" s="4" t="s">
        <v>11936</v>
      </c>
      <c r="C4405" s="1" t="s">
        <v>11937</v>
      </c>
      <c r="D4405" s="1" t="s">
        <v>10683</v>
      </c>
      <c r="E4405" s="6">
        <v>239</v>
      </c>
      <c r="F4405" s="4" t="s">
        <v>131</v>
      </c>
    </row>
    <row r="4406" spans="1:6" x14ac:dyDescent="0.25">
      <c r="A4406" s="4" t="s">
        <v>7</v>
      </c>
      <c r="B4406" s="4" t="s">
        <v>11938</v>
      </c>
      <c r="C4406" s="1" t="s">
        <v>11939</v>
      </c>
      <c r="D4406" s="1" t="s">
        <v>11940</v>
      </c>
      <c r="E4406" s="6">
        <v>135</v>
      </c>
      <c r="F4406" s="4" t="s">
        <v>131</v>
      </c>
    </row>
    <row r="4407" spans="1:6" x14ac:dyDescent="0.25">
      <c r="A4407" s="4" t="s">
        <v>7</v>
      </c>
      <c r="B4407" s="4" t="s">
        <v>11941</v>
      </c>
      <c r="C4407" s="1" t="s">
        <v>11942</v>
      </c>
      <c r="D4407" s="1" t="s">
        <v>11943</v>
      </c>
      <c r="E4407" s="6">
        <v>135</v>
      </c>
      <c r="F4407" s="4" t="s">
        <v>131</v>
      </c>
    </row>
    <row r="4408" spans="1:6" x14ac:dyDescent="0.25">
      <c r="A4408" s="4" t="s">
        <v>7</v>
      </c>
      <c r="B4408" s="4" t="s">
        <v>11944</v>
      </c>
      <c r="C4408" s="1" t="s">
        <v>11945</v>
      </c>
      <c r="D4408" s="1" t="s">
        <v>11946</v>
      </c>
      <c r="E4408" s="6">
        <v>135</v>
      </c>
      <c r="F4408" s="4" t="s">
        <v>131</v>
      </c>
    </row>
    <row r="4409" spans="1:6" x14ac:dyDescent="0.25">
      <c r="A4409" s="4" t="s">
        <v>7</v>
      </c>
      <c r="B4409" s="4" t="s">
        <v>11947</v>
      </c>
      <c r="C4409" s="1" t="s">
        <v>11948</v>
      </c>
      <c r="D4409" s="1" t="s">
        <v>11949</v>
      </c>
      <c r="E4409" s="6">
        <v>135</v>
      </c>
      <c r="F4409" s="4" t="s">
        <v>131</v>
      </c>
    </row>
    <row r="4410" spans="1:6" x14ac:dyDescent="0.25">
      <c r="A4410" s="4" t="s">
        <v>7</v>
      </c>
      <c r="B4410" s="4" t="s">
        <v>11950</v>
      </c>
      <c r="C4410" s="1" t="s">
        <v>11951</v>
      </c>
      <c r="D4410" s="1" t="s">
        <v>11952</v>
      </c>
      <c r="E4410" s="6">
        <v>135</v>
      </c>
      <c r="F4410" s="4" t="s">
        <v>131</v>
      </c>
    </row>
    <row r="4411" spans="1:6" x14ac:dyDescent="0.25">
      <c r="A4411" s="4" t="s">
        <v>7</v>
      </c>
      <c r="B4411" s="4" t="s">
        <v>11953</v>
      </c>
      <c r="C4411" s="1" t="s">
        <v>11954</v>
      </c>
      <c r="D4411" s="1" t="s">
        <v>11954</v>
      </c>
      <c r="E4411" s="6">
        <v>135</v>
      </c>
      <c r="F4411" s="4" t="s">
        <v>131</v>
      </c>
    </row>
    <row r="4412" spans="1:6" x14ac:dyDescent="0.25">
      <c r="A4412" s="4" t="s">
        <v>7</v>
      </c>
      <c r="B4412" s="4" t="s">
        <v>11955</v>
      </c>
      <c r="C4412" s="1" t="s">
        <v>11956</v>
      </c>
      <c r="D4412" s="1" t="s">
        <v>11957</v>
      </c>
      <c r="E4412" s="6">
        <v>3958</v>
      </c>
      <c r="F4412" s="4" t="s">
        <v>131</v>
      </c>
    </row>
    <row r="4413" spans="1:6" x14ac:dyDescent="0.25">
      <c r="A4413" s="4" t="s">
        <v>7</v>
      </c>
      <c r="B4413" s="4" t="s">
        <v>11958</v>
      </c>
      <c r="C4413" s="1" t="s">
        <v>11959</v>
      </c>
      <c r="D4413" s="1" t="s">
        <v>11959</v>
      </c>
      <c r="E4413" s="6">
        <v>470</v>
      </c>
      <c r="F4413" s="4" t="s">
        <v>131</v>
      </c>
    </row>
    <row r="4414" spans="1:6" x14ac:dyDescent="0.25">
      <c r="A4414" s="4" t="s">
        <v>7</v>
      </c>
      <c r="B4414" s="4" t="s">
        <v>11960</v>
      </c>
      <c r="C4414" s="1" t="s">
        <v>11961</v>
      </c>
      <c r="D4414" s="1" t="s">
        <v>11962</v>
      </c>
      <c r="E4414" s="6">
        <v>60918</v>
      </c>
      <c r="F4414" s="4" t="s">
        <v>131</v>
      </c>
    </row>
    <row r="4415" spans="1:6" x14ac:dyDescent="0.25">
      <c r="A4415" s="4" t="s">
        <v>7</v>
      </c>
      <c r="B4415" s="4" t="s">
        <v>11963</v>
      </c>
      <c r="C4415" s="1" t="s">
        <v>11964</v>
      </c>
      <c r="D4415" s="1" t="s">
        <v>11965</v>
      </c>
      <c r="E4415" s="6">
        <v>793</v>
      </c>
      <c r="F4415" s="4" t="s">
        <v>131</v>
      </c>
    </row>
    <row r="4416" spans="1:6" x14ac:dyDescent="0.25">
      <c r="A4416" s="4" t="s">
        <v>7</v>
      </c>
      <c r="B4416" s="4" t="s">
        <v>11966</v>
      </c>
      <c r="C4416" s="1" t="s">
        <v>11967</v>
      </c>
      <c r="D4416" s="1" t="s">
        <v>11968</v>
      </c>
      <c r="E4416" s="6">
        <v>3262</v>
      </c>
      <c r="F4416" s="4" t="s">
        <v>131</v>
      </c>
    </row>
    <row r="4417" spans="1:6" x14ac:dyDescent="0.25">
      <c r="A4417" s="4" t="s">
        <v>7</v>
      </c>
      <c r="B4417" s="4" t="s">
        <v>11969</v>
      </c>
      <c r="C4417" s="1" t="s">
        <v>11970</v>
      </c>
      <c r="D4417" s="1" t="s">
        <v>11968</v>
      </c>
      <c r="E4417" s="6">
        <v>3262</v>
      </c>
      <c r="F4417" s="4" t="s">
        <v>131</v>
      </c>
    </row>
    <row r="4418" spans="1:6" x14ac:dyDescent="0.25">
      <c r="A4418" s="4" t="s">
        <v>7</v>
      </c>
      <c r="B4418" s="4" t="s">
        <v>11971</v>
      </c>
      <c r="C4418" s="1" t="s">
        <v>11972</v>
      </c>
      <c r="D4418" s="1" t="s">
        <v>11973</v>
      </c>
      <c r="E4418" s="6">
        <v>4792.21</v>
      </c>
      <c r="F4418" s="4" t="s">
        <v>131</v>
      </c>
    </row>
    <row r="4419" spans="1:6" x14ac:dyDescent="0.25">
      <c r="A4419" s="4" t="s">
        <v>7</v>
      </c>
      <c r="B4419" s="4" t="s">
        <v>11974</v>
      </c>
      <c r="C4419" s="1" t="s">
        <v>11975</v>
      </c>
      <c r="D4419" s="1" t="s">
        <v>1540</v>
      </c>
      <c r="E4419" s="6">
        <v>2698</v>
      </c>
      <c r="F4419" s="4" t="s">
        <v>131</v>
      </c>
    </row>
    <row r="4420" spans="1:6" x14ac:dyDescent="0.25">
      <c r="A4420" s="4" t="s">
        <v>7</v>
      </c>
      <c r="B4420" s="4" t="s">
        <v>11976</v>
      </c>
      <c r="C4420" s="1" t="s">
        <v>11977</v>
      </c>
      <c r="D4420" s="1" t="s">
        <v>1540</v>
      </c>
      <c r="E4420" s="6">
        <v>671</v>
      </c>
      <c r="F4420" s="4" t="s">
        <v>131</v>
      </c>
    </row>
    <row r="4421" spans="1:6" x14ac:dyDescent="0.25">
      <c r="A4421" s="4" t="s">
        <v>7</v>
      </c>
      <c r="B4421" s="4" t="s">
        <v>11978</v>
      </c>
      <c r="C4421" s="1" t="s">
        <v>11979</v>
      </c>
      <c r="D4421" s="1" t="s">
        <v>11911</v>
      </c>
      <c r="E4421" s="6">
        <v>1650</v>
      </c>
      <c r="F4421" s="4" t="s">
        <v>131</v>
      </c>
    </row>
    <row r="4422" spans="1:6" x14ac:dyDescent="0.25">
      <c r="A4422" s="4" t="s">
        <v>7</v>
      </c>
      <c r="B4422" s="4" t="s">
        <v>11980</v>
      </c>
      <c r="C4422" s="1" t="s">
        <v>11981</v>
      </c>
      <c r="D4422" s="1" t="s">
        <v>11982</v>
      </c>
      <c r="E4422" s="6">
        <v>5175</v>
      </c>
      <c r="F4422" s="4" t="s">
        <v>131</v>
      </c>
    </row>
    <row r="4423" spans="1:6" x14ac:dyDescent="0.25">
      <c r="A4423" s="4" t="s">
        <v>7</v>
      </c>
      <c r="B4423" s="4" t="s">
        <v>11983</v>
      </c>
      <c r="C4423" s="1" t="s">
        <v>11984</v>
      </c>
      <c r="D4423" s="1" t="s">
        <v>11985</v>
      </c>
      <c r="E4423" s="6">
        <v>3535</v>
      </c>
      <c r="F4423" s="4" t="s">
        <v>131</v>
      </c>
    </row>
    <row r="4424" spans="1:6" x14ac:dyDescent="0.25">
      <c r="A4424" s="4" t="s">
        <v>7</v>
      </c>
      <c r="B4424" s="4" t="s">
        <v>11986</v>
      </c>
      <c r="C4424" s="1" t="s">
        <v>11987</v>
      </c>
      <c r="D4424" s="1" t="s">
        <v>11988</v>
      </c>
      <c r="E4424" s="6">
        <v>22546</v>
      </c>
      <c r="F4424" s="4" t="s">
        <v>131</v>
      </c>
    </row>
    <row r="4425" spans="1:6" x14ac:dyDescent="0.25">
      <c r="A4425" s="4" t="s">
        <v>7</v>
      </c>
      <c r="B4425" s="4" t="s">
        <v>11989</v>
      </c>
      <c r="C4425" s="1" t="s">
        <v>11990</v>
      </c>
      <c r="D4425" s="1" t="s">
        <v>11991</v>
      </c>
      <c r="E4425" s="6">
        <v>1155.8399999999999</v>
      </c>
      <c r="F4425" s="4" t="s">
        <v>131</v>
      </c>
    </row>
    <row r="4426" spans="1:6" x14ac:dyDescent="0.25">
      <c r="A4426" s="4" t="s">
        <v>7</v>
      </c>
      <c r="B4426" s="4" t="s">
        <v>11992</v>
      </c>
      <c r="C4426" s="1" t="s">
        <v>11993</v>
      </c>
      <c r="D4426" s="1" t="s">
        <v>11994</v>
      </c>
      <c r="E4426" s="6">
        <v>464</v>
      </c>
      <c r="F4426" s="4" t="s">
        <v>131</v>
      </c>
    </row>
    <row r="4427" spans="1:6" x14ac:dyDescent="0.25">
      <c r="A4427" s="4" t="s">
        <v>7</v>
      </c>
      <c r="B4427" s="4" t="s">
        <v>11995</v>
      </c>
      <c r="C4427" s="1" t="s">
        <v>11996</v>
      </c>
      <c r="D4427" s="1" t="s">
        <v>11997</v>
      </c>
      <c r="E4427" s="6">
        <v>5316</v>
      </c>
    </row>
    <row r="4428" spans="1:6" x14ac:dyDescent="0.25">
      <c r="A4428" s="4" t="s">
        <v>7</v>
      </c>
      <c r="B4428" s="4" t="s">
        <v>11998</v>
      </c>
      <c r="C4428" s="1" t="s">
        <v>11999</v>
      </c>
      <c r="D4428" s="1" t="s">
        <v>11997</v>
      </c>
      <c r="E4428" s="6">
        <v>789</v>
      </c>
      <c r="F4428" s="4" t="s">
        <v>131</v>
      </c>
    </row>
    <row r="4429" spans="1:6" x14ac:dyDescent="0.25">
      <c r="A4429" s="4" t="s">
        <v>7</v>
      </c>
      <c r="B4429" s="4" t="s">
        <v>12000</v>
      </c>
      <c r="C4429" s="1" t="s">
        <v>12001</v>
      </c>
      <c r="D4429" s="1" t="s">
        <v>11866</v>
      </c>
      <c r="E4429" s="6">
        <v>846</v>
      </c>
      <c r="F4429" s="4" t="s">
        <v>131</v>
      </c>
    </row>
    <row r="4430" spans="1:6" x14ac:dyDescent="0.25">
      <c r="A4430" s="4" t="s">
        <v>7</v>
      </c>
      <c r="B4430" s="4" t="s">
        <v>12002</v>
      </c>
      <c r="C4430" s="1" t="s">
        <v>12003</v>
      </c>
      <c r="D4430" s="1" t="s">
        <v>11866</v>
      </c>
      <c r="E4430" s="6">
        <v>4093</v>
      </c>
      <c r="F4430" s="4" t="s">
        <v>131</v>
      </c>
    </row>
    <row r="4431" spans="1:6" x14ac:dyDescent="0.25">
      <c r="A4431" s="4" t="s">
        <v>7</v>
      </c>
      <c r="B4431" s="4" t="s">
        <v>12004</v>
      </c>
      <c r="C4431" s="1" t="s">
        <v>12005</v>
      </c>
      <c r="D4431" s="1" t="s">
        <v>12006</v>
      </c>
      <c r="E4431" s="6">
        <v>116</v>
      </c>
      <c r="F4431" s="4" t="s">
        <v>131</v>
      </c>
    </row>
    <row r="4432" spans="1:6" x14ac:dyDescent="0.25">
      <c r="A4432" s="4" t="s">
        <v>7</v>
      </c>
      <c r="B4432" s="4" t="s">
        <v>12007</v>
      </c>
      <c r="C4432" s="1" t="s">
        <v>12008</v>
      </c>
      <c r="D4432" s="1" t="s">
        <v>12009</v>
      </c>
      <c r="E4432" s="6">
        <v>12653</v>
      </c>
      <c r="F4432" s="4" t="s">
        <v>131</v>
      </c>
    </row>
    <row r="4433" spans="1:6" x14ac:dyDescent="0.25">
      <c r="A4433" s="4" t="s">
        <v>7</v>
      </c>
      <c r="B4433" s="4" t="s">
        <v>12010</v>
      </c>
      <c r="C4433" s="1" t="s">
        <v>12011</v>
      </c>
      <c r="D4433" s="1" t="s">
        <v>12012</v>
      </c>
      <c r="E4433" s="6">
        <v>135</v>
      </c>
      <c r="F4433" s="4" t="s">
        <v>131</v>
      </c>
    </row>
    <row r="4434" spans="1:6" x14ac:dyDescent="0.25">
      <c r="A4434" s="4" t="s">
        <v>7</v>
      </c>
      <c r="B4434" s="4" t="s">
        <v>12013</v>
      </c>
      <c r="C4434" s="1" t="s">
        <v>12014</v>
      </c>
      <c r="D4434" s="1" t="s">
        <v>12015</v>
      </c>
      <c r="E4434" s="6">
        <v>135</v>
      </c>
      <c r="F4434" s="4" t="s">
        <v>131</v>
      </c>
    </row>
    <row r="4435" spans="1:6" x14ac:dyDescent="0.25">
      <c r="A4435" s="4" t="s">
        <v>7</v>
      </c>
      <c r="B4435" s="4" t="s">
        <v>12016</v>
      </c>
      <c r="C4435" s="1" t="s">
        <v>12017</v>
      </c>
      <c r="D4435" s="1" t="s">
        <v>12015</v>
      </c>
      <c r="E4435" s="6">
        <v>773</v>
      </c>
      <c r="F4435" s="4" t="s">
        <v>131</v>
      </c>
    </row>
    <row r="4436" spans="1:6" x14ac:dyDescent="0.25">
      <c r="A4436" s="4" t="s">
        <v>7</v>
      </c>
      <c r="B4436" s="4" t="s">
        <v>12018</v>
      </c>
      <c r="C4436" s="1" t="s">
        <v>12019</v>
      </c>
      <c r="D4436" s="1" t="s">
        <v>12015</v>
      </c>
      <c r="E4436" s="6">
        <v>135</v>
      </c>
      <c r="F4436" s="4" t="s">
        <v>131</v>
      </c>
    </row>
    <row r="4437" spans="1:6" x14ac:dyDescent="0.25">
      <c r="A4437" s="4" t="s">
        <v>7</v>
      </c>
      <c r="B4437" s="4" t="s">
        <v>12020</v>
      </c>
      <c r="C4437" s="1" t="s">
        <v>12021</v>
      </c>
      <c r="D4437" s="1" t="s">
        <v>12015</v>
      </c>
      <c r="E4437" s="6">
        <v>135</v>
      </c>
      <c r="F4437" s="4" t="s">
        <v>131</v>
      </c>
    </row>
    <row r="4438" spans="1:6" x14ac:dyDescent="0.25">
      <c r="A4438" s="4" t="s">
        <v>7</v>
      </c>
      <c r="B4438" s="4" t="s">
        <v>12022</v>
      </c>
      <c r="C4438" s="1" t="s">
        <v>12023</v>
      </c>
      <c r="D4438" s="1" t="s">
        <v>12023</v>
      </c>
      <c r="E4438" s="6">
        <v>135</v>
      </c>
      <c r="F4438" s="4" t="s">
        <v>131</v>
      </c>
    </row>
    <row r="4439" spans="1:6" x14ac:dyDescent="0.25">
      <c r="A4439" s="4" t="s">
        <v>7</v>
      </c>
      <c r="B4439" s="4" t="s">
        <v>12024</v>
      </c>
      <c r="C4439" s="1" t="s">
        <v>12025</v>
      </c>
      <c r="D4439" s="1" t="s">
        <v>12026</v>
      </c>
      <c r="E4439" s="6">
        <v>135</v>
      </c>
      <c r="F4439" s="4" t="s">
        <v>131</v>
      </c>
    </row>
    <row r="4440" spans="1:6" x14ac:dyDescent="0.25">
      <c r="A4440" s="4" t="s">
        <v>7</v>
      </c>
      <c r="B4440" s="4" t="s">
        <v>12027</v>
      </c>
      <c r="C4440" s="1" t="s">
        <v>12028</v>
      </c>
      <c r="D4440" s="1" t="s">
        <v>12029</v>
      </c>
      <c r="E4440" s="6">
        <v>135</v>
      </c>
      <c r="F4440" s="4" t="s">
        <v>131</v>
      </c>
    </row>
    <row r="4441" spans="1:6" x14ac:dyDescent="0.25">
      <c r="A4441" s="4" t="s">
        <v>7</v>
      </c>
      <c r="B4441" s="4" t="s">
        <v>12030</v>
      </c>
      <c r="C4441" s="1" t="s">
        <v>12031</v>
      </c>
      <c r="D4441" s="1" t="s">
        <v>12032</v>
      </c>
      <c r="E4441" s="6">
        <v>793</v>
      </c>
      <c r="F4441" s="4" t="s">
        <v>131</v>
      </c>
    </row>
    <row r="4442" spans="1:6" x14ac:dyDescent="0.25">
      <c r="A4442" s="4" t="s">
        <v>7</v>
      </c>
      <c r="B4442" s="4" t="s">
        <v>12033</v>
      </c>
      <c r="C4442" s="1" t="s">
        <v>12034</v>
      </c>
      <c r="D4442" s="1" t="s">
        <v>12035</v>
      </c>
      <c r="E4442" s="6">
        <v>21461</v>
      </c>
      <c r="F4442" s="4" t="s">
        <v>131</v>
      </c>
    </row>
    <row r="4443" spans="1:6" x14ac:dyDescent="0.25">
      <c r="A4443" s="4" t="s">
        <v>7</v>
      </c>
      <c r="B4443" s="4" t="s">
        <v>12036</v>
      </c>
      <c r="C4443" s="1" t="s">
        <v>12037</v>
      </c>
      <c r="D4443" s="1" t="s">
        <v>12038</v>
      </c>
      <c r="E4443" s="6">
        <v>717</v>
      </c>
      <c r="F4443" s="4" t="s">
        <v>131</v>
      </c>
    </row>
    <row r="4444" spans="1:6" x14ac:dyDescent="0.25">
      <c r="A4444" s="4" t="s">
        <v>7</v>
      </c>
      <c r="B4444" s="4" t="s">
        <v>12039</v>
      </c>
      <c r="C4444" s="1" t="s">
        <v>12040</v>
      </c>
      <c r="D4444" s="1" t="s">
        <v>12041</v>
      </c>
      <c r="E4444" s="6">
        <v>3958</v>
      </c>
      <c r="F4444" s="4" t="s">
        <v>131</v>
      </c>
    </row>
    <row r="4445" spans="1:6" x14ac:dyDescent="0.25">
      <c r="A4445" s="4" t="s">
        <v>7</v>
      </c>
      <c r="B4445" s="4" t="s">
        <v>12042</v>
      </c>
      <c r="C4445" s="1" t="s">
        <v>12043</v>
      </c>
      <c r="D4445" s="1" t="s">
        <v>12044</v>
      </c>
      <c r="E4445" s="6">
        <v>442</v>
      </c>
      <c r="F4445" s="4" t="s">
        <v>131</v>
      </c>
    </row>
    <row r="4446" spans="1:6" x14ac:dyDescent="0.25">
      <c r="A4446" s="4" t="s">
        <v>7</v>
      </c>
      <c r="B4446" s="4" t="s">
        <v>12045</v>
      </c>
      <c r="C4446" s="1" t="s">
        <v>12046</v>
      </c>
      <c r="D4446" s="1" t="s">
        <v>12044</v>
      </c>
      <c r="E4446" s="6">
        <v>208</v>
      </c>
      <c r="F4446" s="4" t="s">
        <v>131</v>
      </c>
    </row>
    <row r="4447" spans="1:6" x14ac:dyDescent="0.25">
      <c r="A4447" s="4" t="s">
        <v>7</v>
      </c>
      <c r="B4447" s="4" t="s">
        <v>12047</v>
      </c>
      <c r="C4447" s="1" t="s">
        <v>12048</v>
      </c>
      <c r="D4447" s="1" t="s">
        <v>12049</v>
      </c>
      <c r="E4447" s="6">
        <v>24721</v>
      </c>
      <c r="F4447" s="4" t="s">
        <v>131</v>
      </c>
    </row>
    <row r="4448" spans="1:6" x14ac:dyDescent="0.25">
      <c r="A4448" s="4" t="s">
        <v>7</v>
      </c>
      <c r="B4448" s="4" t="s">
        <v>12050</v>
      </c>
      <c r="C4448" s="1" t="s">
        <v>12051</v>
      </c>
      <c r="D4448" s="1" t="s">
        <v>12052</v>
      </c>
      <c r="E4448" s="6">
        <v>1926</v>
      </c>
      <c r="F4448" s="4" t="s">
        <v>131</v>
      </c>
    </row>
  </sheetData>
  <sheetProtection autoFilter="0"/>
  <autoFilter ref="A5:G4448" xr:uid="{54FA7263-00D7-4E58-A252-AF9E70BA89CE}"/>
  <printOptions horizontalCentered="1" gridLines="1"/>
  <pageMargins left="0.25" right="0.25" top="0.75" bottom="1" header="0.3" footer="0.3"/>
  <pageSetup scale="80" fitToHeight="999" orientation="portrait" r:id="rId1"/>
  <headerFooter>
    <oddFooter>&amp;L&amp;9CDM Run Date: 6/1/2025&amp;C&amp;9CDM Service by 
Conifer Health Solutions&amp;R&amp;9&amp;P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E731-802A-4777-8D48-6B642CBB2B91}">
  <dimension ref="A1:E80"/>
  <sheetViews>
    <sheetView workbookViewId="0">
      <pane ySplit="4" topLeftCell="A5" activePane="bottomLeft" state="frozen"/>
      <selection pane="bottomLeft" activeCell="C6" sqref="C6"/>
    </sheetView>
  </sheetViews>
  <sheetFormatPr defaultRowHeight="15" x14ac:dyDescent="0.25"/>
  <cols>
    <col min="1" max="1" width="80.7109375" style="16" customWidth="1"/>
    <col min="2" max="2" width="16.7109375" style="17" bestFit="1" customWidth="1"/>
    <col min="3" max="3" width="17.7109375" style="36" bestFit="1" customWidth="1"/>
  </cols>
  <sheetData>
    <row r="1" spans="1:5" x14ac:dyDescent="0.25">
      <c r="A1" s="25" t="s">
        <v>13195</v>
      </c>
      <c r="B1" s="26"/>
      <c r="C1" s="32"/>
    </row>
    <row r="2" spans="1:5" x14ac:dyDescent="0.25">
      <c r="A2" s="25" t="s">
        <v>12165</v>
      </c>
      <c r="B2" s="26"/>
      <c r="C2" s="32"/>
    </row>
    <row r="3" spans="1:5" x14ac:dyDescent="0.25">
      <c r="A3" s="25" t="s">
        <v>12166</v>
      </c>
      <c r="B3" s="26"/>
      <c r="C3" s="32"/>
    </row>
    <row r="4" spans="1:5" x14ac:dyDescent="0.25">
      <c r="A4" s="27"/>
      <c r="B4" s="26"/>
      <c r="C4" s="32"/>
    </row>
    <row r="5" spans="1:5" ht="66.75" customHeight="1" x14ac:dyDescent="0.25">
      <c r="A5" s="58" t="s">
        <v>12167</v>
      </c>
      <c r="B5" s="59"/>
      <c r="C5" s="59"/>
    </row>
    <row r="6" spans="1:5" ht="15" customHeight="1" x14ac:dyDescent="0.25">
      <c r="A6" s="18" t="s">
        <v>12054</v>
      </c>
      <c r="B6" s="21" t="s">
        <v>12055</v>
      </c>
      <c r="C6" s="33" t="s">
        <v>12056</v>
      </c>
    </row>
    <row r="7" spans="1:5" ht="15" customHeight="1" x14ac:dyDescent="0.25">
      <c r="A7" s="19" t="s">
        <v>12057</v>
      </c>
      <c r="B7" s="22" t="s">
        <v>12058</v>
      </c>
      <c r="C7" s="34">
        <v>2461.4899999999998</v>
      </c>
      <c r="E7" s="28"/>
    </row>
    <row r="8" spans="1:5" ht="15" customHeight="1" x14ac:dyDescent="0.25">
      <c r="A8" s="19" t="s">
        <v>12059</v>
      </c>
      <c r="B8" s="22" t="s">
        <v>12060</v>
      </c>
      <c r="C8" s="34">
        <v>4329.5</v>
      </c>
      <c r="E8" s="28"/>
    </row>
    <row r="9" spans="1:5" ht="15" customHeight="1" x14ac:dyDescent="0.25">
      <c r="A9" s="19" t="s">
        <v>12061</v>
      </c>
      <c r="B9" s="22" t="s">
        <v>12062</v>
      </c>
      <c r="C9" s="34">
        <v>6842.56</v>
      </c>
      <c r="E9" s="28"/>
    </row>
    <row r="10" spans="1:5" ht="15" customHeight="1" x14ac:dyDescent="0.25">
      <c r="A10" s="19" t="s">
        <v>12063</v>
      </c>
      <c r="B10" s="22" t="s">
        <v>12064</v>
      </c>
      <c r="C10" s="34">
        <v>10134.9</v>
      </c>
      <c r="E10" s="28"/>
    </row>
    <row r="11" spans="1:5" ht="15" customHeight="1" x14ac:dyDescent="0.25">
      <c r="A11" s="19" t="s">
        <v>12065</v>
      </c>
      <c r="B11" s="22" t="s">
        <v>12066</v>
      </c>
      <c r="C11" s="34"/>
    </row>
    <row r="12" spans="1:5" ht="15" customHeight="1" x14ac:dyDescent="0.25">
      <c r="A12" s="18" t="s">
        <v>12067</v>
      </c>
      <c r="B12" s="21" t="s">
        <v>12055</v>
      </c>
      <c r="C12" s="33" t="s">
        <v>12056</v>
      </c>
    </row>
    <row r="13" spans="1:5" ht="15" customHeight="1" x14ac:dyDescent="0.25">
      <c r="A13" s="19" t="s">
        <v>12068</v>
      </c>
      <c r="B13" s="22" t="s">
        <v>12069</v>
      </c>
      <c r="C13" s="34">
        <v>1493.67</v>
      </c>
    </row>
    <row r="14" spans="1:5" ht="15" customHeight="1" x14ac:dyDescent="0.25">
      <c r="A14" s="19" t="s">
        <v>12070</v>
      </c>
      <c r="B14" s="22" t="s">
        <v>12071</v>
      </c>
      <c r="C14" s="34"/>
    </row>
    <row r="15" spans="1:5" ht="15" customHeight="1" x14ac:dyDescent="0.25">
      <c r="A15" s="19" t="s">
        <v>12072</v>
      </c>
      <c r="B15" s="22" t="s">
        <v>12073</v>
      </c>
      <c r="C15" s="34">
        <v>433.03</v>
      </c>
    </row>
    <row r="16" spans="1:5" ht="15" customHeight="1" x14ac:dyDescent="0.25">
      <c r="A16" s="19" t="s">
        <v>12074</v>
      </c>
      <c r="B16" s="22" t="s">
        <v>12075</v>
      </c>
      <c r="C16" s="34">
        <v>579.6</v>
      </c>
    </row>
    <row r="17" spans="1:3" ht="15" customHeight="1" x14ac:dyDescent="0.25">
      <c r="A17" s="19" t="s">
        <v>12076</v>
      </c>
      <c r="B17" s="22" t="s">
        <v>12077</v>
      </c>
      <c r="C17" s="34">
        <v>2796.19</v>
      </c>
    </row>
    <row r="18" spans="1:3" ht="15" customHeight="1" x14ac:dyDescent="0.25">
      <c r="A18" s="19" t="s">
        <v>12078</v>
      </c>
      <c r="B18" s="22" t="s">
        <v>12079</v>
      </c>
      <c r="C18" s="34">
        <v>642.74</v>
      </c>
    </row>
    <row r="19" spans="1:3" ht="15" customHeight="1" x14ac:dyDescent="0.25">
      <c r="A19" s="19" t="s">
        <v>12080</v>
      </c>
      <c r="B19" s="22" t="s">
        <v>12081</v>
      </c>
      <c r="C19" s="34">
        <v>848.34</v>
      </c>
    </row>
    <row r="20" spans="1:3" ht="15" customHeight="1" x14ac:dyDescent="0.25">
      <c r="A20" s="19" t="s">
        <v>12082</v>
      </c>
      <c r="B20" s="22" t="s">
        <v>12083</v>
      </c>
      <c r="C20" s="34">
        <v>458.95</v>
      </c>
    </row>
    <row r="21" spans="1:3" ht="15" customHeight="1" x14ac:dyDescent="0.25">
      <c r="A21" s="19" t="s">
        <v>12084</v>
      </c>
      <c r="B21" s="22" t="s">
        <v>12085</v>
      </c>
      <c r="C21" s="34"/>
    </row>
    <row r="22" spans="1:3" ht="15" customHeight="1" x14ac:dyDescent="0.25">
      <c r="A22" s="19" t="s">
        <v>12086</v>
      </c>
      <c r="B22" s="22" t="s">
        <v>12087</v>
      </c>
      <c r="C22" s="34">
        <v>689.15</v>
      </c>
    </row>
    <row r="23" spans="1:3" ht="15" customHeight="1" x14ac:dyDescent="0.25">
      <c r="A23" s="19" t="s">
        <v>12088</v>
      </c>
      <c r="B23" s="22" t="s">
        <v>12089</v>
      </c>
      <c r="C23" s="34">
        <v>815.75</v>
      </c>
    </row>
    <row r="24" spans="1:3" ht="15" customHeight="1" x14ac:dyDescent="0.25">
      <c r="A24" s="19" t="s">
        <v>12090</v>
      </c>
      <c r="B24" s="22" t="s">
        <v>12091</v>
      </c>
      <c r="C24" s="34"/>
    </row>
    <row r="25" spans="1:3" ht="15" customHeight="1" x14ac:dyDescent="0.25">
      <c r="A25" s="19" t="s">
        <v>12092</v>
      </c>
      <c r="B25" s="22" t="s">
        <v>12093</v>
      </c>
      <c r="C25" s="34">
        <v>433.11</v>
      </c>
    </row>
    <row r="26" spans="1:3" ht="15" customHeight="1" x14ac:dyDescent="0.25">
      <c r="A26" s="18" t="s">
        <v>12094</v>
      </c>
      <c r="B26" s="21" t="s">
        <v>12055</v>
      </c>
      <c r="C26" s="33" t="s">
        <v>12056</v>
      </c>
    </row>
    <row r="27" spans="1:3" ht="15" customHeight="1" x14ac:dyDescent="0.25">
      <c r="A27" s="19" t="s">
        <v>12095</v>
      </c>
      <c r="B27" s="22" t="s">
        <v>12096</v>
      </c>
      <c r="C27" s="34">
        <v>8415</v>
      </c>
    </row>
    <row r="28" spans="1:3" ht="15" customHeight="1" x14ac:dyDescent="0.25">
      <c r="A28" s="19" t="s">
        <v>12097</v>
      </c>
      <c r="B28" s="22" t="s">
        <v>12098</v>
      </c>
      <c r="C28" s="34">
        <v>9613.98</v>
      </c>
    </row>
    <row r="29" spans="1:3" ht="15" customHeight="1" x14ac:dyDescent="0.25">
      <c r="A29" s="19" t="s">
        <v>12099</v>
      </c>
      <c r="B29" s="22" t="s">
        <v>12100</v>
      </c>
      <c r="C29" s="34">
        <v>8695</v>
      </c>
    </row>
    <row r="30" spans="1:3" ht="15" customHeight="1" x14ac:dyDescent="0.25">
      <c r="A30" s="19" t="s">
        <v>12101</v>
      </c>
      <c r="B30" s="22" t="s">
        <v>12102</v>
      </c>
      <c r="C30" s="34">
        <v>1409.71</v>
      </c>
    </row>
    <row r="31" spans="1:3" ht="15" customHeight="1" x14ac:dyDescent="0.25">
      <c r="A31" s="19" t="s">
        <v>12103</v>
      </c>
      <c r="B31" s="22" t="s">
        <v>12104</v>
      </c>
      <c r="C31" s="34">
        <v>10550.98</v>
      </c>
    </row>
    <row r="32" spans="1:3" ht="15" customHeight="1" x14ac:dyDescent="0.25">
      <c r="A32" s="19" t="s">
        <v>12105</v>
      </c>
      <c r="B32" s="22" t="s">
        <v>12106</v>
      </c>
      <c r="C32" s="34">
        <v>2875.87</v>
      </c>
    </row>
    <row r="33" spans="1:3" ht="15" customHeight="1" x14ac:dyDescent="0.25">
      <c r="A33" s="19" t="s">
        <v>12107</v>
      </c>
      <c r="B33" s="22" t="s">
        <v>12108</v>
      </c>
      <c r="C33" s="34">
        <v>2933.43</v>
      </c>
    </row>
    <row r="34" spans="1:3" ht="15" customHeight="1" x14ac:dyDescent="0.25">
      <c r="A34" s="19" t="s">
        <v>12109</v>
      </c>
      <c r="B34" s="22" t="s">
        <v>12110</v>
      </c>
      <c r="C34" s="34">
        <v>2262.25</v>
      </c>
    </row>
    <row r="35" spans="1:3" ht="15" customHeight="1" x14ac:dyDescent="0.25">
      <c r="A35" s="19" t="s">
        <v>12111</v>
      </c>
      <c r="B35" s="22" t="s">
        <v>12112</v>
      </c>
      <c r="C35" s="34">
        <v>1572.9</v>
      </c>
    </row>
    <row r="36" spans="1:3" ht="15" customHeight="1" x14ac:dyDescent="0.25">
      <c r="A36" s="18" t="s">
        <v>12113</v>
      </c>
      <c r="B36" s="21" t="s">
        <v>12055</v>
      </c>
      <c r="C36" s="33" t="s">
        <v>12056</v>
      </c>
    </row>
    <row r="37" spans="1:3" ht="15" customHeight="1" x14ac:dyDescent="0.25">
      <c r="A37" s="19" t="s">
        <v>12114</v>
      </c>
      <c r="B37" s="22" t="s">
        <v>12115</v>
      </c>
      <c r="C37" s="34"/>
    </row>
    <row r="38" spans="1:3" ht="15" customHeight="1" x14ac:dyDescent="0.25">
      <c r="A38" s="19" t="s">
        <v>12116</v>
      </c>
      <c r="B38" s="22" t="s">
        <v>12117</v>
      </c>
      <c r="C38" s="34"/>
    </row>
    <row r="39" spans="1:3" ht="15" customHeight="1" x14ac:dyDescent="0.25">
      <c r="A39" s="19" t="s">
        <v>12118</v>
      </c>
      <c r="B39" s="22" t="s">
        <v>12119</v>
      </c>
      <c r="C39" s="34"/>
    </row>
    <row r="40" spans="1:3" ht="15" customHeight="1" x14ac:dyDescent="0.25">
      <c r="A40" s="19" t="s">
        <v>12120</v>
      </c>
      <c r="B40" s="22" t="s">
        <v>12121</v>
      </c>
      <c r="C40" s="34">
        <v>511.05</v>
      </c>
    </row>
    <row r="41" spans="1:3" ht="15" customHeight="1" x14ac:dyDescent="0.25">
      <c r="A41" s="19" t="s">
        <v>12122</v>
      </c>
      <c r="B41" s="22" t="s">
        <v>12123</v>
      </c>
      <c r="C41" s="34">
        <v>720.84</v>
      </c>
    </row>
    <row r="42" spans="1:3" ht="15" customHeight="1" x14ac:dyDescent="0.25">
      <c r="A42" s="19" t="s">
        <v>12124</v>
      </c>
      <c r="B42" s="22" t="s">
        <v>12125</v>
      </c>
      <c r="C42" s="34">
        <v>209.12</v>
      </c>
    </row>
    <row r="43" spans="1:3" ht="15" customHeight="1" x14ac:dyDescent="0.25">
      <c r="A43" s="19" t="s">
        <v>12126</v>
      </c>
      <c r="B43" s="22" t="s">
        <v>12127</v>
      </c>
      <c r="C43" s="34">
        <v>221.42</v>
      </c>
    </row>
    <row r="44" spans="1:3" ht="15" customHeight="1" x14ac:dyDescent="0.25">
      <c r="A44" s="18" t="s">
        <v>12128</v>
      </c>
      <c r="B44" s="21" t="s">
        <v>12055</v>
      </c>
      <c r="C44" s="33" t="s">
        <v>12056</v>
      </c>
    </row>
    <row r="45" spans="1:3" ht="15" customHeight="1" x14ac:dyDescent="0.25">
      <c r="A45" s="19" t="s">
        <v>12129</v>
      </c>
      <c r="B45" s="22" t="s">
        <v>12130</v>
      </c>
      <c r="C45" s="34"/>
    </row>
    <row r="46" spans="1:3" ht="15" customHeight="1" x14ac:dyDescent="0.25">
      <c r="A46" s="19" t="s">
        <v>12131</v>
      </c>
      <c r="B46" s="22" t="s">
        <v>12132</v>
      </c>
      <c r="C46" s="34"/>
    </row>
    <row r="47" spans="1:3" ht="15" customHeight="1" x14ac:dyDescent="0.25">
      <c r="A47" s="19" t="s">
        <v>12133</v>
      </c>
      <c r="B47" s="22" t="s">
        <v>12134</v>
      </c>
      <c r="C47" s="34"/>
    </row>
    <row r="48" spans="1:3" ht="15" customHeight="1" x14ac:dyDescent="0.25">
      <c r="A48" s="19" t="s">
        <v>12135</v>
      </c>
      <c r="B48" s="22" t="s">
        <v>12136</v>
      </c>
      <c r="C48" s="34"/>
    </row>
    <row r="49" spans="1:3" ht="15" customHeight="1" x14ac:dyDescent="0.25">
      <c r="A49" s="19" t="s">
        <v>12137</v>
      </c>
      <c r="B49" s="22" t="s">
        <v>12138</v>
      </c>
      <c r="C49" s="34"/>
    </row>
    <row r="50" spans="1:3" ht="15" customHeight="1" x14ac:dyDescent="0.25">
      <c r="A50" s="19" t="s">
        <v>12139</v>
      </c>
      <c r="B50" s="22" t="s">
        <v>12140</v>
      </c>
      <c r="C50" s="34"/>
    </row>
    <row r="51" spans="1:3" ht="15" customHeight="1" x14ac:dyDescent="0.25">
      <c r="A51" s="19" t="s">
        <v>12141</v>
      </c>
      <c r="B51" s="22" t="s">
        <v>12142</v>
      </c>
      <c r="C51" s="34"/>
    </row>
    <row r="52" spans="1:3" ht="15" customHeight="1" x14ac:dyDescent="0.25">
      <c r="A52" s="19" t="s">
        <v>12143</v>
      </c>
      <c r="B52" s="22" t="s">
        <v>12144</v>
      </c>
      <c r="C52" s="34"/>
    </row>
    <row r="53" spans="1:3" ht="15" customHeight="1" x14ac:dyDescent="0.25">
      <c r="A53" s="19" t="s">
        <v>12145</v>
      </c>
      <c r="B53" s="22" t="s">
        <v>12146</v>
      </c>
      <c r="C53" s="34"/>
    </row>
    <row r="54" spans="1:3" ht="15" customHeight="1" x14ac:dyDescent="0.25">
      <c r="A54" s="19" t="s">
        <v>12147</v>
      </c>
      <c r="B54" s="22" t="s">
        <v>12148</v>
      </c>
      <c r="C54" s="34"/>
    </row>
    <row r="55" spans="1:3" ht="15" customHeight="1" x14ac:dyDescent="0.25">
      <c r="A55" s="19" t="s">
        <v>12149</v>
      </c>
      <c r="B55" s="22" t="s">
        <v>12150</v>
      </c>
      <c r="C55" s="34"/>
    </row>
    <row r="56" spans="1:3" ht="15" customHeight="1" x14ac:dyDescent="0.25">
      <c r="A56" s="19" t="s">
        <v>12151</v>
      </c>
      <c r="B56" s="22" t="s">
        <v>12152</v>
      </c>
      <c r="C56" s="34"/>
    </row>
    <row r="57" spans="1:3" ht="15" customHeight="1" x14ac:dyDescent="0.25">
      <c r="A57" s="19" t="s">
        <v>12153</v>
      </c>
      <c r="B57" s="22" t="s">
        <v>12154</v>
      </c>
      <c r="C57" s="34"/>
    </row>
    <row r="58" spans="1:3" ht="15" customHeight="1" x14ac:dyDescent="0.25">
      <c r="A58" s="19" t="s">
        <v>12155</v>
      </c>
      <c r="B58" s="22" t="s">
        <v>12156</v>
      </c>
      <c r="C58" s="34"/>
    </row>
    <row r="59" spans="1:3" ht="15" customHeight="1" x14ac:dyDescent="0.25">
      <c r="A59" s="19" t="s">
        <v>12157</v>
      </c>
      <c r="B59" s="22" t="s">
        <v>12158</v>
      </c>
      <c r="C59" s="34"/>
    </row>
    <row r="60" spans="1:3" ht="15" customHeight="1" x14ac:dyDescent="0.25">
      <c r="A60" s="19" t="s">
        <v>12159</v>
      </c>
      <c r="B60" s="22" t="s">
        <v>12160</v>
      </c>
      <c r="C60" s="34"/>
    </row>
    <row r="61" spans="1:3" ht="15" customHeight="1" x14ac:dyDescent="0.25">
      <c r="A61" s="19" t="s">
        <v>12161</v>
      </c>
      <c r="B61" s="22" t="s">
        <v>12162</v>
      </c>
      <c r="C61" s="34"/>
    </row>
    <row r="62" spans="1:3" ht="15" customHeight="1" x14ac:dyDescent="0.25">
      <c r="A62" s="18" t="s">
        <v>12163</v>
      </c>
      <c r="B62" s="21" t="s">
        <v>12055</v>
      </c>
      <c r="C62" s="33" t="s">
        <v>12056</v>
      </c>
    </row>
    <row r="63" spans="1:3" ht="15" customHeight="1" x14ac:dyDescent="0.25">
      <c r="A63" s="19" t="s">
        <v>12164</v>
      </c>
      <c r="B63" s="22"/>
      <c r="C63" s="34"/>
    </row>
    <row r="64" spans="1:3" ht="15" customHeight="1" x14ac:dyDescent="0.25">
      <c r="A64" s="20"/>
      <c r="B64" s="22"/>
      <c r="C64" s="34"/>
    </row>
    <row r="65" spans="1:3" ht="15" customHeight="1" x14ac:dyDescent="0.25">
      <c r="A65" s="20"/>
      <c r="B65" s="22"/>
      <c r="C65" s="34"/>
    </row>
    <row r="66" spans="1:3" ht="15" customHeight="1" x14ac:dyDescent="0.25">
      <c r="A66" s="20"/>
      <c r="B66" s="22"/>
      <c r="C66" s="34"/>
    </row>
    <row r="67" spans="1:3" ht="15" customHeight="1" x14ac:dyDescent="0.25">
      <c r="A67" s="20"/>
      <c r="B67" s="22"/>
      <c r="C67" s="34"/>
    </row>
    <row r="68" spans="1:3" ht="15" customHeight="1" x14ac:dyDescent="0.25">
      <c r="A68" s="20"/>
      <c r="B68" s="22"/>
      <c r="C68" s="34"/>
    </row>
    <row r="69" spans="1:3" ht="21" customHeight="1" thickBot="1" x14ac:dyDescent="0.3">
      <c r="A69" s="23" t="s">
        <v>12168</v>
      </c>
      <c r="B69" s="24"/>
      <c r="C69" s="35">
        <f>COUNT(C6:C68)</f>
        <v>27</v>
      </c>
    </row>
    <row r="70" spans="1:3" ht="15" customHeight="1" thickTop="1" x14ac:dyDescent="0.25">
      <c r="A70" s="60" t="s">
        <v>12169</v>
      </c>
      <c r="B70" s="61"/>
      <c r="C70" s="62"/>
    </row>
    <row r="71" spans="1:3" ht="15" customHeight="1" x14ac:dyDescent="0.25">
      <c r="A71" s="63" t="s">
        <v>12170</v>
      </c>
      <c r="B71" s="64"/>
      <c r="C71" s="65"/>
    </row>
    <row r="72" spans="1:3" ht="15" customHeight="1" x14ac:dyDescent="0.25">
      <c r="A72" s="63" t="s">
        <v>12171</v>
      </c>
      <c r="B72" s="64"/>
      <c r="C72" s="65"/>
    </row>
    <row r="73" spans="1:3" ht="15" customHeight="1" x14ac:dyDescent="0.25">
      <c r="A73" s="63" t="s">
        <v>12172</v>
      </c>
      <c r="B73" s="64"/>
      <c r="C73" s="65"/>
    </row>
    <row r="74" spans="1:3" ht="15" customHeight="1" x14ac:dyDescent="0.25">
      <c r="A74" s="63" t="s">
        <v>12173</v>
      </c>
      <c r="B74" s="64"/>
      <c r="C74" s="65"/>
    </row>
    <row r="75" spans="1:3" ht="15" customHeight="1" x14ac:dyDescent="0.25">
      <c r="A75" s="63" t="s">
        <v>12174</v>
      </c>
      <c r="B75" s="64"/>
      <c r="C75" s="65"/>
    </row>
    <row r="76" spans="1:3" ht="15" customHeight="1" x14ac:dyDescent="0.25">
      <c r="A76" s="63" t="s">
        <v>12175</v>
      </c>
      <c r="B76" s="64"/>
      <c r="C76" s="65"/>
    </row>
    <row r="77" spans="1:3" ht="15" customHeight="1" x14ac:dyDescent="0.25">
      <c r="A77" s="63" t="s">
        <v>12176</v>
      </c>
      <c r="B77" s="64"/>
      <c r="C77" s="65"/>
    </row>
    <row r="78" spans="1:3" ht="15" customHeight="1" x14ac:dyDescent="0.25">
      <c r="A78" s="63" t="s">
        <v>12177</v>
      </c>
      <c r="B78" s="64"/>
      <c r="C78" s="65"/>
    </row>
    <row r="79" spans="1:3" ht="15" customHeight="1" x14ac:dyDescent="0.25">
      <c r="A79" s="63" t="s">
        <v>12178</v>
      </c>
      <c r="B79" s="64"/>
      <c r="C79" s="65"/>
    </row>
    <row r="80" spans="1:3" ht="15" customHeight="1" x14ac:dyDescent="0.25">
      <c r="A80" s="55" t="s">
        <v>12179</v>
      </c>
      <c r="B80" s="56"/>
      <c r="C80" s="57"/>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2025&amp;b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019A-D994-403F-945D-001DB2F59A79}">
  <sheetPr>
    <pageSetUpPr fitToPage="1"/>
  </sheetPr>
  <dimension ref="A1:K2891"/>
  <sheetViews>
    <sheetView workbookViewId="0">
      <pane ySplit="4" topLeftCell="A5" activePane="bottomLeft" state="frozen"/>
      <selection pane="bottomLeft" activeCell="P18" sqref="P18"/>
    </sheetView>
  </sheetViews>
  <sheetFormatPr defaultRowHeight="12.75" x14ac:dyDescent="0.2"/>
  <cols>
    <col min="1" max="1" width="24" style="38" customWidth="1"/>
    <col min="2" max="2" width="16.85546875" style="38" bestFit="1" customWidth="1"/>
    <col min="3" max="3" width="34.7109375" style="43" bestFit="1" customWidth="1"/>
    <col min="4" max="4" width="11.28515625" style="38" bestFit="1" customWidth="1"/>
    <col min="5" max="5" width="10.140625" style="44" bestFit="1" customWidth="1"/>
    <col min="6" max="6" width="13.85546875" style="45" bestFit="1" customWidth="1"/>
    <col min="7" max="7" width="10.140625" style="44" bestFit="1" customWidth="1"/>
    <col min="8" max="8" width="13.85546875" style="45" bestFit="1" customWidth="1"/>
    <col min="9" max="10" width="14.42578125" style="45" bestFit="1" customWidth="1"/>
    <col min="11" max="11" width="18.140625" style="46" bestFit="1" customWidth="1"/>
    <col min="12" max="16384" width="9.140625" style="47"/>
  </cols>
  <sheetData>
    <row r="1" spans="1:11" s="42" customFormat="1" ht="14.25" x14ac:dyDescent="0.2">
      <c r="A1" s="37" t="s">
        <v>13194</v>
      </c>
      <c r="B1" s="38"/>
      <c r="C1" s="38"/>
      <c r="D1" s="38"/>
      <c r="E1" s="39"/>
      <c r="F1" s="40"/>
      <c r="G1" s="39"/>
      <c r="H1" s="40"/>
      <c r="I1" s="40"/>
      <c r="J1" s="40"/>
      <c r="K1" s="41"/>
    </row>
    <row r="4" spans="1:11" s="53" customFormat="1" ht="15" customHeight="1" x14ac:dyDescent="0.2">
      <c r="A4" s="48" t="s">
        <v>12180</v>
      </c>
      <c r="B4" s="48" t="s">
        <v>12181</v>
      </c>
      <c r="C4" s="49" t="s">
        <v>12184</v>
      </c>
      <c r="D4" s="48" t="s">
        <v>12185</v>
      </c>
      <c r="E4" s="50" t="s">
        <v>12186</v>
      </c>
      <c r="F4" s="51" t="s">
        <v>12187</v>
      </c>
      <c r="G4" s="50" t="s">
        <v>12188</v>
      </c>
      <c r="H4" s="51" t="s">
        <v>12189</v>
      </c>
      <c r="I4" s="51" t="s">
        <v>12190</v>
      </c>
      <c r="J4" s="51" t="s">
        <v>12191</v>
      </c>
      <c r="K4" s="52" t="s">
        <v>12192</v>
      </c>
    </row>
    <row r="5" spans="1:11" x14ac:dyDescent="0.2">
      <c r="A5" s="38" t="s">
        <v>7</v>
      </c>
      <c r="B5" s="38" t="s">
        <v>8</v>
      </c>
      <c r="C5" s="43" t="s">
        <v>9</v>
      </c>
      <c r="E5" s="44">
        <v>13</v>
      </c>
      <c r="F5" s="45">
        <v>113860</v>
      </c>
      <c r="G5" s="44">
        <v>25</v>
      </c>
      <c r="H5" s="45">
        <v>204280</v>
      </c>
      <c r="I5" s="45">
        <v>8758.461538461539</v>
      </c>
      <c r="J5" s="45">
        <v>8171.2</v>
      </c>
      <c r="K5" s="46">
        <v>-6.7050764096258639E-2</v>
      </c>
    </row>
    <row r="6" spans="1:11" x14ac:dyDescent="0.2">
      <c r="A6" s="38" t="s">
        <v>7</v>
      </c>
      <c r="B6" s="38" t="s">
        <v>11</v>
      </c>
      <c r="C6" s="43" t="s">
        <v>12</v>
      </c>
      <c r="E6" s="44">
        <v>1504</v>
      </c>
      <c r="F6" s="45">
        <v>37684703</v>
      </c>
      <c r="G6" s="44">
        <v>1953</v>
      </c>
      <c r="H6" s="45">
        <v>47292504</v>
      </c>
      <c r="I6" s="45">
        <v>25056.318484042553</v>
      </c>
      <c r="J6" s="45">
        <v>24215.31182795699</v>
      </c>
      <c r="K6" s="46">
        <v>-3.3564653826585467E-2</v>
      </c>
    </row>
    <row r="7" spans="1:11" x14ac:dyDescent="0.2">
      <c r="A7" s="38" t="s">
        <v>7</v>
      </c>
      <c r="B7" s="38" t="s">
        <v>14</v>
      </c>
      <c r="C7" s="43" t="s">
        <v>15</v>
      </c>
      <c r="E7" s="44">
        <v>133</v>
      </c>
      <c r="F7" s="45">
        <v>1706383</v>
      </c>
      <c r="G7" s="44">
        <v>310</v>
      </c>
      <c r="H7" s="45">
        <v>4085455</v>
      </c>
      <c r="I7" s="45">
        <v>12829.947368421053</v>
      </c>
      <c r="J7" s="45">
        <v>13178.887096774193</v>
      </c>
      <c r="K7" s="46">
        <v>2.7197284473044793E-2</v>
      </c>
    </row>
    <row r="8" spans="1:11" x14ac:dyDescent="0.2">
      <c r="A8" s="38" t="s">
        <v>7</v>
      </c>
      <c r="B8" s="38" t="s">
        <v>17</v>
      </c>
      <c r="C8" s="43" t="s">
        <v>9</v>
      </c>
      <c r="G8" s="44">
        <v>69</v>
      </c>
      <c r="H8" s="45">
        <v>550376</v>
      </c>
      <c r="J8" s="45">
        <v>7976.463768115942</v>
      </c>
    </row>
    <row r="9" spans="1:11" x14ac:dyDescent="0.2">
      <c r="A9" s="38" t="s">
        <v>7</v>
      </c>
      <c r="B9" s="38" t="s">
        <v>18</v>
      </c>
      <c r="C9" s="43" t="s">
        <v>9</v>
      </c>
      <c r="E9" s="44">
        <v>372</v>
      </c>
      <c r="F9" s="45">
        <v>3387108</v>
      </c>
      <c r="G9" s="44">
        <v>263</v>
      </c>
      <c r="H9" s="45">
        <v>2329008</v>
      </c>
      <c r="I9" s="45">
        <v>9105.1290322580644</v>
      </c>
      <c r="J9" s="45">
        <v>8855.5437262357409</v>
      </c>
      <c r="K9" s="46">
        <v>-2.741150676042935E-2</v>
      </c>
    </row>
    <row r="10" spans="1:11" x14ac:dyDescent="0.2">
      <c r="A10" s="38" t="s">
        <v>7</v>
      </c>
      <c r="B10" s="38" t="s">
        <v>19</v>
      </c>
      <c r="C10" s="43" t="s">
        <v>12</v>
      </c>
      <c r="G10" s="44">
        <v>5</v>
      </c>
      <c r="H10" s="45">
        <v>109846</v>
      </c>
      <c r="J10" s="45">
        <v>21969.200000000001</v>
      </c>
    </row>
    <row r="11" spans="1:11" x14ac:dyDescent="0.2">
      <c r="A11" s="38" t="s">
        <v>7</v>
      </c>
      <c r="B11" s="38" t="s">
        <v>20</v>
      </c>
      <c r="C11" s="43" t="s">
        <v>21</v>
      </c>
      <c r="G11" s="44">
        <v>1</v>
      </c>
      <c r="H11" s="45">
        <v>9232</v>
      </c>
      <c r="J11" s="45">
        <v>9232</v>
      </c>
    </row>
    <row r="12" spans="1:11" x14ac:dyDescent="0.2">
      <c r="A12" s="38" t="s">
        <v>7</v>
      </c>
      <c r="B12" s="38" t="s">
        <v>26</v>
      </c>
      <c r="C12" s="43" t="s">
        <v>15</v>
      </c>
      <c r="E12" s="44">
        <v>7366</v>
      </c>
      <c r="F12" s="45">
        <v>95241607</v>
      </c>
      <c r="G12" s="44">
        <v>8365</v>
      </c>
      <c r="H12" s="45">
        <v>110373570</v>
      </c>
      <c r="I12" s="45">
        <v>12929.895058376324</v>
      </c>
      <c r="J12" s="45">
        <v>13194.688583383144</v>
      </c>
      <c r="K12" s="46">
        <v>2.0479170465910333E-2</v>
      </c>
    </row>
    <row r="13" spans="1:11" x14ac:dyDescent="0.2">
      <c r="A13" s="38" t="s">
        <v>7</v>
      </c>
      <c r="B13" s="38" t="s">
        <v>27</v>
      </c>
      <c r="C13" s="43" t="s">
        <v>9</v>
      </c>
      <c r="E13" s="44">
        <v>3375</v>
      </c>
      <c r="F13" s="45">
        <v>30433644</v>
      </c>
      <c r="G13" s="44">
        <v>3941</v>
      </c>
      <c r="H13" s="45">
        <v>34673656</v>
      </c>
      <c r="I13" s="45">
        <v>9017.3760000000002</v>
      </c>
      <c r="J13" s="45">
        <v>8798.1872621162147</v>
      </c>
      <c r="K13" s="46">
        <v>-2.4307374771084793E-2</v>
      </c>
    </row>
    <row r="14" spans="1:11" x14ac:dyDescent="0.2">
      <c r="A14" s="38" t="s">
        <v>7</v>
      </c>
      <c r="B14" s="38" t="s">
        <v>28</v>
      </c>
      <c r="C14" s="43" t="s">
        <v>21</v>
      </c>
      <c r="G14" s="44">
        <v>3</v>
      </c>
      <c r="H14" s="45">
        <v>27696</v>
      </c>
      <c r="J14" s="45">
        <v>9232</v>
      </c>
    </row>
    <row r="15" spans="1:11" x14ac:dyDescent="0.2">
      <c r="A15" s="38" t="s">
        <v>7</v>
      </c>
      <c r="B15" s="38" t="s">
        <v>29</v>
      </c>
      <c r="C15" s="43" t="s">
        <v>24</v>
      </c>
      <c r="G15" s="44">
        <v>2</v>
      </c>
      <c r="H15" s="45">
        <v>18464</v>
      </c>
      <c r="J15" s="45">
        <v>9232</v>
      </c>
    </row>
    <row r="16" spans="1:11" x14ac:dyDescent="0.2">
      <c r="A16" s="38" t="s">
        <v>7</v>
      </c>
      <c r="B16" s="38" t="s">
        <v>30</v>
      </c>
      <c r="C16" s="43" t="s">
        <v>15</v>
      </c>
      <c r="E16" s="44">
        <v>93</v>
      </c>
      <c r="F16" s="45">
        <v>1200207</v>
      </c>
      <c r="G16" s="44">
        <v>117</v>
      </c>
      <c r="H16" s="45">
        <v>1545986</v>
      </c>
      <c r="I16" s="45">
        <v>12905.451612903225</v>
      </c>
      <c r="J16" s="45">
        <v>13213.555555555555</v>
      </c>
      <c r="K16" s="46">
        <v>2.3873937301371041E-2</v>
      </c>
    </row>
    <row r="17" spans="1:11" x14ac:dyDescent="0.2">
      <c r="A17" s="38" t="s">
        <v>7</v>
      </c>
      <c r="B17" s="38" t="s">
        <v>34</v>
      </c>
      <c r="C17" s="43" t="s">
        <v>33</v>
      </c>
      <c r="E17" s="44">
        <v>23</v>
      </c>
      <c r="F17" s="45">
        <v>420966</v>
      </c>
      <c r="G17" s="44">
        <v>6</v>
      </c>
      <c r="H17" s="45">
        <v>112350</v>
      </c>
      <c r="I17" s="45">
        <v>18302.869565217392</v>
      </c>
      <c r="J17" s="45">
        <v>18725</v>
      </c>
      <c r="K17" s="46">
        <v>2.3063620339884894E-2</v>
      </c>
    </row>
    <row r="18" spans="1:11" x14ac:dyDescent="0.2">
      <c r="A18" s="38" t="s">
        <v>7</v>
      </c>
      <c r="B18" s="38" t="s">
        <v>35</v>
      </c>
      <c r="C18" s="43" t="s">
        <v>36</v>
      </c>
      <c r="E18" s="44">
        <v>92</v>
      </c>
      <c r="F18" s="45">
        <v>2239751</v>
      </c>
      <c r="G18" s="44">
        <v>116</v>
      </c>
      <c r="H18" s="45">
        <v>2886776</v>
      </c>
      <c r="I18" s="45">
        <v>24345.119565217392</v>
      </c>
      <c r="J18" s="45">
        <v>24886</v>
      </c>
      <c r="K18" s="46">
        <v>2.2217201822881179E-2</v>
      </c>
    </row>
    <row r="19" spans="1:11" x14ac:dyDescent="0.2">
      <c r="A19" s="38" t="s">
        <v>7</v>
      </c>
      <c r="B19" s="38" t="s">
        <v>38</v>
      </c>
      <c r="C19" s="43" t="s">
        <v>39</v>
      </c>
      <c r="D19" s="38" t="s">
        <v>12193</v>
      </c>
      <c r="G19" s="44">
        <v>1</v>
      </c>
      <c r="H19" s="45">
        <v>6977</v>
      </c>
      <c r="J19" s="45">
        <v>6977</v>
      </c>
    </row>
    <row r="20" spans="1:11" x14ac:dyDescent="0.2">
      <c r="A20" s="38" t="s">
        <v>7</v>
      </c>
      <c r="B20" s="38" t="s">
        <v>41</v>
      </c>
      <c r="C20" s="43" t="s">
        <v>42</v>
      </c>
      <c r="E20" s="44">
        <v>1</v>
      </c>
      <c r="F20" s="45">
        <v>9928</v>
      </c>
      <c r="G20" s="44">
        <v>1</v>
      </c>
      <c r="H20" s="45">
        <v>9928</v>
      </c>
      <c r="I20" s="45">
        <v>9928</v>
      </c>
      <c r="J20" s="45">
        <v>9928</v>
      </c>
      <c r="K20" s="46">
        <v>0</v>
      </c>
    </row>
    <row r="21" spans="1:11" x14ac:dyDescent="0.2">
      <c r="A21" s="38" t="s">
        <v>7</v>
      </c>
      <c r="B21" s="38" t="s">
        <v>44</v>
      </c>
      <c r="C21" s="43" t="s">
        <v>45</v>
      </c>
      <c r="E21" s="44">
        <v>1</v>
      </c>
      <c r="F21" s="45">
        <v>4102</v>
      </c>
      <c r="G21" s="44">
        <v>0</v>
      </c>
      <c r="H21" s="45">
        <v>0</v>
      </c>
      <c r="I21" s="45">
        <v>4102</v>
      </c>
    </row>
    <row r="22" spans="1:11" x14ac:dyDescent="0.2">
      <c r="A22" s="38" t="s">
        <v>7</v>
      </c>
      <c r="B22" s="38" t="s">
        <v>47</v>
      </c>
      <c r="C22" s="43" t="s">
        <v>48</v>
      </c>
      <c r="E22" s="44">
        <v>1426</v>
      </c>
      <c r="F22" s="45">
        <v>16644834</v>
      </c>
      <c r="G22" s="44">
        <v>1236</v>
      </c>
      <c r="H22" s="45">
        <v>14447237</v>
      </c>
      <c r="I22" s="45">
        <v>11672.394109396915</v>
      </c>
      <c r="J22" s="45">
        <v>11688.703074433657</v>
      </c>
      <c r="K22" s="46">
        <v>1.3972253578734401E-3</v>
      </c>
    </row>
    <row r="23" spans="1:11" x14ac:dyDescent="0.2">
      <c r="A23" s="38" t="s">
        <v>7</v>
      </c>
      <c r="B23" s="38" t="s">
        <v>50</v>
      </c>
      <c r="C23" s="43" t="s">
        <v>51</v>
      </c>
      <c r="E23" s="44">
        <v>5338</v>
      </c>
      <c r="F23" s="45">
        <v>26151743</v>
      </c>
      <c r="G23" s="44">
        <v>4399</v>
      </c>
      <c r="H23" s="45">
        <v>20263352</v>
      </c>
      <c r="I23" s="45">
        <v>4899.1650430872987</v>
      </c>
      <c r="J23" s="45">
        <v>4606.3541714025914</v>
      </c>
      <c r="K23" s="46">
        <v>-5.9767505097192475E-2</v>
      </c>
    </row>
    <row r="24" spans="1:11" x14ac:dyDescent="0.2">
      <c r="A24" s="38" t="s">
        <v>7</v>
      </c>
      <c r="B24" s="38" t="s">
        <v>53</v>
      </c>
      <c r="C24" s="43" t="s">
        <v>54</v>
      </c>
      <c r="E24" s="44">
        <v>1171</v>
      </c>
      <c r="F24" s="45">
        <v>15803692</v>
      </c>
      <c r="G24" s="44">
        <v>962</v>
      </c>
      <c r="H24" s="45">
        <v>13200184</v>
      </c>
      <c r="I24" s="45">
        <v>13495.894107600341</v>
      </c>
      <c r="J24" s="45">
        <v>13721.60498960499</v>
      </c>
      <c r="K24" s="46">
        <v>1.6724411158319442E-2</v>
      </c>
    </row>
    <row r="25" spans="1:11" x14ac:dyDescent="0.2">
      <c r="A25" s="38" t="s">
        <v>7</v>
      </c>
      <c r="B25" s="38" t="s">
        <v>56</v>
      </c>
      <c r="C25" s="43" t="s">
        <v>57</v>
      </c>
      <c r="E25" s="44">
        <v>7516</v>
      </c>
      <c r="F25" s="45">
        <v>39601592</v>
      </c>
      <c r="G25" s="44">
        <v>6092</v>
      </c>
      <c r="H25" s="45">
        <v>30345092</v>
      </c>
      <c r="I25" s="45">
        <v>5268.9717935071849</v>
      </c>
      <c r="J25" s="45">
        <v>4981.1378857518057</v>
      </c>
      <c r="K25" s="46">
        <v>-5.4628098049427656E-2</v>
      </c>
    </row>
    <row r="26" spans="1:11" x14ac:dyDescent="0.2">
      <c r="A26" s="38" t="s">
        <v>7</v>
      </c>
      <c r="B26" s="38" t="s">
        <v>59</v>
      </c>
      <c r="C26" s="43" t="s">
        <v>60</v>
      </c>
      <c r="E26" s="44">
        <v>86</v>
      </c>
      <c r="F26" s="45">
        <v>1418590</v>
      </c>
      <c r="G26" s="44">
        <v>136</v>
      </c>
      <c r="H26" s="45">
        <v>2296403</v>
      </c>
      <c r="I26" s="45">
        <v>16495.232558139534</v>
      </c>
      <c r="J26" s="45">
        <v>16885.316176470587</v>
      </c>
      <c r="K26" s="46">
        <v>2.3648264245814902E-2</v>
      </c>
    </row>
    <row r="27" spans="1:11" x14ac:dyDescent="0.2">
      <c r="A27" s="38" t="s">
        <v>7</v>
      </c>
      <c r="B27" s="38" t="s">
        <v>62</v>
      </c>
      <c r="C27" s="43" t="s">
        <v>63</v>
      </c>
      <c r="E27" s="44">
        <v>767</v>
      </c>
      <c r="F27" s="45">
        <v>4909099</v>
      </c>
      <c r="G27" s="44">
        <v>1108</v>
      </c>
      <c r="H27" s="45">
        <v>6905420</v>
      </c>
      <c r="I27" s="45">
        <v>6400.3898305084749</v>
      </c>
      <c r="J27" s="45">
        <v>6232.3285198555959</v>
      </c>
      <c r="K27" s="46">
        <v>-2.6257980389223803E-2</v>
      </c>
    </row>
    <row r="28" spans="1:11" x14ac:dyDescent="0.2">
      <c r="A28" s="38" t="s">
        <v>7</v>
      </c>
      <c r="B28" s="38" t="s">
        <v>65</v>
      </c>
      <c r="C28" s="43" t="s">
        <v>66</v>
      </c>
      <c r="E28" s="44">
        <v>128</v>
      </c>
      <c r="F28" s="45">
        <v>1478136</v>
      </c>
      <c r="G28" s="44">
        <v>49</v>
      </c>
      <c r="H28" s="45">
        <v>570534</v>
      </c>
      <c r="I28" s="45">
        <v>11547.9375</v>
      </c>
      <c r="J28" s="45">
        <v>11643.551020408164</v>
      </c>
      <c r="K28" s="46">
        <v>8.2797053939860539E-3</v>
      </c>
    </row>
    <row r="29" spans="1:11" x14ac:dyDescent="0.2">
      <c r="A29" s="38" t="s">
        <v>7</v>
      </c>
      <c r="B29" s="38" t="s">
        <v>68</v>
      </c>
      <c r="C29" s="43" t="s">
        <v>69</v>
      </c>
      <c r="E29" s="44">
        <v>903</v>
      </c>
      <c r="F29" s="45">
        <v>4377538</v>
      </c>
      <c r="G29" s="44">
        <v>249</v>
      </c>
      <c r="H29" s="45">
        <v>1147516</v>
      </c>
      <c r="I29" s="45">
        <v>4847.771871539313</v>
      </c>
      <c r="J29" s="45">
        <v>4608.4979919678717</v>
      </c>
      <c r="K29" s="46">
        <v>-4.9357495755150839E-2</v>
      </c>
    </row>
    <row r="30" spans="1:11" x14ac:dyDescent="0.2">
      <c r="A30" s="38" t="s">
        <v>7</v>
      </c>
      <c r="B30" s="38" t="s">
        <v>70</v>
      </c>
      <c r="C30" s="43" t="s">
        <v>71</v>
      </c>
      <c r="E30" s="44">
        <v>234</v>
      </c>
      <c r="F30" s="45">
        <v>3186105</v>
      </c>
      <c r="G30" s="44">
        <v>274</v>
      </c>
      <c r="H30" s="45">
        <v>3756934</v>
      </c>
      <c r="I30" s="45">
        <v>13615.833333333334</v>
      </c>
      <c r="J30" s="45">
        <v>13711.43795620438</v>
      </c>
      <c r="K30" s="46">
        <v>7.0215770515487342E-3</v>
      </c>
    </row>
    <row r="31" spans="1:11" x14ac:dyDescent="0.2">
      <c r="A31" s="38" t="s">
        <v>7</v>
      </c>
      <c r="B31" s="38" t="s">
        <v>73</v>
      </c>
      <c r="C31" s="43" t="s">
        <v>74</v>
      </c>
      <c r="E31" s="44">
        <v>1775</v>
      </c>
      <c r="F31" s="45">
        <v>9423839</v>
      </c>
      <c r="G31" s="44">
        <v>2342</v>
      </c>
      <c r="H31" s="45">
        <v>11587436</v>
      </c>
      <c r="I31" s="45">
        <v>5309.2050704225348</v>
      </c>
      <c r="J31" s="45">
        <v>4947.6669513236548</v>
      </c>
      <c r="K31" s="46">
        <v>-6.8096469114180769E-2</v>
      </c>
    </row>
    <row r="32" spans="1:11" x14ac:dyDescent="0.2">
      <c r="A32" s="38" t="s">
        <v>7</v>
      </c>
      <c r="B32" s="38" t="s">
        <v>75</v>
      </c>
      <c r="C32" s="43" t="s">
        <v>76</v>
      </c>
      <c r="E32" s="44">
        <v>16</v>
      </c>
      <c r="F32" s="45">
        <v>266296</v>
      </c>
      <c r="G32" s="44">
        <v>22</v>
      </c>
      <c r="H32" s="45">
        <v>372373</v>
      </c>
      <c r="I32" s="45">
        <v>16643.5</v>
      </c>
      <c r="J32" s="45">
        <v>16926.045454545456</v>
      </c>
      <c r="K32" s="46">
        <v>1.6976324363592747E-2</v>
      </c>
    </row>
    <row r="33" spans="1:11" x14ac:dyDescent="0.2">
      <c r="A33" s="38" t="s">
        <v>7</v>
      </c>
      <c r="B33" s="38" t="s">
        <v>78</v>
      </c>
      <c r="C33" s="43" t="s">
        <v>79</v>
      </c>
      <c r="E33" s="44">
        <v>172</v>
      </c>
      <c r="F33" s="45">
        <v>1104641</v>
      </c>
      <c r="G33" s="44">
        <v>223</v>
      </c>
      <c r="H33" s="45">
        <v>1354970</v>
      </c>
      <c r="I33" s="45">
        <v>6422.3313953488368</v>
      </c>
      <c r="J33" s="45">
        <v>6076.0986547085204</v>
      </c>
      <c r="K33" s="46">
        <v>-5.3910755974234559E-2</v>
      </c>
    </row>
    <row r="34" spans="1:11" x14ac:dyDescent="0.2">
      <c r="A34" s="38" t="s">
        <v>7</v>
      </c>
      <c r="B34" s="38" t="s">
        <v>89</v>
      </c>
      <c r="C34" s="43" t="s">
        <v>90</v>
      </c>
      <c r="E34" s="44">
        <v>3095</v>
      </c>
      <c r="F34" s="45">
        <v>15042970</v>
      </c>
      <c r="G34" s="44">
        <v>2696</v>
      </c>
      <c r="H34" s="45">
        <v>11681528</v>
      </c>
      <c r="I34" s="45">
        <v>4860.4103392568659</v>
      </c>
      <c r="J34" s="45">
        <v>4332.9109792284862</v>
      </c>
      <c r="K34" s="46">
        <v>-0.10852979958663982</v>
      </c>
    </row>
    <row r="35" spans="1:11" x14ac:dyDescent="0.2">
      <c r="A35" s="38" t="s">
        <v>7</v>
      </c>
      <c r="B35" s="38" t="s">
        <v>92</v>
      </c>
      <c r="C35" s="43" t="s">
        <v>93</v>
      </c>
      <c r="E35" s="44">
        <v>7655</v>
      </c>
      <c r="F35" s="45">
        <v>19215965</v>
      </c>
      <c r="G35" s="44">
        <v>7132</v>
      </c>
      <c r="H35" s="45">
        <v>16012596</v>
      </c>
      <c r="I35" s="45">
        <v>2510.2501632919661</v>
      </c>
      <c r="J35" s="45">
        <v>2245.1761076836792</v>
      </c>
      <c r="K35" s="46">
        <v>-0.10559666900316671</v>
      </c>
    </row>
    <row r="36" spans="1:11" x14ac:dyDescent="0.2">
      <c r="A36" s="38" t="s">
        <v>7</v>
      </c>
      <c r="B36" s="38" t="s">
        <v>101</v>
      </c>
      <c r="C36" s="43" t="s">
        <v>102</v>
      </c>
      <c r="E36" s="44">
        <v>6009</v>
      </c>
      <c r="F36" s="45">
        <v>20823794</v>
      </c>
      <c r="G36" s="44">
        <v>5562</v>
      </c>
      <c r="H36" s="45">
        <v>18482451</v>
      </c>
      <c r="I36" s="45">
        <v>3465.4341820602431</v>
      </c>
      <c r="J36" s="45">
        <v>3322.9865156418555</v>
      </c>
      <c r="K36" s="46">
        <v>-4.1105286938013845E-2</v>
      </c>
    </row>
    <row r="37" spans="1:11" x14ac:dyDescent="0.2">
      <c r="A37" s="38" t="s">
        <v>7</v>
      </c>
      <c r="B37" s="38" t="s">
        <v>104</v>
      </c>
      <c r="C37" s="43" t="s">
        <v>105</v>
      </c>
      <c r="E37" s="44">
        <v>20496</v>
      </c>
      <c r="F37" s="45">
        <v>16113492</v>
      </c>
      <c r="G37" s="44">
        <v>18366</v>
      </c>
      <c r="H37" s="45">
        <v>14116812</v>
      </c>
      <c r="I37" s="45">
        <v>786.17740046838412</v>
      </c>
      <c r="J37" s="45">
        <v>768.6383534792551</v>
      </c>
      <c r="K37" s="46">
        <v>-2.2309273935729658E-2</v>
      </c>
    </row>
    <row r="38" spans="1:11" x14ac:dyDescent="0.2">
      <c r="A38" s="38" t="s">
        <v>7</v>
      </c>
      <c r="B38" s="38" t="s">
        <v>119</v>
      </c>
      <c r="C38" s="43" t="s">
        <v>120</v>
      </c>
      <c r="D38" s="38" t="s">
        <v>12194</v>
      </c>
      <c r="G38" s="44">
        <v>4</v>
      </c>
      <c r="H38" s="45">
        <v>395340</v>
      </c>
      <c r="J38" s="45">
        <v>98835</v>
      </c>
    </row>
    <row r="39" spans="1:11" x14ac:dyDescent="0.2">
      <c r="A39" s="38" t="s">
        <v>7</v>
      </c>
      <c r="B39" s="38" t="s">
        <v>128</v>
      </c>
      <c r="C39" s="43" t="s">
        <v>129</v>
      </c>
      <c r="D39" s="38" t="s">
        <v>12195</v>
      </c>
      <c r="E39" s="44">
        <v>2</v>
      </c>
      <c r="F39" s="45">
        <v>276262</v>
      </c>
      <c r="G39" s="44">
        <v>3</v>
      </c>
      <c r="H39" s="45">
        <v>327490</v>
      </c>
      <c r="I39" s="45">
        <v>138131</v>
      </c>
      <c r="J39" s="45">
        <v>109163.33333333333</v>
      </c>
      <c r="K39" s="46">
        <v>-0.20971155400791039</v>
      </c>
    </row>
    <row r="40" spans="1:11" x14ac:dyDescent="0.2">
      <c r="A40" s="38" t="s">
        <v>7</v>
      </c>
      <c r="B40" s="38" t="s">
        <v>132</v>
      </c>
      <c r="C40" s="43" t="s">
        <v>133</v>
      </c>
      <c r="D40" s="38" t="s">
        <v>12194</v>
      </c>
      <c r="G40" s="44">
        <v>1</v>
      </c>
      <c r="H40" s="45">
        <v>153740</v>
      </c>
      <c r="J40" s="45">
        <v>153740</v>
      </c>
    </row>
    <row r="41" spans="1:11" x14ac:dyDescent="0.2">
      <c r="A41" s="38" t="s">
        <v>7</v>
      </c>
      <c r="B41" s="38" t="s">
        <v>139</v>
      </c>
      <c r="C41" s="43" t="s">
        <v>140</v>
      </c>
      <c r="D41" s="38" t="s">
        <v>12194</v>
      </c>
      <c r="G41" s="44">
        <v>1</v>
      </c>
      <c r="H41" s="45">
        <v>107335</v>
      </c>
      <c r="J41" s="45">
        <v>107335</v>
      </c>
    </row>
    <row r="42" spans="1:11" x14ac:dyDescent="0.2">
      <c r="A42" s="38" t="s">
        <v>7</v>
      </c>
      <c r="B42" s="38" t="s">
        <v>148</v>
      </c>
      <c r="C42" s="43" t="s">
        <v>149</v>
      </c>
      <c r="D42" s="38" t="s">
        <v>12195</v>
      </c>
      <c r="G42" s="44">
        <v>1</v>
      </c>
      <c r="H42" s="45">
        <v>164277.10999999999</v>
      </c>
      <c r="J42" s="45">
        <v>164277.10999999999</v>
      </c>
    </row>
    <row r="43" spans="1:11" x14ac:dyDescent="0.2">
      <c r="A43" s="38" t="s">
        <v>7</v>
      </c>
      <c r="B43" s="38" t="s">
        <v>154</v>
      </c>
      <c r="C43" s="43" t="s">
        <v>155</v>
      </c>
      <c r="D43" s="38" t="s">
        <v>12196</v>
      </c>
      <c r="G43" s="44">
        <v>2</v>
      </c>
      <c r="H43" s="45">
        <v>109090.9</v>
      </c>
      <c r="J43" s="45">
        <v>54545.45</v>
      </c>
    </row>
    <row r="44" spans="1:11" x14ac:dyDescent="0.2">
      <c r="A44" s="38" t="s">
        <v>7</v>
      </c>
      <c r="B44" s="38" t="s">
        <v>168</v>
      </c>
      <c r="C44" s="43" t="s">
        <v>169</v>
      </c>
      <c r="D44" s="38" t="s">
        <v>12197</v>
      </c>
      <c r="G44" s="44">
        <v>1</v>
      </c>
      <c r="H44" s="45">
        <v>17529</v>
      </c>
      <c r="J44" s="45">
        <v>17529</v>
      </c>
    </row>
    <row r="45" spans="1:11" x14ac:dyDescent="0.2">
      <c r="A45" s="38" t="s">
        <v>7</v>
      </c>
      <c r="B45" s="38" t="s">
        <v>171</v>
      </c>
      <c r="C45" s="43" t="s">
        <v>172</v>
      </c>
      <c r="D45" s="38" t="s">
        <v>12198</v>
      </c>
      <c r="G45" s="44">
        <v>3</v>
      </c>
      <c r="H45" s="45">
        <v>56833</v>
      </c>
      <c r="J45" s="45">
        <v>18944.333333333332</v>
      </c>
    </row>
    <row r="46" spans="1:11" x14ac:dyDescent="0.2">
      <c r="A46" s="38" t="s">
        <v>7</v>
      </c>
      <c r="B46" s="38" t="s">
        <v>174</v>
      </c>
      <c r="C46" s="43" t="s">
        <v>175</v>
      </c>
      <c r="D46" s="38" t="s">
        <v>12198</v>
      </c>
      <c r="G46" s="44">
        <v>2</v>
      </c>
      <c r="H46" s="45">
        <v>43398</v>
      </c>
      <c r="J46" s="45">
        <v>21699</v>
      </c>
    </row>
    <row r="47" spans="1:11" x14ac:dyDescent="0.2">
      <c r="A47" s="38" t="s">
        <v>7</v>
      </c>
      <c r="B47" s="38" t="s">
        <v>180</v>
      </c>
      <c r="C47" s="43" t="s">
        <v>181</v>
      </c>
      <c r="D47" s="38" t="s">
        <v>12198</v>
      </c>
      <c r="G47" s="44">
        <v>1</v>
      </c>
      <c r="H47" s="45">
        <v>14013.45</v>
      </c>
      <c r="J47" s="45">
        <v>14013.45</v>
      </c>
    </row>
    <row r="48" spans="1:11" x14ac:dyDescent="0.2">
      <c r="A48" s="38" t="s">
        <v>7</v>
      </c>
      <c r="B48" s="38" t="s">
        <v>186</v>
      </c>
      <c r="C48" s="43" t="s">
        <v>187</v>
      </c>
      <c r="D48" s="38" t="s">
        <v>12198</v>
      </c>
      <c r="E48" s="44">
        <v>4</v>
      </c>
      <c r="F48" s="45">
        <v>61960</v>
      </c>
      <c r="G48" s="44">
        <v>16</v>
      </c>
      <c r="H48" s="45">
        <v>273611</v>
      </c>
      <c r="I48" s="45">
        <v>15490</v>
      </c>
      <c r="J48" s="45">
        <v>17100.6875</v>
      </c>
      <c r="K48" s="46">
        <v>0.10398240800516462</v>
      </c>
    </row>
    <row r="49" spans="1:11" x14ac:dyDescent="0.2">
      <c r="A49" s="38" t="s">
        <v>7</v>
      </c>
      <c r="B49" s="38" t="s">
        <v>189</v>
      </c>
      <c r="C49" s="43" t="s">
        <v>190</v>
      </c>
      <c r="D49" s="38" t="s">
        <v>12197</v>
      </c>
      <c r="G49" s="44">
        <v>2</v>
      </c>
      <c r="H49" s="45">
        <v>76206</v>
      </c>
      <c r="J49" s="45">
        <v>38103</v>
      </c>
    </row>
    <row r="50" spans="1:11" x14ac:dyDescent="0.2">
      <c r="A50" s="38" t="s">
        <v>7</v>
      </c>
      <c r="B50" s="38" t="s">
        <v>191</v>
      </c>
      <c r="C50" s="43" t="s">
        <v>192</v>
      </c>
      <c r="D50" s="38" t="s">
        <v>12198</v>
      </c>
      <c r="E50" s="44">
        <v>21</v>
      </c>
      <c r="F50" s="45">
        <v>346875</v>
      </c>
      <c r="G50" s="44">
        <v>6</v>
      </c>
      <c r="H50" s="45">
        <v>101250</v>
      </c>
      <c r="I50" s="45">
        <v>16517.857142857141</v>
      </c>
      <c r="J50" s="45">
        <v>16875</v>
      </c>
      <c r="K50" s="46">
        <v>2.1621621621621716E-2</v>
      </c>
    </row>
    <row r="51" spans="1:11" x14ac:dyDescent="0.2">
      <c r="A51" s="38" t="s">
        <v>7</v>
      </c>
      <c r="B51" s="38" t="s">
        <v>196</v>
      </c>
      <c r="C51" s="43" t="s">
        <v>197</v>
      </c>
      <c r="D51" s="38" t="s">
        <v>12197</v>
      </c>
      <c r="E51" s="44">
        <v>1</v>
      </c>
      <c r="F51" s="45">
        <v>16125</v>
      </c>
      <c r="G51" s="44">
        <v>1</v>
      </c>
      <c r="H51" s="45">
        <v>16125</v>
      </c>
      <c r="I51" s="45">
        <v>16125</v>
      </c>
      <c r="J51" s="45">
        <v>16125</v>
      </c>
      <c r="K51" s="46">
        <v>0</v>
      </c>
    </row>
    <row r="52" spans="1:11" x14ac:dyDescent="0.2">
      <c r="A52" s="38" t="s">
        <v>7</v>
      </c>
      <c r="B52" s="38" t="s">
        <v>202</v>
      </c>
      <c r="C52" s="43" t="s">
        <v>203</v>
      </c>
      <c r="D52" s="38" t="s">
        <v>12199</v>
      </c>
      <c r="G52" s="44">
        <v>1</v>
      </c>
      <c r="H52" s="45">
        <v>63316</v>
      </c>
      <c r="J52" s="45">
        <v>63316</v>
      </c>
    </row>
    <row r="53" spans="1:11" x14ac:dyDescent="0.2">
      <c r="A53" s="38" t="s">
        <v>7</v>
      </c>
      <c r="B53" s="38" t="s">
        <v>220</v>
      </c>
      <c r="C53" s="43" t="s">
        <v>221</v>
      </c>
      <c r="D53" s="38" t="s">
        <v>12200</v>
      </c>
      <c r="E53" s="44">
        <v>83</v>
      </c>
      <c r="F53" s="45">
        <v>70297</v>
      </c>
      <c r="G53" s="44">
        <v>204</v>
      </c>
      <c r="H53" s="45">
        <v>186873</v>
      </c>
      <c r="I53" s="45">
        <v>846.95180722891564</v>
      </c>
      <c r="J53" s="45">
        <v>916.04411764705878</v>
      </c>
      <c r="K53" s="46">
        <v>8.1577617319457174E-2</v>
      </c>
    </row>
    <row r="54" spans="1:11" x14ac:dyDescent="0.2">
      <c r="A54" s="38" t="s">
        <v>7</v>
      </c>
      <c r="B54" s="38" t="s">
        <v>223</v>
      </c>
      <c r="C54" s="43" t="s">
        <v>224</v>
      </c>
      <c r="D54" s="38" t="s">
        <v>12195</v>
      </c>
      <c r="G54" s="44">
        <v>3</v>
      </c>
      <c r="H54" s="45">
        <v>621818.18999999994</v>
      </c>
      <c r="J54" s="45">
        <v>207272.72999999998</v>
      </c>
    </row>
    <row r="55" spans="1:11" x14ac:dyDescent="0.2">
      <c r="A55" s="38" t="s">
        <v>7</v>
      </c>
      <c r="B55" s="38" t="s">
        <v>237</v>
      </c>
      <c r="C55" s="43" t="s">
        <v>238</v>
      </c>
      <c r="D55" s="38" t="s">
        <v>12201</v>
      </c>
      <c r="G55" s="44">
        <v>2</v>
      </c>
      <c r="H55" s="45">
        <v>344434</v>
      </c>
      <c r="J55" s="45">
        <v>172217</v>
      </c>
    </row>
    <row r="56" spans="1:11" x14ac:dyDescent="0.2">
      <c r="A56" s="38" t="s">
        <v>7</v>
      </c>
      <c r="B56" s="38" t="s">
        <v>250</v>
      </c>
      <c r="C56" s="43" t="s">
        <v>251</v>
      </c>
      <c r="D56" s="38" t="s">
        <v>12195</v>
      </c>
      <c r="G56" s="44">
        <v>1</v>
      </c>
      <c r="H56" s="45">
        <v>148224</v>
      </c>
      <c r="J56" s="45">
        <v>148224</v>
      </c>
    </row>
    <row r="57" spans="1:11" x14ac:dyDescent="0.2">
      <c r="A57" s="38" t="s">
        <v>7</v>
      </c>
      <c r="B57" s="38" t="s">
        <v>256</v>
      </c>
      <c r="C57" s="43" t="s">
        <v>257</v>
      </c>
      <c r="D57" s="38" t="s">
        <v>12195</v>
      </c>
      <c r="E57" s="44">
        <v>1</v>
      </c>
      <c r="F57" s="45">
        <v>149838</v>
      </c>
      <c r="G57" s="44">
        <v>1</v>
      </c>
      <c r="H57" s="45">
        <v>184441.60000000001</v>
      </c>
      <c r="I57" s="45">
        <v>149838</v>
      </c>
      <c r="J57" s="45">
        <v>184441.60000000001</v>
      </c>
      <c r="K57" s="46">
        <v>0.23094008195517829</v>
      </c>
    </row>
    <row r="58" spans="1:11" x14ac:dyDescent="0.2">
      <c r="A58" s="38" t="s">
        <v>7</v>
      </c>
      <c r="B58" s="38" t="s">
        <v>260</v>
      </c>
      <c r="C58" s="43" t="s">
        <v>261</v>
      </c>
      <c r="D58" s="38" t="s">
        <v>12202</v>
      </c>
      <c r="G58" s="44">
        <v>3</v>
      </c>
      <c r="H58" s="45">
        <v>891311.7</v>
      </c>
      <c r="J58" s="45">
        <v>297103.89999999997</v>
      </c>
    </row>
    <row r="59" spans="1:11" x14ac:dyDescent="0.2">
      <c r="A59" s="38" t="s">
        <v>7</v>
      </c>
      <c r="B59" s="38" t="s">
        <v>265</v>
      </c>
      <c r="C59" s="43" t="s">
        <v>266</v>
      </c>
      <c r="D59" s="38" t="s">
        <v>12195</v>
      </c>
      <c r="E59" s="44">
        <v>1</v>
      </c>
      <c r="F59" s="45">
        <v>129932</v>
      </c>
      <c r="G59" s="44">
        <v>3</v>
      </c>
      <c r="H59" s="45">
        <v>389796</v>
      </c>
      <c r="I59" s="45">
        <v>129932</v>
      </c>
      <c r="J59" s="45">
        <v>129932</v>
      </c>
      <c r="K59" s="46">
        <v>0</v>
      </c>
    </row>
    <row r="60" spans="1:11" x14ac:dyDescent="0.2">
      <c r="A60" s="38" t="s">
        <v>7</v>
      </c>
      <c r="B60" s="38" t="s">
        <v>303</v>
      </c>
      <c r="C60" s="43" t="s">
        <v>304</v>
      </c>
      <c r="D60" s="38" t="s">
        <v>12203</v>
      </c>
      <c r="G60" s="44">
        <v>2</v>
      </c>
      <c r="H60" s="45">
        <v>459222</v>
      </c>
      <c r="J60" s="45">
        <v>229611</v>
      </c>
    </row>
    <row r="61" spans="1:11" x14ac:dyDescent="0.2">
      <c r="A61" s="38" t="s">
        <v>7</v>
      </c>
      <c r="B61" s="38" t="s">
        <v>306</v>
      </c>
      <c r="C61" s="43" t="s">
        <v>307</v>
      </c>
      <c r="D61" s="38" t="s">
        <v>12204</v>
      </c>
      <c r="G61" s="44">
        <v>7</v>
      </c>
      <c r="H61" s="45">
        <v>1836366</v>
      </c>
      <c r="J61" s="45">
        <v>262338</v>
      </c>
    </row>
    <row r="62" spans="1:11" x14ac:dyDescent="0.2">
      <c r="A62" s="38" t="s">
        <v>7</v>
      </c>
      <c r="B62" s="38" t="s">
        <v>309</v>
      </c>
      <c r="C62" s="43" t="s">
        <v>310</v>
      </c>
      <c r="D62" s="38" t="s">
        <v>12205</v>
      </c>
      <c r="E62" s="44">
        <v>3</v>
      </c>
      <c r="F62" s="45">
        <v>29697</v>
      </c>
      <c r="G62" s="44">
        <v>8</v>
      </c>
      <c r="H62" s="45">
        <v>79192</v>
      </c>
      <c r="I62" s="45">
        <v>9899</v>
      </c>
      <c r="J62" s="45">
        <v>9899</v>
      </c>
      <c r="K62" s="46">
        <v>0</v>
      </c>
    </row>
    <row r="63" spans="1:11" x14ac:dyDescent="0.2">
      <c r="A63" s="38" t="s">
        <v>7</v>
      </c>
      <c r="B63" s="38" t="s">
        <v>312</v>
      </c>
      <c r="C63" s="43" t="s">
        <v>313</v>
      </c>
      <c r="D63" s="38" t="s">
        <v>12206</v>
      </c>
      <c r="G63" s="44">
        <v>2</v>
      </c>
      <c r="H63" s="45">
        <v>40909.1</v>
      </c>
      <c r="J63" s="45">
        <v>20454.55</v>
      </c>
    </row>
    <row r="64" spans="1:11" x14ac:dyDescent="0.2">
      <c r="A64" s="38" t="s">
        <v>7</v>
      </c>
      <c r="B64" s="38" t="s">
        <v>321</v>
      </c>
      <c r="C64" s="43" t="s">
        <v>322</v>
      </c>
      <c r="D64" s="38" t="s">
        <v>12207</v>
      </c>
      <c r="E64" s="44">
        <v>1</v>
      </c>
      <c r="F64" s="45">
        <v>9191</v>
      </c>
      <c r="G64" s="44">
        <v>3</v>
      </c>
      <c r="H64" s="45">
        <v>27786</v>
      </c>
      <c r="I64" s="45">
        <v>9191</v>
      </c>
      <c r="J64" s="45">
        <v>9262</v>
      </c>
      <c r="K64" s="46">
        <v>7.7249483190077253E-3</v>
      </c>
    </row>
    <row r="65" spans="1:11" x14ac:dyDescent="0.2">
      <c r="A65" s="38" t="s">
        <v>7</v>
      </c>
      <c r="B65" s="38" t="s">
        <v>326</v>
      </c>
      <c r="C65" s="43" t="s">
        <v>327</v>
      </c>
      <c r="D65" s="38" t="s">
        <v>12208</v>
      </c>
      <c r="G65" s="44">
        <v>4</v>
      </c>
      <c r="H65" s="45">
        <v>133236</v>
      </c>
      <c r="J65" s="45">
        <v>33309</v>
      </c>
    </row>
    <row r="66" spans="1:11" x14ac:dyDescent="0.2">
      <c r="A66" s="38" t="s">
        <v>7</v>
      </c>
      <c r="B66" s="38" t="s">
        <v>329</v>
      </c>
      <c r="C66" s="43" t="s">
        <v>330</v>
      </c>
      <c r="D66" s="38" t="s">
        <v>12206</v>
      </c>
      <c r="G66" s="44">
        <v>14</v>
      </c>
      <c r="H66" s="45">
        <v>162554</v>
      </c>
      <c r="J66" s="45">
        <v>11611</v>
      </c>
    </row>
    <row r="67" spans="1:11" x14ac:dyDescent="0.2">
      <c r="A67" s="38" t="s">
        <v>7</v>
      </c>
      <c r="B67" s="38" t="s">
        <v>332</v>
      </c>
      <c r="C67" s="43" t="s">
        <v>333</v>
      </c>
      <c r="D67" s="38" t="s">
        <v>12208</v>
      </c>
      <c r="G67" s="44">
        <v>1</v>
      </c>
      <c r="H67" s="45">
        <v>34777</v>
      </c>
      <c r="J67" s="45">
        <v>34777</v>
      </c>
    </row>
    <row r="68" spans="1:11" x14ac:dyDescent="0.2">
      <c r="A68" s="38" t="s">
        <v>7</v>
      </c>
      <c r="B68" s="38" t="s">
        <v>337</v>
      </c>
      <c r="C68" s="43" t="s">
        <v>338</v>
      </c>
      <c r="D68" s="38" t="s">
        <v>12209</v>
      </c>
      <c r="G68" s="44">
        <v>1</v>
      </c>
      <c r="H68" s="45">
        <v>19404</v>
      </c>
      <c r="J68" s="45">
        <v>19404</v>
      </c>
    </row>
    <row r="69" spans="1:11" x14ac:dyDescent="0.2">
      <c r="A69" s="38" t="s">
        <v>7</v>
      </c>
      <c r="B69" s="38" t="s">
        <v>345</v>
      </c>
      <c r="C69" s="43" t="s">
        <v>346</v>
      </c>
      <c r="D69" s="38" t="s">
        <v>12206</v>
      </c>
      <c r="E69" s="44">
        <v>5</v>
      </c>
      <c r="F69" s="45">
        <v>83414.5</v>
      </c>
      <c r="G69" s="44">
        <v>5</v>
      </c>
      <c r="H69" s="45">
        <v>84760</v>
      </c>
      <c r="I69" s="45">
        <v>16682.900000000001</v>
      </c>
      <c r="J69" s="45">
        <v>16952</v>
      </c>
      <c r="K69" s="46">
        <v>1.6130289098418051E-2</v>
      </c>
    </row>
    <row r="70" spans="1:11" x14ac:dyDescent="0.2">
      <c r="A70" s="38" t="s">
        <v>7</v>
      </c>
      <c r="B70" s="38" t="s">
        <v>348</v>
      </c>
      <c r="C70" s="43" t="s">
        <v>349</v>
      </c>
      <c r="D70" s="38" t="s">
        <v>12205</v>
      </c>
      <c r="G70" s="44">
        <v>16</v>
      </c>
      <c r="H70" s="45">
        <v>88352</v>
      </c>
      <c r="J70" s="45">
        <v>5522</v>
      </c>
    </row>
    <row r="71" spans="1:11" x14ac:dyDescent="0.2">
      <c r="A71" s="38" t="s">
        <v>7</v>
      </c>
      <c r="B71" s="38" t="s">
        <v>353</v>
      </c>
      <c r="C71" s="43" t="s">
        <v>354</v>
      </c>
      <c r="D71" s="38" t="s">
        <v>12210</v>
      </c>
      <c r="E71" s="44">
        <v>23</v>
      </c>
      <c r="F71" s="45">
        <v>126810</v>
      </c>
      <c r="G71" s="44">
        <v>24</v>
      </c>
      <c r="H71" s="45">
        <v>118983</v>
      </c>
      <c r="I71" s="45">
        <v>5513.478260869565</v>
      </c>
      <c r="J71" s="45">
        <v>4957.625</v>
      </c>
      <c r="K71" s="46">
        <v>-0.10081716741581891</v>
      </c>
    </row>
    <row r="72" spans="1:11" x14ac:dyDescent="0.2">
      <c r="A72" s="38" t="s">
        <v>7</v>
      </c>
      <c r="B72" s="38" t="s">
        <v>356</v>
      </c>
      <c r="C72" s="43" t="s">
        <v>357</v>
      </c>
      <c r="D72" s="38" t="s">
        <v>12210</v>
      </c>
      <c r="E72" s="44">
        <v>15</v>
      </c>
      <c r="F72" s="45">
        <v>62357.440000000002</v>
      </c>
      <c r="G72" s="44">
        <v>11</v>
      </c>
      <c r="H72" s="45">
        <v>46651</v>
      </c>
      <c r="I72" s="45">
        <v>4157.1626666666671</v>
      </c>
      <c r="J72" s="45">
        <v>4241</v>
      </c>
      <c r="K72" s="46">
        <v>2.0166960029147987E-2</v>
      </c>
    </row>
    <row r="73" spans="1:11" x14ac:dyDescent="0.2">
      <c r="A73" s="38" t="s">
        <v>7</v>
      </c>
      <c r="B73" s="38" t="s">
        <v>358</v>
      </c>
      <c r="C73" s="43" t="s">
        <v>359</v>
      </c>
      <c r="D73" s="38" t="s">
        <v>12210</v>
      </c>
      <c r="E73" s="44">
        <v>11</v>
      </c>
      <c r="F73" s="45">
        <v>61010</v>
      </c>
      <c r="G73" s="44">
        <v>14</v>
      </c>
      <c r="H73" s="45">
        <v>69714</v>
      </c>
      <c r="I73" s="45">
        <v>5546.363636363636</v>
      </c>
      <c r="J73" s="45">
        <v>4979.5714285714284</v>
      </c>
      <c r="K73" s="46">
        <v>-0.10219167817922117</v>
      </c>
    </row>
    <row r="74" spans="1:11" x14ac:dyDescent="0.2">
      <c r="A74" s="38" t="s">
        <v>7</v>
      </c>
      <c r="B74" s="38" t="s">
        <v>360</v>
      </c>
      <c r="C74" s="43" t="s">
        <v>361</v>
      </c>
      <c r="D74" s="38" t="s">
        <v>12210</v>
      </c>
      <c r="G74" s="44">
        <v>2</v>
      </c>
      <c r="H74" s="45">
        <v>4300</v>
      </c>
      <c r="J74" s="45">
        <v>2150</v>
      </c>
    </row>
    <row r="75" spans="1:11" x14ac:dyDescent="0.2">
      <c r="A75" s="38" t="s">
        <v>7</v>
      </c>
      <c r="B75" s="38" t="s">
        <v>368</v>
      </c>
      <c r="C75" s="43" t="s">
        <v>369</v>
      </c>
      <c r="D75" s="38" t="s">
        <v>12210</v>
      </c>
      <c r="G75" s="44">
        <v>3</v>
      </c>
      <c r="H75" s="45">
        <v>10572</v>
      </c>
      <c r="J75" s="45">
        <v>3524</v>
      </c>
    </row>
    <row r="76" spans="1:11" x14ac:dyDescent="0.2">
      <c r="A76" s="38" t="s">
        <v>7</v>
      </c>
      <c r="B76" s="38" t="s">
        <v>371</v>
      </c>
      <c r="C76" s="43" t="s">
        <v>372</v>
      </c>
      <c r="D76" s="38" t="s">
        <v>12208</v>
      </c>
      <c r="G76" s="44">
        <v>2</v>
      </c>
      <c r="H76" s="45">
        <v>73016</v>
      </c>
      <c r="J76" s="45">
        <v>36508</v>
      </c>
    </row>
    <row r="77" spans="1:11" x14ac:dyDescent="0.2">
      <c r="A77" s="38" t="s">
        <v>7</v>
      </c>
      <c r="B77" s="38" t="s">
        <v>374</v>
      </c>
      <c r="C77" s="43" t="s">
        <v>375</v>
      </c>
      <c r="D77" s="38" t="s">
        <v>12208</v>
      </c>
      <c r="E77" s="44">
        <v>3</v>
      </c>
      <c r="F77" s="45">
        <v>109524</v>
      </c>
      <c r="G77" s="44">
        <v>2</v>
      </c>
      <c r="H77" s="45">
        <v>49532</v>
      </c>
      <c r="I77" s="45">
        <v>36508</v>
      </c>
      <c r="J77" s="45">
        <v>24766</v>
      </c>
      <c r="K77" s="46">
        <v>-0.32162813629889342</v>
      </c>
    </row>
    <row r="78" spans="1:11" x14ac:dyDescent="0.2">
      <c r="A78" s="38" t="s">
        <v>7</v>
      </c>
      <c r="B78" s="38" t="s">
        <v>376</v>
      </c>
      <c r="C78" s="43" t="s">
        <v>377</v>
      </c>
      <c r="D78" s="38" t="s">
        <v>12207</v>
      </c>
      <c r="G78" s="44">
        <v>1</v>
      </c>
      <c r="H78" s="45">
        <v>18707</v>
      </c>
      <c r="J78" s="45">
        <v>18707</v>
      </c>
    </row>
    <row r="79" spans="1:11" x14ac:dyDescent="0.2">
      <c r="A79" s="38" t="s">
        <v>7</v>
      </c>
      <c r="B79" s="38" t="s">
        <v>12211</v>
      </c>
      <c r="C79" s="43" t="s">
        <v>12212</v>
      </c>
      <c r="E79" s="44">
        <v>1</v>
      </c>
      <c r="F79" s="45">
        <v>184441.60000000001</v>
      </c>
      <c r="G79" s="44">
        <v>0</v>
      </c>
      <c r="H79" s="45">
        <v>0</v>
      </c>
      <c r="I79" s="45">
        <v>184441.60000000001</v>
      </c>
    </row>
    <row r="80" spans="1:11" x14ac:dyDescent="0.2">
      <c r="A80" s="38" t="s">
        <v>7</v>
      </c>
      <c r="B80" s="38" t="s">
        <v>387</v>
      </c>
      <c r="C80" s="43" t="s">
        <v>388</v>
      </c>
      <c r="D80" s="38" t="s">
        <v>12196</v>
      </c>
      <c r="G80" s="44">
        <v>2</v>
      </c>
      <c r="H80" s="45">
        <v>103636.36</v>
      </c>
      <c r="J80" s="45">
        <v>51818.18</v>
      </c>
    </row>
    <row r="81" spans="1:11" x14ac:dyDescent="0.2">
      <c r="A81" s="38" t="s">
        <v>7</v>
      </c>
      <c r="B81" s="38" t="s">
        <v>390</v>
      </c>
      <c r="C81" s="43" t="s">
        <v>391</v>
      </c>
      <c r="D81" s="38" t="s">
        <v>12203</v>
      </c>
      <c r="G81" s="44">
        <v>5</v>
      </c>
      <c r="H81" s="45">
        <v>877365.36</v>
      </c>
      <c r="J81" s="45">
        <v>175473.07199999999</v>
      </c>
    </row>
    <row r="82" spans="1:11" x14ac:dyDescent="0.2">
      <c r="A82" s="38" t="s">
        <v>7</v>
      </c>
      <c r="B82" s="38" t="s">
        <v>393</v>
      </c>
      <c r="C82" s="43" t="s">
        <v>394</v>
      </c>
      <c r="D82" s="38" t="s">
        <v>12206</v>
      </c>
      <c r="G82" s="44">
        <v>10</v>
      </c>
      <c r="H82" s="45">
        <v>375831.84</v>
      </c>
      <c r="J82" s="45">
        <v>37583.184000000001</v>
      </c>
    </row>
    <row r="83" spans="1:11" x14ac:dyDescent="0.2">
      <c r="A83" s="38" t="s">
        <v>7</v>
      </c>
      <c r="B83" s="38" t="s">
        <v>396</v>
      </c>
      <c r="C83" s="43" t="s">
        <v>397</v>
      </c>
      <c r="D83" s="38" t="s">
        <v>12202</v>
      </c>
      <c r="G83" s="44">
        <v>1</v>
      </c>
      <c r="H83" s="45">
        <v>22727.27</v>
      </c>
      <c r="J83" s="45">
        <v>22727.27</v>
      </c>
    </row>
    <row r="84" spans="1:11" x14ac:dyDescent="0.2">
      <c r="A84" s="38" t="s">
        <v>7</v>
      </c>
      <c r="B84" s="38" t="s">
        <v>399</v>
      </c>
      <c r="C84" s="43" t="s">
        <v>400</v>
      </c>
      <c r="D84" s="38" t="s">
        <v>12206</v>
      </c>
      <c r="G84" s="44">
        <v>1</v>
      </c>
      <c r="H84" s="45">
        <v>318</v>
      </c>
      <c r="J84" s="45">
        <v>318</v>
      </c>
    </row>
    <row r="85" spans="1:11" x14ac:dyDescent="0.2">
      <c r="A85" s="38" t="s">
        <v>7</v>
      </c>
      <c r="B85" s="38" t="s">
        <v>402</v>
      </c>
      <c r="C85" s="43" t="s">
        <v>403</v>
      </c>
      <c r="D85" s="38" t="s">
        <v>12213</v>
      </c>
      <c r="E85" s="44">
        <v>18</v>
      </c>
      <c r="F85" s="45">
        <v>126897</v>
      </c>
      <c r="G85" s="44">
        <v>16</v>
      </c>
      <c r="H85" s="45">
        <v>104668</v>
      </c>
      <c r="I85" s="45">
        <v>7049.833333333333</v>
      </c>
      <c r="J85" s="45">
        <v>6541.75</v>
      </c>
      <c r="K85" s="46">
        <v>-7.2070261708314584E-2</v>
      </c>
    </row>
    <row r="86" spans="1:11" x14ac:dyDescent="0.2">
      <c r="A86" s="38" t="s">
        <v>7</v>
      </c>
      <c r="B86" s="38" t="s">
        <v>405</v>
      </c>
      <c r="C86" s="43" t="s">
        <v>406</v>
      </c>
      <c r="D86" s="38" t="s">
        <v>12213</v>
      </c>
      <c r="E86" s="44">
        <v>5</v>
      </c>
      <c r="F86" s="45">
        <v>8438</v>
      </c>
      <c r="G86" s="44">
        <v>25</v>
      </c>
      <c r="H86" s="45">
        <v>56295</v>
      </c>
      <c r="I86" s="45">
        <v>1687.6</v>
      </c>
      <c r="J86" s="45">
        <v>2251.8000000000002</v>
      </c>
      <c r="K86" s="46">
        <v>0.33432092913012579</v>
      </c>
    </row>
    <row r="87" spans="1:11" x14ac:dyDescent="0.2">
      <c r="A87" s="38" t="s">
        <v>7</v>
      </c>
      <c r="B87" s="38" t="s">
        <v>414</v>
      </c>
      <c r="C87" s="43" t="s">
        <v>415</v>
      </c>
      <c r="D87" s="38" t="s">
        <v>12213</v>
      </c>
      <c r="E87" s="44">
        <v>57</v>
      </c>
      <c r="F87" s="45">
        <v>121437</v>
      </c>
      <c r="G87" s="44">
        <v>50</v>
      </c>
      <c r="H87" s="45">
        <v>116710</v>
      </c>
      <c r="I87" s="45">
        <v>2130.4736842105262</v>
      </c>
      <c r="J87" s="45">
        <v>2334.1999999999998</v>
      </c>
      <c r="K87" s="46">
        <v>9.5624891919266736E-2</v>
      </c>
    </row>
    <row r="88" spans="1:11" x14ac:dyDescent="0.2">
      <c r="A88" s="38" t="s">
        <v>7</v>
      </c>
      <c r="B88" s="38" t="s">
        <v>423</v>
      </c>
      <c r="C88" s="43" t="s">
        <v>424</v>
      </c>
      <c r="D88" s="38" t="s">
        <v>12213</v>
      </c>
      <c r="E88" s="44">
        <v>26</v>
      </c>
      <c r="F88" s="45">
        <v>42388</v>
      </c>
      <c r="G88" s="44">
        <v>21</v>
      </c>
      <c r="H88" s="45">
        <v>44358</v>
      </c>
      <c r="I88" s="45">
        <v>1630.3076923076924</v>
      </c>
      <c r="J88" s="45">
        <v>2112.2857142857142</v>
      </c>
      <c r="K88" s="46">
        <v>0.29563623127839406</v>
      </c>
    </row>
    <row r="89" spans="1:11" x14ac:dyDescent="0.2">
      <c r="A89" s="38" t="s">
        <v>7</v>
      </c>
      <c r="B89" s="38" t="s">
        <v>429</v>
      </c>
      <c r="C89" s="43" t="s">
        <v>430</v>
      </c>
      <c r="D89" s="38" t="s">
        <v>12213</v>
      </c>
      <c r="E89" s="44">
        <v>5</v>
      </c>
      <c r="F89" s="45">
        <v>10317</v>
      </c>
      <c r="G89" s="44">
        <v>4</v>
      </c>
      <c r="H89" s="45">
        <v>8772</v>
      </c>
      <c r="I89" s="45">
        <v>2063.4</v>
      </c>
      <c r="J89" s="45">
        <v>2193</v>
      </c>
      <c r="K89" s="46">
        <v>6.2808956091887136E-2</v>
      </c>
    </row>
    <row r="90" spans="1:11" x14ac:dyDescent="0.2">
      <c r="A90" s="38" t="s">
        <v>7</v>
      </c>
      <c r="B90" s="38" t="s">
        <v>440</v>
      </c>
      <c r="C90" s="43" t="s">
        <v>441</v>
      </c>
      <c r="D90" s="38" t="s">
        <v>12213</v>
      </c>
      <c r="G90" s="44">
        <v>2</v>
      </c>
      <c r="H90" s="45">
        <v>13794</v>
      </c>
      <c r="J90" s="45">
        <v>6897</v>
      </c>
    </row>
    <row r="91" spans="1:11" x14ac:dyDescent="0.2">
      <c r="A91" s="38" t="s">
        <v>7</v>
      </c>
      <c r="B91" s="38" t="s">
        <v>454</v>
      </c>
      <c r="C91" s="43" t="s">
        <v>455</v>
      </c>
      <c r="D91" s="38" t="s">
        <v>12213</v>
      </c>
      <c r="G91" s="44">
        <v>5</v>
      </c>
      <c r="H91" s="45">
        <v>21684</v>
      </c>
      <c r="J91" s="45">
        <v>4336.8</v>
      </c>
    </row>
    <row r="92" spans="1:11" x14ac:dyDescent="0.2">
      <c r="A92" s="38" t="s">
        <v>7</v>
      </c>
      <c r="B92" s="38" t="s">
        <v>457</v>
      </c>
      <c r="C92" s="43" t="s">
        <v>458</v>
      </c>
      <c r="D92" s="38" t="s">
        <v>12213</v>
      </c>
      <c r="E92" s="44">
        <v>20</v>
      </c>
      <c r="F92" s="45">
        <v>40945</v>
      </c>
      <c r="G92" s="44">
        <v>18</v>
      </c>
      <c r="H92" s="45">
        <v>49764</v>
      </c>
      <c r="I92" s="45">
        <v>2047.25</v>
      </c>
      <c r="J92" s="45">
        <v>2764.6666666666665</v>
      </c>
      <c r="K92" s="46">
        <v>0.35042943786380099</v>
      </c>
    </row>
    <row r="93" spans="1:11" x14ac:dyDescent="0.2">
      <c r="A93" s="38" t="s">
        <v>7</v>
      </c>
      <c r="B93" s="38" t="s">
        <v>469</v>
      </c>
      <c r="C93" s="43" t="s">
        <v>470</v>
      </c>
      <c r="D93" s="38" t="s">
        <v>12213</v>
      </c>
      <c r="E93" s="44">
        <v>3</v>
      </c>
      <c r="F93" s="45">
        <v>3508</v>
      </c>
      <c r="G93" s="44">
        <v>0</v>
      </c>
      <c r="H93" s="45">
        <v>0</v>
      </c>
      <c r="I93" s="45">
        <v>1169.3333333333333</v>
      </c>
    </row>
    <row r="94" spans="1:11" x14ac:dyDescent="0.2">
      <c r="A94" s="38" t="s">
        <v>7</v>
      </c>
      <c r="B94" s="38" t="s">
        <v>480</v>
      </c>
      <c r="C94" s="43" t="s">
        <v>481</v>
      </c>
      <c r="D94" s="38" t="s">
        <v>12213</v>
      </c>
      <c r="E94" s="44">
        <v>3</v>
      </c>
      <c r="F94" s="45">
        <v>3385</v>
      </c>
      <c r="G94" s="44">
        <v>8</v>
      </c>
      <c r="H94" s="45">
        <v>12057</v>
      </c>
      <c r="I94" s="45">
        <v>1128.3333333333333</v>
      </c>
      <c r="J94" s="45">
        <v>1507.125</v>
      </c>
      <c r="K94" s="46">
        <v>0.33570901033973422</v>
      </c>
    </row>
    <row r="95" spans="1:11" x14ac:dyDescent="0.2">
      <c r="A95" s="38" t="s">
        <v>7</v>
      </c>
      <c r="B95" s="38" t="s">
        <v>486</v>
      </c>
      <c r="C95" s="43" t="s">
        <v>487</v>
      </c>
      <c r="D95" s="38" t="s">
        <v>12213</v>
      </c>
      <c r="G95" s="44">
        <v>8</v>
      </c>
      <c r="H95" s="45">
        <v>17489</v>
      </c>
      <c r="J95" s="45">
        <v>2186.125</v>
      </c>
    </row>
    <row r="96" spans="1:11" x14ac:dyDescent="0.2">
      <c r="A96" s="38" t="s">
        <v>7</v>
      </c>
      <c r="B96" s="38" t="s">
        <v>492</v>
      </c>
      <c r="C96" s="43" t="s">
        <v>493</v>
      </c>
      <c r="D96" s="38" t="s">
        <v>12213</v>
      </c>
      <c r="G96" s="44">
        <v>2</v>
      </c>
      <c r="H96" s="45">
        <v>4076</v>
      </c>
      <c r="J96" s="45">
        <v>2038</v>
      </c>
    </row>
    <row r="97" spans="1:11" x14ac:dyDescent="0.2">
      <c r="A97" s="38" t="s">
        <v>7</v>
      </c>
      <c r="B97" s="38" t="s">
        <v>507</v>
      </c>
      <c r="C97" s="43" t="s">
        <v>508</v>
      </c>
      <c r="D97" s="38" t="s">
        <v>12213</v>
      </c>
      <c r="E97" s="44">
        <v>9</v>
      </c>
      <c r="F97" s="45">
        <v>20710.259999999998</v>
      </c>
      <c r="G97" s="44">
        <v>5</v>
      </c>
      <c r="H97" s="45">
        <v>10262.25</v>
      </c>
      <c r="I97" s="45">
        <v>2301.14</v>
      </c>
      <c r="J97" s="45">
        <v>2052.4499999999998</v>
      </c>
      <c r="K97" s="46">
        <v>-0.10807252057675763</v>
      </c>
    </row>
    <row r="98" spans="1:11" x14ac:dyDescent="0.2">
      <c r="A98" s="38" t="s">
        <v>7</v>
      </c>
      <c r="B98" s="38" t="s">
        <v>529</v>
      </c>
      <c r="C98" s="43" t="s">
        <v>530</v>
      </c>
      <c r="D98" s="38" t="s">
        <v>12213</v>
      </c>
      <c r="G98" s="44">
        <v>1</v>
      </c>
      <c r="H98" s="45">
        <v>3920</v>
      </c>
      <c r="J98" s="45">
        <v>3920</v>
      </c>
    </row>
    <row r="99" spans="1:11" x14ac:dyDescent="0.2">
      <c r="A99" s="38" t="s">
        <v>7</v>
      </c>
      <c r="B99" s="38" t="s">
        <v>532</v>
      </c>
      <c r="C99" s="43" t="s">
        <v>533</v>
      </c>
      <c r="D99" s="38" t="s">
        <v>12213</v>
      </c>
      <c r="E99" s="44">
        <v>6</v>
      </c>
      <c r="F99" s="45">
        <v>28700</v>
      </c>
      <c r="G99" s="44">
        <v>0</v>
      </c>
      <c r="H99" s="45">
        <v>0</v>
      </c>
      <c r="I99" s="45">
        <v>4783.333333333333</v>
      </c>
    </row>
    <row r="100" spans="1:11" x14ac:dyDescent="0.2">
      <c r="A100" s="38" t="s">
        <v>7</v>
      </c>
      <c r="B100" s="38" t="s">
        <v>550</v>
      </c>
      <c r="C100" s="43" t="s">
        <v>551</v>
      </c>
      <c r="D100" s="38" t="s">
        <v>12213</v>
      </c>
      <c r="G100" s="44">
        <v>1</v>
      </c>
      <c r="H100" s="45">
        <v>954</v>
      </c>
      <c r="J100" s="45">
        <v>954</v>
      </c>
    </row>
    <row r="101" spans="1:11" x14ac:dyDescent="0.2">
      <c r="A101" s="38" t="s">
        <v>7</v>
      </c>
      <c r="B101" s="38" t="s">
        <v>553</v>
      </c>
      <c r="C101" s="43" t="s">
        <v>554</v>
      </c>
      <c r="D101" s="38" t="s">
        <v>12213</v>
      </c>
      <c r="E101" s="44">
        <v>5</v>
      </c>
      <c r="F101" s="45">
        <v>1972</v>
      </c>
      <c r="G101" s="44">
        <v>0</v>
      </c>
      <c r="H101" s="45">
        <v>0</v>
      </c>
      <c r="I101" s="45">
        <v>394.4</v>
      </c>
    </row>
    <row r="102" spans="1:11" x14ac:dyDescent="0.2">
      <c r="A102" s="38" t="s">
        <v>7</v>
      </c>
      <c r="B102" s="38" t="s">
        <v>565</v>
      </c>
      <c r="C102" s="43" t="s">
        <v>566</v>
      </c>
      <c r="D102" s="38" t="s">
        <v>12213</v>
      </c>
      <c r="E102" s="44">
        <v>4</v>
      </c>
      <c r="F102" s="45">
        <v>6964</v>
      </c>
      <c r="G102" s="44">
        <v>3</v>
      </c>
      <c r="H102" s="45">
        <v>5424</v>
      </c>
      <c r="I102" s="45">
        <v>1741</v>
      </c>
      <c r="J102" s="45">
        <v>1808</v>
      </c>
      <c r="K102" s="46">
        <v>3.8483630097645029E-2</v>
      </c>
    </row>
    <row r="103" spans="1:11" x14ac:dyDescent="0.2">
      <c r="A103" s="38" t="s">
        <v>7</v>
      </c>
      <c r="B103" s="38" t="s">
        <v>574</v>
      </c>
      <c r="C103" s="43" t="s">
        <v>575</v>
      </c>
      <c r="D103" s="38" t="s">
        <v>12213</v>
      </c>
      <c r="G103" s="44">
        <v>7</v>
      </c>
      <c r="H103" s="45">
        <v>31011</v>
      </c>
      <c r="J103" s="45">
        <v>4430.1428571428569</v>
      </c>
    </row>
    <row r="104" spans="1:11" x14ac:dyDescent="0.2">
      <c r="A104" s="38" t="s">
        <v>7</v>
      </c>
      <c r="B104" s="38" t="s">
        <v>577</v>
      </c>
      <c r="C104" s="43" t="s">
        <v>578</v>
      </c>
      <c r="D104" s="38" t="s">
        <v>12214</v>
      </c>
      <c r="G104" s="44">
        <v>3</v>
      </c>
      <c r="H104" s="45">
        <v>56928</v>
      </c>
      <c r="J104" s="45">
        <v>18976</v>
      </c>
    </row>
    <row r="105" spans="1:11" x14ac:dyDescent="0.2">
      <c r="A105" s="38" t="s">
        <v>7</v>
      </c>
      <c r="B105" s="38" t="s">
        <v>580</v>
      </c>
      <c r="C105" s="43" t="s">
        <v>581</v>
      </c>
      <c r="D105" s="38" t="s">
        <v>12213</v>
      </c>
      <c r="E105" s="44">
        <v>4</v>
      </c>
      <c r="F105" s="45">
        <v>66852.5</v>
      </c>
      <c r="G105" s="44">
        <v>4</v>
      </c>
      <c r="H105" s="45">
        <v>78048.75</v>
      </c>
      <c r="I105" s="45">
        <v>16713.125</v>
      </c>
      <c r="J105" s="45">
        <v>19512.1875</v>
      </c>
      <c r="K105" s="46">
        <v>0.16747690811861934</v>
      </c>
    </row>
    <row r="106" spans="1:11" x14ac:dyDescent="0.2">
      <c r="A106" s="38" t="s">
        <v>7</v>
      </c>
      <c r="B106" s="38" t="s">
        <v>584</v>
      </c>
      <c r="C106" s="43" t="s">
        <v>585</v>
      </c>
      <c r="D106" s="38" t="s">
        <v>12213</v>
      </c>
      <c r="E106" s="44">
        <v>12</v>
      </c>
      <c r="F106" s="45">
        <v>332736</v>
      </c>
      <c r="G106" s="44">
        <v>10</v>
      </c>
      <c r="H106" s="45">
        <v>262069.56</v>
      </c>
      <c r="I106" s="45">
        <v>27728</v>
      </c>
      <c r="J106" s="45">
        <v>26206.955999999998</v>
      </c>
      <c r="K106" s="46">
        <v>-5.485588574725915E-2</v>
      </c>
    </row>
    <row r="107" spans="1:11" x14ac:dyDescent="0.2">
      <c r="A107" s="38" t="s">
        <v>7</v>
      </c>
      <c r="B107" s="38" t="s">
        <v>587</v>
      </c>
      <c r="C107" s="43" t="s">
        <v>588</v>
      </c>
      <c r="D107" s="38" t="s">
        <v>12213</v>
      </c>
      <c r="E107" s="44">
        <v>14</v>
      </c>
      <c r="F107" s="45">
        <v>74354</v>
      </c>
      <c r="G107" s="44">
        <v>62</v>
      </c>
      <c r="H107" s="45">
        <v>302222</v>
      </c>
      <c r="I107" s="45">
        <v>5311</v>
      </c>
      <c r="J107" s="45">
        <v>4874.5483870967746</v>
      </c>
      <c r="K107" s="46">
        <v>-8.2178801149166897E-2</v>
      </c>
    </row>
    <row r="108" spans="1:11" x14ac:dyDescent="0.2">
      <c r="A108" s="38" t="s">
        <v>7</v>
      </c>
      <c r="B108" s="38" t="s">
        <v>593</v>
      </c>
      <c r="C108" s="43" t="s">
        <v>594</v>
      </c>
      <c r="D108" s="38" t="s">
        <v>12214</v>
      </c>
      <c r="G108" s="44">
        <v>1</v>
      </c>
      <c r="H108" s="45">
        <v>4891.25</v>
      </c>
      <c r="J108" s="45">
        <v>4891.25</v>
      </c>
    </row>
    <row r="109" spans="1:11" x14ac:dyDescent="0.2">
      <c r="A109" s="38" t="s">
        <v>7</v>
      </c>
      <c r="B109" s="38" t="s">
        <v>595</v>
      </c>
      <c r="C109" s="43" t="s">
        <v>596</v>
      </c>
      <c r="D109" s="38" t="s">
        <v>12213</v>
      </c>
      <c r="E109" s="44">
        <v>12</v>
      </c>
      <c r="F109" s="45">
        <v>322497.63</v>
      </c>
      <c r="G109" s="44">
        <v>13</v>
      </c>
      <c r="H109" s="45">
        <v>278168.05</v>
      </c>
      <c r="I109" s="45">
        <v>26874.802500000002</v>
      </c>
      <c r="J109" s="45">
        <v>21397.542307692307</v>
      </c>
      <c r="K109" s="46">
        <v>-0.20380652815244668</v>
      </c>
    </row>
    <row r="110" spans="1:11" x14ac:dyDescent="0.2">
      <c r="A110" s="38" t="s">
        <v>7</v>
      </c>
      <c r="B110" s="38" t="s">
        <v>607</v>
      </c>
      <c r="C110" s="43" t="s">
        <v>608</v>
      </c>
      <c r="D110" s="38" t="s">
        <v>12214</v>
      </c>
      <c r="E110" s="44">
        <v>1</v>
      </c>
      <c r="F110" s="45">
        <v>17707</v>
      </c>
      <c r="G110" s="44">
        <v>2</v>
      </c>
      <c r="H110" s="45">
        <v>46794.5</v>
      </c>
      <c r="I110" s="45">
        <v>17707</v>
      </c>
      <c r="J110" s="45">
        <v>23397.25</v>
      </c>
      <c r="K110" s="46">
        <v>0.32135596091941038</v>
      </c>
    </row>
    <row r="111" spans="1:11" x14ac:dyDescent="0.2">
      <c r="A111" s="38" t="s">
        <v>7</v>
      </c>
      <c r="B111" s="38" t="s">
        <v>612</v>
      </c>
      <c r="C111" s="43" t="s">
        <v>613</v>
      </c>
      <c r="D111" s="38" t="s">
        <v>12214</v>
      </c>
      <c r="E111" s="44">
        <v>25</v>
      </c>
      <c r="F111" s="45">
        <v>229490</v>
      </c>
      <c r="G111" s="44">
        <v>12</v>
      </c>
      <c r="H111" s="45">
        <v>100449</v>
      </c>
      <c r="I111" s="45">
        <v>9179.6</v>
      </c>
      <c r="J111" s="45">
        <v>8370.75</v>
      </c>
      <c r="K111" s="46">
        <v>-8.8113861170421401E-2</v>
      </c>
    </row>
    <row r="112" spans="1:11" x14ac:dyDescent="0.2">
      <c r="A112" s="38" t="s">
        <v>7</v>
      </c>
      <c r="B112" s="38" t="s">
        <v>621</v>
      </c>
      <c r="C112" s="43" t="s">
        <v>622</v>
      </c>
      <c r="D112" s="38" t="s">
        <v>12214</v>
      </c>
      <c r="E112" s="44">
        <v>26</v>
      </c>
      <c r="F112" s="45">
        <v>199118</v>
      </c>
      <c r="G112" s="44">
        <v>12</v>
      </c>
      <c r="H112" s="45">
        <v>83706</v>
      </c>
      <c r="I112" s="45">
        <v>7658.3846153846152</v>
      </c>
      <c r="J112" s="45">
        <v>6975.5</v>
      </c>
      <c r="K112" s="46">
        <v>-8.9168231902690853E-2</v>
      </c>
    </row>
    <row r="113" spans="1:11" x14ac:dyDescent="0.2">
      <c r="A113" s="38" t="s">
        <v>7</v>
      </c>
      <c r="B113" s="38" t="s">
        <v>636</v>
      </c>
      <c r="C113" s="43" t="s">
        <v>637</v>
      </c>
      <c r="D113" s="38" t="s">
        <v>12214</v>
      </c>
      <c r="G113" s="44">
        <v>7</v>
      </c>
      <c r="H113" s="45">
        <v>82090</v>
      </c>
      <c r="J113" s="45">
        <v>11727.142857142857</v>
      </c>
    </row>
    <row r="114" spans="1:11" x14ac:dyDescent="0.2">
      <c r="A114" s="38" t="s">
        <v>7</v>
      </c>
      <c r="B114" s="38" t="s">
        <v>639</v>
      </c>
      <c r="C114" s="43" t="s">
        <v>640</v>
      </c>
      <c r="D114" s="38" t="s">
        <v>12214</v>
      </c>
      <c r="E114" s="44">
        <v>25</v>
      </c>
      <c r="F114" s="45">
        <v>166221</v>
      </c>
      <c r="G114" s="44">
        <v>11</v>
      </c>
      <c r="H114" s="45">
        <v>78903</v>
      </c>
      <c r="I114" s="45">
        <v>6648.84</v>
      </c>
      <c r="J114" s="45">
        <v>7173</v>
      </c>
      <c r="K114" s="46">
        <v>7.8834804266608882E-2</v>
      </c>
    </row>
    <row r="115" spans="1:11" x14ac:dyDescent="0.2">
      <c r="A115" s="38" t="s">
        <v>7</v>
      </c>
      <c r="B115" s="38" t="s">
        <v>642</v>
      </c>
      <c r="C115" s="43" t="s">
        <v>643</v>
      </c>
      <c r="D115" s="38" t="s">
        <v>12214</v>
      </c>
      <c r="E115" s="44">
        <v>33</v>
      </c>
      <c r="F115" s="45">
        <v>559436</v>
      </c>
      <c r="G115" s="44">
        <v>18</v>
      </c>
      <c r="H115" s="45">
        <v>277636</v>
      </c>
      <c r="I115" s="45">
        <v>16952.60606060606</v>
      </c>
      <c r="J115" s="45">
        <v>15424.222222222223</v>
      </c>
      <c r="K115" s="46">
        <v>-9.0156276440319608E-2</v>
      </c>
    </row>
    <row r="116" spans="1:11" x14ac:dyDescent="0.2">
      <c r="A116" s="38" t="s">
        <v>7</v>
      </c>
      <c r="B116" s="38" t="s">
        <v>666</v>
      </c>
      <c r="C116" s="43" t="s">
        <v>667</v>
      </c>
      <c r="D116" s="38" t="s">
        <v>12214</v>
      </c>
      <c r="G116" s="44">
        <v>6</v>
      </c>
      <c r="H116" s="45">
        <v>24917</v>
      </c>
      <c r="J116" s="45">
        <v>4152.833333333333</v>
      </c>
    </row>
    <row r="117" spans="1:11" x14ac:dyDescent="0.2">
      <c r="A117" s="38" t="s">
        <v>7</v>
      </c>
      <c r="B117" s="38" t="s">
        <v>696</v>
      </c>
      <c r="C117" s="43" t="s">
        <v>697</v>
      </c>
      <c r="D117" s="38" t="s">
        <v>12214</v>
      </c>
      <c r="G117" s="44">
        <v>4</v>
      </c>
      <c r="H117" s="45">
        <v>49228</v>
      </c>
      <c r="J117" s="45">
        <v>12307</v>
      </c>
    </row>
    <row r="118" spans="1:11" x14ac:dyDescent="0.2">
      <c r="A118" s="38" t="s">
        <v>7</v>
      </c>
      <c r="B118" s="38" t="s">
        <v>699</v>
      </c>
      <c r="C118" s="43" t="s">
        <v>700</v>
      </c>
      <c r="D118" s="38" t="s">
        <v>12214</v>
      </c>
      <c r="G118" s="44">
        <v>3</v>
      </c>
      <c r="H118" s="45">
        <v>32487</v>
      </c>
      <c r="J118" s="45">
        <v>10829</v>
      </c>
    </row>
    <row r="119" spans="1:11" x14ac:dyDescent="0.2">
      <c r="A119" s="38" t="s">
        <v>7</v>
      </c>
      <c r="B119" s="38" t="s">
        <v>702</v>
      </c>
      <c r="C119" s="43" t="s">
        <v>703</v>
      </c>
      <c r="D119" s="38" t="s">
        <v>12214</v>
      </c>
      <c r="G119" s="44">
        <v>1</v>
      </c>
      <c r="H119" s="45">
        <v>10389.61</v>
      </c>
      <c r="J119" s="45">
        <v>10389.61</v>
      </c>
    </row>
    <row r="120" spans="1:11" x14ac:dyDescent="0.2">
      <c r="A120" s="38" t="s">
        <v>7</v>
      </c>
      <c r="B120" s="38" t="s">
        <v>705</v>
      </c>
      <c r="C120" s="43" t="s">
        <v>706</v>
      </c>
      <c r="D120" s="38" t="s">
        <v>12214</v>
      </c>
      <c r="G120" s="44">
        <v>3</v>
      </c>
      <c r="H120" s="45">
        <v>23625</v>
      </c>
      <c r="J120" s="45">
        <v>7875</v>
      </c>
    </row>
    <row r="121" spans="1:11" x14ac:dyDescent="0.2">
      <c r="A121" s="38" t="s">
        <v>7</v>
      </c>
      <c r="B121" s="38" t="s">
        <v>708</v>
      </c>
      <c r="C121" s="43" t="s">
        <v>709</v>
      </c>
      <c r="D121" s="38" t="s">
        <v>12214</v>
      </c>
      <c r="G121" s="44">
        <v>3</v>
      </c>
      <c r="H121" s="45">
        <v>41352</v>
      </c>
      <c r="J121" s="45">
        <v>13784</v>
      </c>
    </row>
    <row r="122" spans="1:11" x14ac:dyDescent="0.2">
      <c r="A122" s="38" t="s">
        <v>7</v>
      </c>
      <c r="B122" s="38" t="s">
        <v>711</v>
      </c>
      <c r="C122" s="43" t="s">
        <v>712</v>
      </c>
      <c r="D122" s="38" t="s">
        <v>12214</v>
      </c>
      <c r="G122" s="44">
        <v>4</v>
      </c>
      <c r="H122" s="45">
        <v>70888</v>
      </c>
      <c r="J122" s="45">
        <v>17722</v>
      </c>
    </row>
    <row r="123" spans="1:11" x14ac:dyDescent="0.2">
      <c r="A123" s="38" t="s">
        <v>7</v>
      </c>
      <c r="B123" s="38" t="s">
        <v>714</v>
      </c>
      <c r="C123" s="43" t="s">
        <v>715</v>
      </c>
      <c r="D123" s="38" t="s">
        <v>12213</v>
      </c>
      <c r="G123" s="44">
        <v>15</v>
      </c>
      <c r="H123" s="45">
        <v>7380</v>
      </c>
      <c r="J123" s="45">
        <v>492</v>
      </c>
    </row>
    <row r="124" spans="1:11" x14ac:dyDescent="0.2">
      <c r="A124" s="38" t="s">
        <v>7</v>
      </c>
      <c r="B124" s="38" t="s">
        <v>741</v>
      </c>
      <c r="C124" s="43" t="s">
        <v>742</v>
      </c>
      <c r="D124" s="38" t="s">
        <v>12214</v>
      </c>
      <c r="G124" s="44">
        <v>2</v>
      </c>
      <c r="H124" s="45">
        <v>46987.96</v>
      </c>
      <c r="J124" s="45">
        <v>23493.98</v>
      </c>
    </row>
    <row r="125" spans="1:11" x14ac:dyDescent="0.2">
      <c r="A125" s="38" t="s">
        <v>7</v>
      </c>
      <c r="B125" s="38" t="s">
        <v>744</v>
      </c>
      <c r="C125" s="43" t="s">
        <v>745</v>
      </c>
      <c r="D125" s="38" t="s">
        <v>12214</v>
      </c>
      <c r="E125" s="44">
        <v>41</v>
      </c>
      <c r="F125" s="45">
        <v>374533</v>
      </c>
      <c r="G125" s="44">
        <v>79</v>
      </c>
      <c r="H125" s="45">
        <v>1069863</v>
      </c>
      <c r="I125" s="45">
        <v>9134.9512195121952</v>
      </c>
      <c r="J125" s="45">
        <v>13542.569620253165</v>
      </c>
      <c r="K125" s="46">
        <v>0.48250048575260329</v>
      </c>
    </row>
    <row r="126" spans="1:11" x14ac:dyDescent="0.2">
      <c r="A126" s="38" t="s">
        <v>7</v>
      </c>
      <c r="B126" s="38" t="s">
        <v>747</v>
      </c>
      <c r="C126" s="43" t="s">
        <v>748</v>
      </c>
      <c r="D126" s="38" t="s">
        <v>12214</v>
      </c>
      <c r="E126" s="44">
        <v>13</v>
      </c>
      <c r="F126" s="45">
        <v>81598</v>
      </c>
      <c r="G126" s="44">
        <v>21</v>
      </c>
      <c r="H126" s="45">
        <v>264375</v>
      </c>
      <c r="I126" s="45">
        <v>6276.7692307692305</v>
      </c>
      <c r="J126" s="45">
        <v>12589.285714285714</v>
      </c>
      <c r="K126" s="46">
        <v>1.0056951675986456</v>
      </c>
    </row>
    <row r="127" spans="1:11" x14ac:dyDescent="0.2">
      <c r="A127" s="38" t="s">
        <v>7</v>
      </c>
      <c r="B127" s="38" t="s">
        <v>750</v>
      </c>
      <c r="C127" s="43" t="s">
        <v>751</v>
      </c>
      <c r="D127" s="38" t="s">
        <v>12214</v>
      </c>
      <c r="E127" s="44">
        <v>1</v>
      </c>
      <c r="F127" s="45">
        <v>9303</v>
      </c>
      <c r="G127" s="44">
        <v>9</v>
      </c>
      <c r="H127" s="45">
        <v>71127</v>
      </c>
      <c r="I127" s="45">
        <v>9303</v>
      </c>
      <c r="J127" s="45">
        <v>7903</v>
      </c>
      <c r="K127" s="46">
        <v>-0.15048908954100829</v>
      </c>
    </row>
    <row r="128" spans="1:11" x14ac:dyDescent="0.2">
      <c r="A128" s="38" t="s">
        <v>7</v>
      </c>
      <c r="B128" s="38" t="s">
        <v>753</v>
      </c>
      <c r="C128" s="43" t="s">
        <v>754</v>
      </c>
      <c r="D128" s="38" t="s">
        <v>12214</v>
      </c>
      <c r="G128" s="44">
        <v>3</v>
      </c>
      <c r="H128" s="45">
        <v>122182</v>
      </c>
      <c r="J128" s="45">
        <v>40727.333333333336</v>
      </c>
    </row>
    <row r="129" spans="1:11" x14ac:dyDescent="0.2">
      <c r="A129" s="38" t="s">
        <v>7</v>
      </c>
      <c r="B129" s="38" t="s">
        <v>756</v>
      </c>
      <c r="C129" s="43" t="s">
        <v>757</v>
      </c>
      <c r="D129" s="38" t="s">
        <v>12214</v>
      </c>
      <c r="G129" s="44">
        <v>3</v>
      </c>
      <c r="H129" s="45">
        <v>71324</v>
      </c>
      <c r="J129" s="45">
        <v>23774.666666666668</v>
      </c>
    </row>
    <row r="130" spans="1:11" x14ac:dyDescent="0.2">
      <c r="A130" s="38" t="s">
        <v>7</v>
      </c>
      <c r="B130" s="38" t="s">
        <v>759</v>
      </c>
      <c r="C130" s="43" t="s">
        <v>760</v>
      </c>
      <c r="D130" s="38" t="s">
        <v>12214</v>
      </c>
      <c r="G130" s="44">
        <v>3</v>
      </c>
      <c r="H130" s="45">
        <v>77008</v>
      </c>
      <c r="J130" s="45">
        <v>25669.333333333332</v>
      </c>
    </row>
    <row r="131" spans="1:11" x14ac:dyDescent="0.2">
      <c r="A131" s="38" t="s">
        <v>7</v>
      </c>
      <c r="B131" s="38" t="s">
        <v>762</v>
      </c>
      <c r="C131" s="43" t="s">
        <v>763</v>
      </c>
      <c r="D131" s="38" t="s">
        <v>12214</v>
      </c>
      <c r="E131" s="44">
        <v>24</v>
      </c>
      <c r="F131" s="45">
        <v>493090</v>
      </c>
      <c r="G131" s="44">
        <v>41</v>
      </c>
      <c r="H131" s="45">
        <v>919963</v>
      </c>
      <c r="I131" s="45">
        <v>20545.416666666668</v>
      </c>
      <c r="J131" s="45">
        <v>22438.121951219513</v>
      </c>
      <c r="K131" s="46">
        <v>9.2122993427707481E-2</v>
      </c>
    </row>
    <row r="132" spans="1:11" x14ac:dyDescent="0.2">
      <c r="A132" s="38" t="s">
        <v>7</v>
      </c>
      <c r="B132" s="38" t="s">
        <v>768</v>
      </c>
      <c r="C132" s="43" t="s">
        <v>769</v>
      </c>
      <c r="D132" s="38" t="s">
        <v>12214</v>
      </c>
      <c r="E132" s="44">
        <v>18</v>
      </c>
      <c r="F132" s="45">
        <v>73188</v>
      </c>
      <c r="G132" s="44">
        <v>22</v>
      </c>
      <c r="H132" s="45">
        <v>281156</v>
      </c>
      <c r="I132" s="45">
        <v>4066</v>
      </c>
      <c r="J132" s="45">
        <v>12779.818181818182</v>
      </c>
      <c r="K132" s="46">
        <v>2.143093502660645</v>
      </c>
    </row>
    <row r="133" spans="1:11" x14ac:dyDescent="0.2">
      <c r="A133" s="38" t="s">
        <v>7</v>
      </c>
      <c r="B133" s="38" t="s">
        <v>771</v>
      </c>
      <c r="C133" s="43" t="s">
        <v>772</v>
      </c>
      <c r="D133" s="38" t="s">
        <v>12214</v>
      </c>
      <c r="E133" s="44">
        <v>39</v>
      </c>
      <c r="F133" s="45">
        <v>355927</v>
      </c>
      <c r="G133" s="44">
        <v>77</v>
      </c>
      <c r="H133" s="45">
        <v>995436</v>
      </c>
      <c r="I133" s="45">
        <v>9126.3333333333339</v>
      </c>
      <c r="J133" s="45">
        <v>12927.74025974026</v>
      </c>
      <c r="K133" s="46">
        <v>0.41653167680414832</v>
      </c>
    </row>
    <row r="134" spans="1:11" x14ac:dyDescent="0.2">
      <c r="A134" s="38" t="s">
        <v>7</v>
      </c>
      <c r="B134" s="38" t="s">
        <v>774</v>
      </c>
      <c r="C134" s="43" t="s">
        <v>775</v>
      </c>
      <c r="D134" s="38" t="s">
        <v>12214</v>
      </c>
      <c r="E134" s="44">
        <v>56</v>
      </c>
      <c r="F134" s="45">
        <v>1080925</v>
      </c>
      <c r="G134" s="44">
        <v>93</v>
      </c>
      <c r="H134" s="45">
        <v>2000190</v>
      </c>
      <c r="I134" s="45">
        <v>19302.232142857141</v>
      </c>
      <c r="J134" s="45">
        <v>21507.419354838708</v>
      </c>
      <c r="K134" s="46">
        <v>0.11424519173020123</v>
      </c>
    </row>
    <row r="135" spans="1:11" x14ac:dyDescent="0.2">
      <c r="A135" s="38" t="s">
        <v>7</v>
      </c>
      <c r="B135" s="38" t="s">
        <v>777</v>
      </c>
      <c r="C135" s="43" t="s">
        <v>778</v>
      </c>
      <c r="D135" s="38" t="s">
        <v>12214</v>
      </c>
      <c r="G135" s="44">
        <v>2</v>
      </c>
      <c r="H135" s="45">
        <v>17572</v>
      </c>
      <c r="J135" s="45">
        <v>8786</v>
      </c>
    </row>
    <row r="136" spans="1:11" x14ac:dyDescent="0.2">
      <c r="A136" s="38" t="s">
        <v>7</v>
      </c>
      <c r="B136" s="38" t="s">
        <v>780</v>
      </c>
      <c r="C136" s="43" t="s">
        <v>781</v>
      </c>
      <c r="D136" s="38" t="s">
        <v>12214</v>
      </c>
      <c r="G136" s="44">
        <v>2</v>
      </c>
      <c r="H136" s="45">
        <v>42381</v>
      </c>
      <c r="J136" s="45">
        <v>21190.5</v>
      </c>
    </row>
    <row r="137" spans="1:11" x14ac:dyDescent="0.2">
      <c r="A137" s="38" t="s">
        <v>7</v>
      </c>
      <c r="B137" s="38" t="s">
        <v>783</v>
      </c>
      <c r="C137" s="43" t="s">
        <v>784</v>
      </c>
      <c r="D137" s="38" t="s">
        <v>12214</v>
      </c>
      <c r="E137" s="44">
        <v>24</v>
      </c>
      <c r="F137" s="45">
        <v>246580</v>
      </c>
      <c r="G137" s="44">
        <v>41</v>
      </c>
      <c r="H137" s="45">
        <v>582006</v>
      </c>
      <c r="I137" s="45">
        <v>10274.166666666666</v>
      </c>
      <c r="J137" s="45">
        <v>14195.268292682927</v>
      </c>
      <c r="K137" s="46">
        <v>0.38164668271713148</v>
      </c>
    </row>
    <row r="138" spans="1:11" x14ac:dyDescent="0.2">
      <c r="A138" s="38" t="s">
        <v>7</v>
      </c>
      <c r="B138" s="38" t="s">
        <v>789</v>
      </c>
      <c r="C138" s="43" t="s">
        <v>790</v>
      </c>
      <c r="D138" s="38" t="s">
        <v>12214</v>
      </c>
      <c r="E138" s="44">
        <v>14</v>
      </c>
      <c r="F138" s="45">
        <v>35398</v>
      </c>
      <c r="G138" s="44">
        <v>16</v>
      </c>
      <c r="H138" s="45">
        <v>167963</v>
      </c>
      <c r="I138" s="45">
        <v>2528.4285714285716</v>
      </c>
      <c r="J138" s="45">
        <v>10497.6875</v>
      </c>
      <c r="K138" s="46">
        <v>3.1518623933555565</v>
      </c>
    </row>
    <row r="139" spans="1:11" x14ac:dyDescent="0.2">
      <c r="A139" s="38" t="s">
        <v>7</v>
      </c>
      <c r="B139" s="38" t="s">
        <v>792</v>
      </c>
      <c r="C139" s="43" t="s">
        <v>793</v>
      </c>
      <c r="D139" s="38" t="s">
        <v>12214</v>
      </c>
      <c r="E139" s="44">
        <v>23</v>
      </c>
      <c r="F139" s="45">
        <v>47411</v>
      </c>
      <c r="G139" s="44">
        <v>42</v>
      </c>
      <c r="H139" s="45">
        <v>345276</v>
      </c>
      <c r="I139" s="45">
        <v>2061.3478260869565</v>
      </c>
      <c r="J139" s="45">
        <v>8220.8571428571431</v>
      </c>
      <c r="K139" s="46">
        <v>2.9880980001627111</v>
      </c>
    </row>
    <row r="140" spans="1:11" x14ac:dyDescent="0.2">
      <c r="A140" s="38" t="s">
        <v>7</v>
      </c>
      <c r="B140" s="38" t="s">
        <v>795</v>
      </c>
      <c r="C140" s="43" t="s">
        <v>796</v>
      </c>
      <c r="D140" s="38" t="s">
        <v>12214</v>
      </c>
      <c r="E140" s="44">
        <v>24</v>
      </c>
      <c r="F140" s="45">
        <v>271196</v>
      </c>
      <c r="G140" s="44">
        <v>40</v>
      </c>
      <c r="H140" s="45">
        <v>603660</v>
      </c>
      <c r="I140" s="45">
        <v>11299.833333333334</v>
      </c>
      <c r="J140" s="45">
        <v>15091.5</v>
      </c>
      <c r="K140" s="46">
        <v>0.33555067183881759</v>
      </c>
    </row>
    <row r="141" spans="1:11" x14ac:dyDescent="0.2">
      <c r="A141" s="38" t="s">
        <v>7</v>
      </c>
      <c r="B141" s="38" t="s">
        <v>798</v>
      </c>
      <c r="C141" s="43" t="s">
        <v>799</v>
      </c>
      <c r="D141" s="38" t="s">
        <v>12214</v>
      </c>
      <c r="G141" s="44">
        <v>1</v>
      </c>
      <c r="H141" s="45">
        <v>12684</v>
      </c>
      <c r="J141" s="45">
        <v>12684</v>
      </c>
    </row>
    <row r="142" spans="1:11" x14ac:dyDescent="0.2">
      <c r="A142" s="38" t="s">
        <v>7</v>
      </c>
      <c r="B142" s="38" t="s">
        <v>804</v>
      </c>
      <c r="C142" s="43" t="s">
        <v>805</v>
      </c>
      <c r="D142" s="38" t="s">
        <v>12214</v>
      </c>
      <c r="G142" s="44">
        <v>2</v>
      </c>
      <c r="H142" s="45">
        <v>17944</v>
      </c>
      <c r="J142" s="45">
        <v>8972</v>
      </c>
    </row>
    <row r="143" spans="1:11" x14ac:dyDescent="0.2">
      <c r="A143" s="38" t="s">
        <v>7</v>
      </c>
      <c r="B143" s="38" t="s">
        <v>806</v>
      </c>
      <c r="C143" s="43" t="s">
        <v>807</v>
      </c>
      <c r="D143" s="38" t="s">
        <v>12214</v>
      </c>
      <c r="G143" s="44">
        <v>1</v>
      </c>
      <c r="H143" s="45">
        <v>15468</v>
      </c>
      <c r="J143" s="45">
        <v>15468</v>
      </c>
    </row>
    <row r="144" spans="1:11" x14ac:dyDescent="0.2">
      <c r="A144" s="38" t="s">
        <v>7</v>
      </c>
      <c r="B144" s="38" t="s">
        <v>809</v>
      </c>
      <c r="C144" s="43" t="s">
        <v>810</v>
      </c>
      <c r="D144" s="38" t="s">
        <v>12214</v>
      </c>
      <c r="G144" s="44">
        <v>1</v>
      </c>
      <c r="H144" s="45">
        <v>33411</v>
      </c>
      <c r="J144" s="45">
        <v>33411</v>
      </c>
    </row>
    <row r="145" spans="1:11" x14ac:dyDescent="0.2">
      <c r="A145" s="38" t="s">
        <v>7</v>
      </c>
      <c r="B145" s="38" t="s">
        <v>833</v>
      </c>
      <c r="C145" s="43" t="s">
        <v>834</v>
      </c>
      <c r="D145" s="38" t="s">
        <v>12214</v>
      </c>
      <c r="G145" s="44">
        <v>1</v>
      </c>
      <c r="H145" s="45">
        <v>18562</v>
      </c>
      <c r="J145" s="45">
        <v>18562</v>
      </c>
    </row>
    <row r="146" spans="1:11" x14ac:dyDescent="0.2">
      <c r="A146" s="38" t="s">
        <v>7</v>
      </c>
      <c r="B146" s="38" t="s">
        <v>842</v>
      </c>
      <c r="C146" s="43" t="s">
        <v>843</v>
      </c>
      <c r="D146" s="38" t="s">
        <v>12214</v>
      </c>
      <c r="G146" s="44">
        <v>1</v>
      </c>
      <c r="H146" s="45">
        <v>44578.31</v>
      </c>
      <c r="J146" s="45">
        <v>44578.31</v>
      </c>
    </row>
    <row r="147" spans="1:11" x14ac:dyDescent="0.2">
      <c r="A147" s="38" t="s">
        <v>7</v>
      </c>
      <c r="B147" s="38" t="s">
        <v>845</v>
      </c>
      <c r="C147" s="43" t="s">
        <v>846</v>
      </c>
      <c r="D147" s="38" t="s">
        <v>12214</v>
      </c>
      <c r="E147" s="44">
        <v>110</v>
      </c>
      <c r="F147" s="45">
        <v>2315885</v>
      </c>
      <c r="G147" s="44">
        <v>99</v>
      </c>
      <c r="H147" s="45">
        <v>2233716</v>
      </c>
      <c r="I147" s="45">
        <v>21053.5</v>
      </c>
      <c r="J147" s="45">
        <v>22562.78787878788</v>
      </c>
      <c r="K147" s="46">
        <v>7.1688217103468774E-2</v>
      </c>
    </row>
    <row r="148" spans="1:11" x14ac:dyDescent="0.2">
      <c r="A148" s="38" t="s">
        <v>7</v>
      </c>
      <c r="B148" s="38" t="s">
        <v>863</v>
      </c>
      <c r="C148" s="43" t="s">
        <v>864</v>
      </c>
      <c r="D148" s="38" t="s">
        <v>12214</v>
      </c>
      <c r="E148" s="44">
        <v>110</v>
      </c>
      <c r="F148" s="45">
        <v>1398446</v>
      </c>
      <c r="G148" s="44">
        <v>100</v>
      </c>
      <c r="H148" s="45">
        <v>1537972</v>
      </c>
      <c r="I148" s="45">
        <v>12713.145454545454</v>
      </c>
      <c r="J148" s="45">
        <v>15379.72</v>
      </c>
      <c r="K148" s="46">
        <v>0.20974939325508454</v>
      </c>
    </row>
    <row r="149" spans="1:11" x14ac:dyDescent="0.2">
      <c r="A149" s="38" t="s">
        <v>7</v>
      </c>
      <c r="B149" s="38" t="s">
        <v>866</v>
      </c>
      <c r="C149" s="43" t="s">
        <v>867</v>
      </c>
      <c r="D149" s="38" t="s">
        <v>12214</v>
      </c>
      <c r="E149" s="44">
        <v>55</v>
      </c>
      <c r="F149" s="45">
        <v>595210</v>
      </c>
      <c r="G149" s="44">
        <v>22</v>
      </c>
      <c r="H149" s="45">
        <v>312106</v>
      </c>
      <c r="I149" s="45">
        <v>10822</v>
      </c>
      <c r="J149" s="45">
        <v>14186.636363636364</v>
      </c>
      <c r="K149" s="46">
        <v>0.31090707481393126</v>
      </c>
    </row>
    <row r="150" spans="1:11" x14ac:dyDescent="0.2">
      <c r="A150" s="38" t="s">
        <v>7</v>
      </c>
      <c r="B150" s="38" t="s">
        <v>874</v>
      </c>
      <c r="C150" s="43" t="s">
        <v>875</v>
      </c>
      <c r="D150" s="38" t="s">
        <v>12214</v>
      </c>
      <c r="E150" s="44">
        <v>104</v>
      </c>
      <c r="F150" s="45">
        <v>629250</v>
      </c>
      <c r="G150" s="44">
        <v>88</v>
      </c>
      <c r="H150" s="45">
        <v>826855</v>
      </c>
      <c r="I150" s="45">
        <v>6050.4807692307695</v>
      </c>
      <c r="J150" s="45">
        <v>9396.079545454546</v>
      </c>
      <c r="K150" s="46">
        <v>0.55294759273305161</v>
      </c>
    </row>
    <row r="151" spans="1:11" x14ac:dyDescent="0.2">
      <c r="A151" s="38" t="s">
        <v>7</v>
      </c>
      <c r="B151" s="38" t="s">
        <v>877</v>
      </c>
      <c r="C151" s="43" t="s">
        <v>878</v>
      </c>
      <c r="D151" s="38" t="s">
        <v>12214</v>
      </c>
      <c r="E151" s="44">
        <v>100</v>
      </c>
      <c r="F151" s="45">
        <v>1125557</v>
      </c>
      <c r="G151" s="44">
        <v>98</v>
      </c>
      <c r="H151" s="45">
        <v>1391200</v>
      </c>
      <c r="I151" s="45">
        <v>11255.57</v>
      </c>
      <c r="J151" s="45">
        <v>14195.918367346938</v>
      </c>
      <c r="K151" s="46">
        <v>0.26123495898892179</v>
      </c>
    </row>
    <row r="152" spans="1:11" x14ac:dyDescent="0.2">
      <c r="A152" s="38" t="s">
        <v>7</v>
      </c>
      <c r="B152" s="38" t="s">
        <v>880</v>
      </c>
      <c r="C152" s="43" t="s">
        <v>881</v>
      </c>
      <c r="D152" s="38" t="s">
        <v>12214</v>
      </c>
      <c r="G152" s="44">
        <v>1</v>
      </c>
      <c r="H152" s="45">
        <v>20494</v>
      </c>
      <c r="J152" s="45">
        <v>20494</v>
      </c>
    </row>
    <row r="153" spans="1:11" x14ac:dyDescent="0.2">
      <c r="A153" s="38" t="s">
        <v>7</v>
      </c>
      <c r="B153" s="38" t="s">
        <v>883</v>
      </c>
      <c r="C153" s="43" t="s">
        <v>884</v>
      </c>
      <c r="D153" s="38" t="s">
        <v>12214</v>
      </c>
      <c r="G153" s="44">
        <v>1</v>
      </c>
      <c r="H153" s="45">
        <v>20494</v>
      </c>
      <c r="J153" s="45">
        <v>20494</v>
      </c>
    </row>
    <row r="154" spans="1:11" x14ac:dyDescent="0.2">
      <c r="A154" s="38" t="s">
        <v>7</v>
      </c>
      <c r="B154" s="38" t="s">
        <v>886</v>
      </c>
      <c r="C154" s="43" t="s">
        <v>887</v>
      </c>
      <c r="D154" s="38" t="s">
        <v>12214</v>
      </c>
      <c r="G154" s="44">
        <v>1</v>
      </c>
      <c r="H154" s="45">
        <v>13337</v>
      </c>
      <c r="J154" s="45">
        <v>13337</v>
      </c>
    </row>
    <row r="155" spans="1:11" x14ac:dyDescent="0.2">
      <c r="A155" s="38" t="s">
        <v>7</v>
      </c>
      <c r="B155" s="38" t="s">
        <v>889</v>
      </c>
      <c r="C155" s="43" t="s">
        <v>890</v>
      </c>
      <c r="D155" s="38" t="s">
        <v>12214</v>
      </c>
      <c r="E155" s="44">
        <v>2</v>
      </c>
      <c r="F155" s="45">
        <v>17720</v>
      </c>
      <c r="G155" s="44">
        <v>2</v>
      </c>
      <c r="H155" s="45">
        <v>17720</v>
      </c>
      <c r="I155" s="45">
        <v>8860</v>
      </c>
      <c r="J155" s="45">
        <v>8860</v>
      </c>
      <c r="K155" s="46">
        <v>0</v>
      </c>
    </row>
    <row r="156" spans="1:11" x14ac:dyDescent="0.2">
      <c r="A156" s="38" t="s">
        <v>7</v>
      </c>
      <c r="B156" s="38" t="s">
        <v>892</v>
      </c>
      <c r="C156" s="43" t="s">
        <v>893</v>
      </c>
      <c r="D156" s="38" t="s">
        <v>12214</v>
      </c>
      <c r="G156" s="44">
        <v>2</v>
      </c>
      <c r="H156" s="45">
        <v>23628</v>
      </c>
      <c r="J156" s="45">
        <v>11814</v>
      </c>
    </row>
    <row r="157" spans="1:11" x14ac:dyDescent="0.2">
      <c r="A157" s="38" t="s">
        <v>7</v>
      </c>
      <c r="B157" s="38" t="s">
        <v>896</v>
      </c>
      <c r="C157" s="43" t="s">
        <v>897</v>
      </c>
      <c r="D157" s="38" t="s">
        <v>12214</v>
      </c>
      <c r="E157" s="44">
        <v>1</v>
      </c>
      <c r="F157" s="45">
        <v>9845</v>
      </c>
      <c r="G157" s="44">
        <v>0</v>
      </c>
      <c r="H157" s="45">
        <v>0</v>
      </c>
      <c r="I157" s="45">
        <v>9845</v>
      </c>
    </row>
    <row r="158" spans="1:11" x14ac:dyDescent="0.2">
      <c r="A158" s="38" t="s">
        <v>7</v>
      </c>
      <c r="B158" s="38" t="s">
        <v>899</v>
      </c>
      <c r="C158" s="43" t="s">
        <v>900</v>
      </c>
      <c r="D158" s="38" t="s">
        <v>12213</v>
      </c>
      <c r="G158" s="44">
        <v>6</v>
      </c>
      <c r="H158" s="45">
        <v>2652</v>
      </c>
      <c r="J158" s="45">
        <v>442</v>
      </c>
    </row>
    <row r="159" spans="1:11" x14ac:dyDescent="0.2">
      <c r="A159" s="38" t="s">
        <v>7</v>
      </c>
      <c r="B159" s="38" t="s">
        <v>901</v>
      </c>
      <c r="C159" s="43" t="s">
        <v>902</v>
      </c>
      <c r="D159" s="38" t="s">
        <v>12214</v>
      </c>
      <c r="G159" s="44">
        <v>2</v>
      </c>
      <c r="H159" s="45">
        <v>17720</v>
      </c>
      <c r="J159" s="45">
        <v>8860</v>
      </c>
    </row>
    <row r="160" spans="1:11" x14ac:dyDescent="0.2">
      <c r="A160" s="38" t="s">
        <v>7</v>
      </c>
      <c r="B160" s="38" t="s">
        <v>904</v>
      </c>
      <c r="C160" s="43" t="s">
        <v>905</v>
      </c>
      <c r="D160" s="38" t="s">
        <v>12214</v>
      </c>
      <c r="E160" s="44">
        <v>18</v>
      </c>
      <c r="F160" s="45">
        <v>402508.25</v>
      </c>
      <c r="G160" s="44">
        <v>0</v>
      </c>
      <c r="H160" s="45">
        <v>0</v>
      </c>
      <c r="I160" s="45">
        <v>22361.569444444445</v>
      </c>
    </row>
    <row r="161" spans="1:11" x14ac:dyDescent="0.2">
      <c r="A161" s="38" t="s">
        <v>7</v>
      </c>
      <c r="B161" s="38" t="s">
        <v>907</v>
      </c>
      <c r="C161" s="43" t="s">
        <v>908</v>
      </c>
      <c r="D161" s="38" t="s">
        <v>12214</v>
      </c>
      <c r="G161" s="44">
        <v>3</v>
      </c>
      <c r="H161" s="45">
        <v>11712</v>
      </c>
      <c r="J161" s="45">
        <v>3904</v>
      </c>
    </row>
    <row r="162" spans="1:11" x14ac:dyDescent="0.2">
      <c r="A162" s="38" t="s">
        <v>7</v>
      </c>
      <c r="B162" s="38" t="s">
        <v>910</v>
      </c>
      <c r="C162" s="43" t="s">
        <v>911</v>
      </c>
      <c r="D162" s="38" t="s">
        <v>12214</v>
      </c>
      <c r="G162" s="44">
        <v>3</v>
      </c>
      <c r="H162" s="45">
        <v>11712</v>
      </c>
      <c r="J162" s="45">
        <v>3904</v>
      </c>
    </row>
    <row r="163" spans="1:11" x14ac:dyDescent="0.2">
      <c r="A163" s="38" t="s">
        <v>7</v>
      </c>
      <c r="B163" s="38" t="s">
        <v>916</v>
      </c>
      <c r="C163" s="43" t="s">
        <v>917</v>
      </c>
      <c r="D163" s="38" t="s">
        <v>12214</v>
      </c>
      <c r="G163" s="44">
        <v>1</v>
      </c>
      <c r="H163" s="45">
        <v>18867</v>
      </c>
      <c r="J163" s="45">
        <v>18867</v>
      </c>
    </row>
    <row r="164" spans="1:11" x14ac:dyDescent="0.2">
      <c r="A164" s="38" t="s">
        <v>7</v>
      </c>
      <c r="B164" s="38" t="s">
        <v>918</v>
      </c>
      <c r="C164" s="43" t="s">
        <v>919</v>
      </c>
      <c r="D164" s="38" t="s">
        <v>12214</v>
      </c>
      <c r="E164" s="44">
        <v>19</v>
      </c>
      <c r="F164" s="45">
        <v>235662.28</v>
      </c>
      <c r="G164" s="44">
        <v>0</v>
      </c>
      <c r="H164" s="45">
        <v>0</v>
      </c>
      <c r="I164" s="45">
        <v>12403.277894736842</v>
      </c>
    </row>
    <row r="165" spans="1:11" x14ac:dyDescent="0.2">
      <c r="A165" s="38" t="s">
        <v>7</v>
      </c>
      <c r="B165" s="38" t="s">
        <v>921</v>
      </c>
      <c r="C165" s="43" t="s">
        <v>922</v>
      </c>
      <c r="D165" s="38" t="s">
        <v>12214</v>
      </c>
      <c r="E165" s="44">
        <v>19</v>
      </c>
      <c r="F165" s="45">
        <v>58915.6</v>
      </c>
      <c r="G165" s="44">
        <v>0</v>
      </c>
      <c r="H165" s="45">
        <v>0</v>
      </c>
      <c r="I165" s="45">
        <v>3100.8210526315788</v>
      </c>
    </row>
    <row r="166" spans="1:11" x14ac:dyDescent="0.2">
      <c r="A166" s="38" t="s">
        <v>7</v>
      </c>
      <c r="B166" s="38" t="s">
        <v>924</v>
      </c>
      <c r="C166" s="43" t="s">
        <v>925</v>
      </c>
      <c r="D166" s="38" t="s">
        <v>12214</v>
      </c>
      <c r="E166" s="44">
        <v>18</v>
      </c>
      <c r="F166" s="45">
        <v>290701.15000000002</v>
      </c>
      <c r="G166" s="44">
        <v>0</v>
      </c>
      <c r="H166" s="45">
        <v>0</v>
      </c>
      <c r="I166" s="45">
        <v>16150.06388888889</v>
      </c>
    </row>
    <row r="167" spans="1:11" x14ac:dyDescent="0.2">
      <c r="A167" s="38" t="s">
        <v>7</v>
      </c>
      <c r="B167" s="38" t="s">
        <v>927</v>
      </c>
      <c r="C167" s="43" t="s">
        <v>928</v>
      </c>
      <c r="D167" s="38" t="s">
        <v>12213</v>
      </c>
      <c r="G167" s="44">
        <v>2</v>
      </c>
      <c r="H167" s="45">
        <v>2550.6</v>
      </c>
      <c r="J167" s="45">
        <v>1275.3</v>
      </c>
    </row>
    <row r="168" spans="1:11" x14ac:dyDescent="0.2">
      <c r="A168" s="38" t="s">
        <v>7</v>
      </c>
      <c r="B168" s="38" t="s">
        <v>940</v>
      </c>
      <c r="C168" s="43" t="s">
        <v>941</v>
      </c>
      <c r="D168" s="38" t="s">
        <v>12213</v>
      </c>
      <c r="E168" s="44">
        <v>1</v>
      </c>
      <c r="F168" s="45">
        <v>25825</v>
      </c>
      <c r="G168" s="44">
        <v>1</v>
      </c>
      <c r="H168" s="45">
        <v>25825</v>
      </c>
      <c r="I168" s="45">
        <v>25825</v>
      </c>
      <c r="J168" s="45">
        <v>25825</v>
      </c>
      <c r="K168" s="46">
        <v>0</v>
      </c>
    </row>
    <row r="169" spans="1:11" x14ac:dyDescent="0.2">
      <c r="A169" s="38" t="s">
        <v>7</v>
      </c>
      <c r="B169" s="38" t="s">
        <v>943</v>
      </c>
      <c r="C169" s="43" t="s">
        <v>944</v>
      </c>
      <c r="D169" s="38" t="s">
        <v>12213</v>
      </c>
      <c r="G169" s="44">
        <v>2</v>
      </c>
      <c r="H169" s="45">
        <v>19818.18</v>
      </c>
      <c r="J169" s="45">
        <v>9909.09</v>
      </c>
    </row>
    <row r="170" spans="1:11" x14ac:dyDescent="0.2">
      <c r="A170" s="38" t="s">
        <v>7</v>
      </c>
      <c r="B170" s="38" t="s">
        <v>949</v>
      </c>
      <c r="C170" s="43" t="s">
        <v>950</v>
      </c>
      <c r="D170" s="38" t="s">
        <v>12213</v>
      </c>
      <c r="E170" s="44">
        <v>14</v>
      </c>
      <c r="F170" s="45">
        <v>74144.56</v>
      </c>
      <c r="G170" s="44">
        <v>7</v>
      </c>
      <c r="H170" s="45">
        <v>46996.22</v>
      </c>
      <c r="I170" s="45">
        <v>5296.04</v>
      </c>
      <c r="J170" s="45">
        <v>6713.7457142857147</v>
      </c>
      <c r="K170" s="46">
        <v>0.26769165532845574</v>
      </c>
    </row>
    <row r="171" spans="1:11" x14ac:dyDescent="0.2">
      <c r="A171" s="38" t="s">
        <v>7</v>
      </c>
      <c r="B171" s="38" t="s">
        <v>958</v>
      </c>
      <c r="C171" s="43" t="s">
        <v>959</v>
      </c>
      <c r="D171" s="38" t="s">
        <v>12213</v>
      </c>
      <c r="E171" s="44">
        <v>19</v>
      </c>
      <c r="F171" s="45">
        <v>95627</v>
      </c>
      <c r="G171" s="44">
        <v>18</v>
      </c>
      <c r="H171" s="45">
        <v>88869</v>
      </c>
      <c r="I171" s="45">
        <v>5033</v>
      </c>
      <c r="J171" s="45">
        <v>4937.166666666667</v>
      </c>
      <c r="K171" s="46">
        <v>-1.9040996092456394E-2</v>
      </c>
    </row>
    <row r="172" spans="1:11" x14ac:dyDescent="0.2">
      <c r="A172" s="38" t="s">
        <v>7</v>
      </c>
      <c r="B172" s="38" t="s">
        <v>966</v>
      </c>
      <c r="C172" s="43" t="s">
        <v>967</v>
      </c>
      <c r="D172" s="38" t="s">
        <v>12213</v>
      </c>
      <c r="E172" s="44">
        <v>18</v>
      </c>
      <c r="F172" s="45">
        <v>83100</v>
      </c>
      <c r="G172" s="44">
        <v>22</v>
      </c>
      <c r="H172" s="45">
        <v>100948</v>
      </c>
      <c r="I172" s="45">
        <v>4616.666666666667</v>
      </c>
      <c r="J172" s="45">
        <v>4588.545454545455</v>
      </c>
      <c r="K172" s="46">
        <v>-6.0912372825729982E-3</v>
      </c>
    </row>
    <row r="173" spans="1:11" x14ac:dyDescent="0.2">
      <c r="A173" s="38" t="s">
        <v>7</v>
      </c>
      <c r="B173" s="38" t="s">
        <v>975</v>
      </c>
      <c r="C173" s="43" t="s">
        <v>976</v>
      </c>
      <c r="D173" s="38" t="s">
        <v>12213</v>
      </c>
      <c r="E173" s="44">
        <v>11</v>
      </c>
      <c r="F173" s="45">
        <v>174427</v>
      </c>
      <c r="G173" s="44">
        <v>4</v>
      </c>
      <c r="H173" s="45">
        <v>64736</v>
      </c>
      <c r="I173" s="45">
        <v>15857</v>
      </c>
      <c r="J173" s="45">
        <v>16184</v>
      </c>
      <c r="K173" s="46">
        <v>2.0621807403670304E-2</v>
      </c>
    </row>
    <row r="174" spans="1:11" x14ac:dyDescent="0.2">
      <c r="A174" s="38" t="s">
        <v>7</v>
      </c>
      <c r="B174" s="38" t="s">
        <v>981</v>
      </c>
      <c r="C174" s="43" t="s">
        <v>982</v>
      </c>
      <c r="D174" s="38" t="s">
        <v>12213</v>
      </c>
      <c r="G174" s="44">
        <v>6</v>
      </c>
      <c r="H174" s="45">
        <v>46533</v>
      </c>
      <c r="J174" s="45">
        <v>7755.5</v>
      </c>
    </row>
    <row r="175" spans="1:11" x14ac:dyDescent="0.2">
      <c r="A175" s="38" t="s">
        <v>7</v>
      </c>
      <c r="B175" s="38" t="s">
        <v>984</v>
      </c>
      <c r="C175" s="43" t="s">
        <v>985</v>
      </c>
      <c r="D175" s="38" t="s">
        <v>12213</v>
      </c>
      <c r="G175" s="44">
        <v>1</v>
      </c>
      <c r="H175" s="45">
        <v>32530</v>
      </c>
      <c r="J175" s="45">
        <v>32530</v>
      </c>
    </row>
    <row r="176" spans="1:11" x14ac:dyDescent="0.2">
      <c r="A176" s="38" t="s">
        <v>7</v>
      </c>
      <c r="B176" s="38" t="s">
        <v>993</v>
      </c>
      <c r="C176" s="43" t="s">
        <v>994</v>
      </c>
      <c r="D176" s="38" t="s">
        <v>12214</v>
      </c>
      <c r="E176" s="44">
        <v>2</v>
      </c>
      <c r="F176" s="45">
        <v>28571.42</v>
      </c>
      <c r="G176" s="44">
        <v>0</v>
      </c>
      <c r="H176" s="45">
        <v>0</v>
      </c>
      <c r="I176" s="45">
        <v>14285.71</v>
      </c>
    </row>
    <row r="177" spans="1:11" x14ac:dyDescent="0.2">
      <c r="A177" s="38" t="s">
        <v>7</v>
      </c>
      <c r="B177" s="38" t="s">
        <v>996</v>
      </c>
      <c r="C177" s="43" t="s">
        <v>997</v>
      </c>
      <c r="D177" s="38" t="s">
        <v>12214</v>
      </c>
      <c r="E177" s="44">
        <v>1</v>
      </c>
      <c r="F177" s="45">
        <v>12987.01</v>
      </c>
      <c r="G177" s="44">
        <v>0</v>
      </c>
      <c r="H177" s="45">
        <v>0</v>
      </c>
      <c r="I177" s="45">
        <v>12987.01</v>
      </c>
    </row>
    <row r="178" spans="1:11" x14ac:dyDescent="0.2">
      <c r="A178" s="38" t="s">
        <v>7</v>
      </c>
      <c r="B178" s="38" t="s">
        <v>1008</v>
      </c>
      <c r="C178" s="43" t="s">
        <v>1009</v>
      </c>
      <c r="D178" s="38" t="s">
        <v>12214</v>
      </c>
      <c r="G178" s="44">
        <v>1</v>
      </c>
      <c r="H178" s="45">
        <v>11216.87</v>
      </c>
      <c r="J178" s="45">
        <v>11216.87</v>
      </c>
    </row>
    <row r="179" spans="1:11" x14ac:dyDescent="0.2">
      <c r="A179" s="38" t="s">
        <v>7</v>
      </c>
      <c r="B179" s="38" t="s">
        <v>1055</v>
      </c>
      <c r="C179" s="43" t="s">
        <v>1056</v>
      </c>
      <c r="D179" s="38" t="s">
        <v>12214</v>
      </c>
      <c r="G179" s="44">
        <v>2</v>
      </c>
      <c r="H179" s="45">
        <v>19798</v>
      </c>
      <c r="J179" s="45">
        <v>9899</v>
      </c>
    </row>
    <row r="180" spans="1:11" x14ac:dyDescent="0.2">
      <c r="A180" s="38" t="s">
        <v>7</v>
      </c>
      <c r="B180" s="38" t="s">
        <v>1087</v>
      </c>
      <c r="C180" s="43" t="s">
        <v>1088</v>
      </c>
      <c r="D180" s="38" t="s">
        <v>12214</v>
      </c>
      <c r="E180" s="44">
        <v>11</v>
      </c>
      <c r="F180" s="45">
        <v>197158</v>
      </c>
      <c r="G180" s="44">
        <v>14</v>
      </c>
      <c r="H180" s="45">
        <v>256102</v>
      </c>
      <c r="I180" s="45">
        <v>17923.454545454544</v>
      </c>
      <c r="J180" s="45">
        <v>18293</v>
      </c>
      <c r="K180" s="46">
        <v>2.0617981517361786E-2</v>
      </c>
    </row>
    <row r="181" spans="1:11" x14ac:dyDescent="0.2">
      <c r="A181" s="38" t="s">
        <v>7</v>
      </c>
      <c r="B181" s="38" t="s">
        <v>1090</v>
      </c>
      <c r="C181" s="43" t="s">
        <v>1091</v>
      </c>
      <c r="D181" s="38" t="s">
        <v>12214</v>
      </c>
      <c r="E181" s="44">
        <v>11</v>
      </c>
      <c r="F181" s="45">
        <v>69582</v>
      </c>
      <c r="G181" s="44">
        <v>14</v>
      </c>
      <c r="H181" s="45">
        <v>90384</v>
      </c>
      <c r="I181" s="45">
        <v>6325.636363636364</v>
      </c>
      <c r="J181" s="45">
        <v>6456</v>
      </c>
      <c r="K181" s="46">
        <v>2.0608778132275535E-2</v>
      </c>
    </row>
    <row r="182" spans="1:11" x14ac:dyDescent="0.2">
      <c r="A182" s="38" t="s">
        <v>7</v>
      </c>
      <c r="B182" s="38" t="s">
        <v>1093</v>
      </c>
      <c r="C182" s="43" t="s">
        <v>1094</v>
      </c>
      <c r="D182" s="38" t="s">
        <v>12214</v>
      </c>
      <c r="E182" s="44">
        <v>11</v>
      </c>
      <c r="F182" s="45">
        <v>115969</v>
      </c>
      <c r="G182" s="44">
        <v>14</v>
      </c>
      <c r="H182" s="45">
        <v>150640</v>
      </c>
      <c r="I182" s="45">
        <v>10542.636363636364</v>
      </c>
      <c r="J182" s="45">
        <v>10760</v>
      </c>
      <c r="K182" s="46">
        <v>2.0617578835723308E-2</v>
      </c>
    </row>
    <row r="183" spans="1:11" x14ac:dyDescent="0.2">
      <c r="A183" s="38" t="s">
        <v>7</v>
      </c>
      <c r="B183" s="38" t="s">
        <v>1095</v>
      </c>
      <c r="C183" s="43" t="s">
        <v>1096</v>
      </c>
      <c r="D183" s="38" t="s">
        <v>12214</v>
      </c>
      <c r="E183" s="44">
        <v>11</v>
      </c>
      <c r="F183" s="45">
        <v>69582</v>
      </c>
      <c r="G183" s="44">
        <v>14</v>
      </c>
      <c r="H183" s="45">
        <v>90384</v>
      </c>
      <c r="I183" s="45">
        <v>6325.636363636364</v>
      </c>
      <c r="J183" s="45">
        <v>6456</v>
      </c>
      <c r="K183" s="46">
        <v>2.0608778132275535E-2</v>
      </c>
    </row>
    <row r="184" spans="1:11" x14ac:dyDescent="0.2">
      <c r="A184" s="38" t="s">
        <v>7</v>
      </c>
      <c r="B184" s="38" t="s">
        <v>1098</v>
      </c>
      <c r="C184" s="43" t="s">
        <v>1099</v>
      </c>
      <c r="D184" s="38" t="s">
        <v>12214</v>
      </c>
      <c r="E184" s="44">
        <v>1</v>
      </c>
      <c r="F184" s="45">
        <v>16141</v>
      </c>
      <c r="G184" s="44">
        <v>0</v>
      </c>
      <c r="H184" s="45">
        <v>0</v>
      </c>
      <c r="I184" s="45">
        <v>16141</v>
      </c>
    </row>
    <row r="185" spans="1:11" x14ac:dyDescent="0.2">
      <c r="A185" s="38" t="s">
        <v>7</v>
      </c>
      <c r="B185" s="38" t="s">
        <v>1101</v>
      </c>
      <c r="C185" s="43" t="s">
        <v>1102</v>
      </c>
      <c r="D185" s="38" t="s">
        <v>12214</v>
      </c>
      <c r="E185" s="44">
        <v>1</v>
      </c>
      <c r="F185" s="45">
        <v>10760</v>
      </c>
      <c r="G185" s="44">
        <v>0</v>
      </c>
      <c r="H185" s="45">
        <v>0</v>
      </c>
      <c r="I185" s="45">
        <v>10760</v>
      </c>
    </row>
    <row r="186" spans="1:11" x14ac:dyDescent="0.2">
      <c r="A186" s="38" t="s">
        <v>7</v>
      </c>
      <c r="B186" s="38" t="s">
        <v>1104</v>
      </c>
      <c r="C186" s="43" t="s">
        <v>1105</v>
      </c>
      <c r="D186" s="38" t="s">
        <v>12214</v>
      </c>
      <c r="E186" s="44">
        <v>1</v>
      </c>
      <c r="F186" s="45">
        <v>10760</v>
      </c>
      <c r="G186" s="44">
        <v>0</v>
      </c>
      <c r="H186" s="45">
        <v>0</v>
      </c>
      <c r="I186" s="45">
        <v>10760</v>
      </c>
    </row>
    <row r="187" spans="1:11" x14ac:dyDescent="0.2">
      <c r="A187" s="38" t="s">
        <v>7</v>
      </c>
      <c r="B187" s="38" t="s">
        <v>1116</v>
      </c>
      <c r="C187" s="43" t="s">
        <v>1117</v>
      </c>
      <c r="D187" s="38" t="s">
        <v>12214</v>
      </c>
      <c r="G187" s="44">
        <v>5</v>
      </c>
      <c r="H187" s="45">
        <v>83293.5</v>
      </c>
      <c r="J187" s="45">
        <v>16658.7</v>
      </c>
    </row>
    <row r="188" spans="1:11" x14ac:dyDescent="0.2">
      <c r="A188" s="38" t="s">
        <v>7</v>
      </c>
      <c r="B188" s="38" t="s">
        <v>1127</v>
      </c>
      <c r="C188" s="43" t="s">
        <v>1128</v>
      </c>
      <c r="D188" s="38" t="s">
        <v>12214</v>
      </c>
      <c r="E188" s="44">
        <v>2</v>
      </c>
      <c r="F188" s="45">
        <v>26024</v>
      </c>
      <c r="G188" s="44">
        <v>3</v>
      </c>
      <c r="H188" s="45">
        <v>53934</v>
      </c>
      <c r="I188" s="45">
        <v>13012</v>
      </c>
      <c r="J188" s="45">
        <v>17978</v>
      </c>
      <c r="K188" s="46">
        <v>0.38164770980633261</v>
      </c>
    </row>
    <row r="189" spans="1:11" x14ac:dyDescent="0.2">
      <c r="A189" s="38" t="s">
        <v>7</v>
      </c>
      <c r="B189" s="38" t="s">
        <v>1130</v>
      </c>
      <c r="C189" s="43" t="s">
        <v>1131</v>
      </c>
      <c r="D189" s="38" t="s">
        <v>12214</v>
      </c>
      <c r="G189" s="44">
        <v>1</v>
      </c>
      <c r="H189" s="45">
        <v>11711</v>
      </c>
      <c r="J189" s="45">
        <v>11711</v>
      </c>
    </row>
    <row r="190" spans="1:11" x14ac:dyDescent="0.2">
      <c r="A190" s="38" t="s">
        <v>7</v>
      </c>
      <c r="B190" s="38" t="s">
        <v>1133</v>
      </c>
      <c r="C190" s="43" t="s">
        <v>1134</v>
      </c>
      <c r="D190" s="38" t="s">
        <v>12214</v>
      </c>
      <c r="G190" s="44">
        <v>1</v>
      </c>
      <c r="H190" s="45">
        <v>29053</v>
      </c>
      <c r="J190" s="45">
        <v>29053</v>
      </c>
    </row>
    <row r="191" spans="1:11" x14ac:dyDescent="0.2">
      <c r="A191" s="38" t="s">
        <v>7</v>
      </c>
      <c r="B191" s="38" t="s">
        <v>1136</v>
      </c>
      <c r="C191" s="43" t="s">
        <v>1137</v>
      </c>
      <c r="D191" s="38" t="s">
        <v>12214</v>
      </c>
      <c r="E191" s="44">
        <v>2</v>
      </c>
      <c r="F191" s="45">
        <v>71566</v>
      </c>
      <c r="G191" s="44">
        <v>2</v>
      </c>
      <c r="H191" s="45">
        <v>112665</v>
      </c>
      <c r="I191" s="45">
        <v>35783</v>
      </c>
      <c r="J191" s="45">
        <v>56332.5</v>
      </c>
      <c r="K191" s="46">
        <v>0.57428108319593107</v>
      </c>
    </row>
    <row r="192" spans="1:11" x14ac:dyDescent="0.2">
      <c r="A192" s="38" t="s">
        <v>7</v>
      </c>
      <c r="B192" s="38" t="s">
        <v>1152</v>
      </c>
      <c r="C192" s="43" t="s">
        <v>1153</v>
      </c>
      <c r="D192" s="38" t="s">
        <v>12215</v>
      </c>
      <c r="G192" s="44">
        <v>25</v>
      </c>
      <c r="H192" s="45">
        <v>575212.26</v>
      </c>
      <c r="J192" s="45">
        <v>23008.490399999999</v>
      </c>
    </row>
    <row r="193" spans="1:11" x14ac:dyDescent="0.2">
      <c r="A193" s="38" t="s">
        <v>7</v>
      </c>
      <c r="B193" s="38" t="s">
        <v>1170</v>
      </c>
      <c r="C193" s="43" t="s">
        <v>1171</v>
      </c>
      <c r="D193" s="38" t="s">
        <v>12213</v>
      </c>
      <c r="G193" s="44">
        <v>1</v>
      </c>
      <c r="H193" s="45">
        <v>17163.09</v>
      </c>
      <c r="J193" s="45">
        <v>17163.09</v>
      </c>
    </row>
    <row r="194" spans="1:11" x14ac:dyDescent="0.2">
      <c r="A194" s="38" t="s">
        <v>7</v>
      </c>
      <c r="B194" s="38" t="s">
        <v>1182</v>
      </c>
      <c r="C194" s="43" t="s">
        <v>1183</v>
      </c>
      <c r="D194" s="38" t="s">
        <v>12213</v>
      </c>
      <c r="E194" s="44">
        <v>10</v>
      </c>
      <c r="F194" s="45">
        <v>26736.75</v>
      </c>
      <c r="G194" s="44">
        <v>4</v>
      </c>
      <c r="H194" s="45">
        <v>12613.25</v>
      </c>
      <c r="I194" s="45">
        <v>2673.6750000000002</v>
      </c>
      <c r="J194" s="45">
        <v>3153.3125</v>
      </c>
      <c r="K194" s="46">
        <v>0.17939259633276289</v>
      </c>
    </row>
    <row r="195" spans="1:11" x14ac:dyDescent="0.2">
      <c r="A195" s="38" t="s">
        <v>7</v>
      </c>
      <c r="B195" s="38" t="s">
        <v>1195</v>
      </c>
      <c r="C195" s="43" t="s">
        <v>1196</v>
      </c>
      <c r="D195" s="38" t="s">
        <v>12213</v>
      </c>
      <c r="E195" s="44">
        <v>38</v>
      </c>
      <c r="F195" s="45">
        <v>64236</v>
      </c>
      <c r="G195" s="44">
        <v>32</v>
      </c>
      <c r="H195" s="45">
        <v>75918</v>
      </c>
      <c r="I195" s="45">
        <v>1690.421052631579</v>
      </c>
      <c r="J195" s="45">
        <v>2372.4375</v>
      </c>
      <c r="K195" s="46">
        <v>0.4034595086867177</v>
      </c>
    </row>
    <row r="196" spans="1:11" x14ac:dyDescent="0.2">
      <c r="A196" s="38" t="s">
        <v>7</v>
      </c>
      <c r="B196" s="38" t="s">
        <v>1197</v>
      </c>
      <c r="C196" s="43" t="s">
        <v>1198</v>
      </c>
      <c r="D196" s="38" t="s">
        <v>12214</v>
      </c>
      <c r="E196" s="44">
        <v>24</v>
      </c>
      <c r="F196" s="45">
        <v>180722.88</v>
      </c>
      <c r="G196" s="44">
        <v>60</v>
      </c>
      <c r="H196" s="45">
        <v>675985.88</v>
      </c>
      <c r="I196" s="45">
        <v>7530.12</v>
      </c>
      <c r="J196" s="45">
        <v>11266.431333333334</v>
      </c>
      <c r="K196" s="46">
        <v>0.49618217682232607</v>
      </c>
    </row>
    <row r="197" spans="1:11" x14ac:dyDescent="0.2">
      <c r="A197" s="38" t="s">
        <v>7</v>
      </c>
      <c r="B197" s="38" t="s">
        <v>1200</v>
      </c>
      <c r="C197" s="43" t="s">
        <v>1201</v>
      </c>
      <c r="D197" s="38" t="s">
        <v>12214</v>
      </c>
      <c r="E197" s="44">
        <v>24</v>
      </c>
      <c r="F197" s="45">
        <v>318072.24</v>
      </c>
      <c r="G197" s="44">
        <v>60</v>
      </c>
      <c r="H197" s="45">
        <v>956407.49</v>
      </c>
      <c r="I197" s="45">
        <v>13253.01</v>
      </c>
      <c r="J197" s="45">
        <v>15940.124833333333</v>
      </c>
      <c r="K197" s="46">
        <v>0.20275505966820617</v>
      </c>
    </row>
    <row r="198" spans="1:11" x14ac:dyDescent="0.2">
      <c r="A198" s="38" t="s">
        <v>7</v>
      </c>
      <c r="B198" s="38" t="s">
        <v>1203</v>
      </c>
      <c r="C198" s="43" t="s">
        <v>1204</v>
      </c>
      <c r="D198" s="38" t="s">
        <v>12214</v>
      </c>
      <c r="G198" s="44">
        <v>11</v>
      </c>
      <c r="H198" s="45">
        <v>178560</v>
      </c>
      <c r="J198" s="45">
        <v>16232.727272727272</v>
      </c>
    </row>
    <row r="199" spans="1:11" x14ac:dyDescent="0.2">
      <c r="A199" s="38" t="s">
        <v>7</v>
      </c>
      <c r="B199" s="38" t="s">
        <v>1205</v>
      </c>
      <c r="C199" s="43" t="s">
        <v>1206</v>
      </c>
      <c r="D199" s="38" t="s">
        <v>12214</v>
      </c>
      <c r="G199" s="44">
        <v>11</v>
      </c>
      <c r="H199" s="45">
        <v>157030</v>
      </c>
      <c r="J199" s="45">
        <v>14275.454545454546</v>
      </c>
    </row>
    <row r="200" spans="1:11" x14ac:dyDescent="0.2">
      <c r="A200" s="38" t="s">
        <v>7</v>
      </c>
      <c r="B200" s="38" t="s">
        <v>1207</v>
      </c>
      <c r="C200" s="43" t="s">
        <v>1208</v>
      </c>
      <c r="D200" s="38" t="s">
        <v>12214</v>
      </c>
      <c r="G200" s="44">
        <v>13</v>
      </c>
      <c r="H200" s="45">
        <v>150030.5</v>
      </c>
      <c r="J200" s="45">
        <v>11540.807692307691</v>
      </c>
    </row>
    <row r="201" spans="1:11" x14ac:dyDescent="0.2">
      <c r="A201" s="38" t="s">
        <v>7</v>
      </c>
      <c r="B201" s="38" t="s">
        <v>1210</v>
      </c>
      <c r="C201" s="43" t="s">
        <v>1211</v>
      </c>
      <c r="D201" s="38" t="s">
        <v>12214</v>
      </c>
      <c r="G201" s="44">
        <v>8</v>
      </c>
      <c r="H201" s="45">
        <v>77472</v>
      </c>
      <c r="J201" s="45">
        <v>9684</v>
      </c>
    </row>
    <row r="202" spans="1:11" x14ac:dyDescent="0.2">
      <c r="A202" s="38" t="s">
        <v>7</v>
      </c>
      <c r="B202" s="38" t="s">
        <v>1213</v>
      </c>
      <c r="C202" s="43" t="s">
        <v>1214</v>
      </c>
      <c r="D202" s="38" t="s">
        <v>12214</v>
      </c>
      <c r="G202" s="44">
        <v>7</v>
      </c>
      <c r="H202" s="45">
        <v>120380</v>
      </c>
      <c r="J202" s="45">
        <v>17197.142857142859</v>
      </c>
    </row>
    <row r="203" spans="1:11" x14ac:dyDescent="0.2">
      <c r="A203" s="38" t="s">
        <v>7</v>
      </c>
      <c r="B203" s="38" t="s">
        <v>1216</v>
      </c>
      <c r="C203" s="43" t="s">
        <v>1217</v>
      </c>
      <c r="D203" s="38" t="s">
        <v>12213</v>
      </c>
      <c r="G203" s="44">
        <v>43</v>
      </c>
      <c r="H203" s="45">
        <v>54914</v>
      </c>
      <c r="J203" s="45">
        <v>1277.0697674418604</v>
      </c>
    </row>
    <row r="204" spans="1:11" x14ac:dyDescent="0.2">
      <c r="A204" s="38" t="s">
        <v>7</v>
      </c>
      <c r="B204" s="38" t="s">
        <v>1236</v>
      </c>
      <c r="C204" s="43" t="s">
        <v>1237</v>
      </c>
      <c r="D204" s="38" t="s">
        <v>12213</v>
      </c>
      <c r="E204" s="44">
        <v>5</v>
      </c>
      <c r="F204" s="45">
        <v>14541.38</v>
      </c>
      <c r="G204" s="44">
        <v>5</v>
      </c>
      <c r="H204" s="45">
        <v>16692.98</v>
      </c>
      <c r="I204" s="45">
        <v>2908.2759999999998</v>
      </c>
      <c r="J204" s="45">
        <v>3338.596</v>
      </c>
      <c r="K204" s="46">
        <v>0.1479639484010459</v>
      </c>
    </row>
    <row r="205" spans="1:11" x14ac:dyDescent="0.2">
      <c r="A205" s="38" t="s">
        <v>7</v>
      </c>
      <c r="B205" s="38" t="s">
        <v>1242</v>
      </c>
      <c r="C205" s="43" t="s">
        <v>1243</v>
      </c>
      <c r="D205" s="38" t="s">
        <v>12213</v>
      </c>
      <c r="E205" s="44">
        <v>8</v>
      </c>
      <c r="F205" s="45">
        <v>89271.039999999994</v>
      </c>
      <c r="G205" s="44">
        <v>5</v>
      </c>
      <c r="H205" s="45">
        <v>59983.27</v>
      </c>
      <c r="I205" s="45">
        <v>11158.88</v>
      </c>
      <c r="J205" s="45">
        <v>11996.653999999999</v>
      </c>
      <c r="K205" s="46">
        <v>7.5076889436932692E-2</v>
      </c>
    </row>
    <row r="206" spans="1:11" x14ac:dyDescent="0.2">
      <c r="A206" s="38" t="s">
        <v>7</v>
      </c>
      <c r="B206" s="38" t="s">
        <v>1245</v>
      </c>
      <c r="C206" s="43" t="s">
        <v>1246</v>
      </c>
      <c r="D206" s="38" t="s">
        <v>12213</v>
      </c>
      <c r="E206" s="44">
        <v>2</v>
      </c>
      <c r="F206" s="45">
        <v>14134.58</v>
      </c>
      <c r="G206" s="44">
        <v>23</v>
      </c>
      <c r="H206" s="45">
        <v>86731.16</v>
      </c>
      <c r="I206" s="45">
        <v>7067.29</v>
      </c>
      <c r="J206" s="45">
        <v>3770.92</v>
      </c>
      <c r="K206" s="46">
        <v>-0.46642631050940314</v>
      </c>
    </row>
    <row r="207" spans="1:11" x14ac:dyDescent="0.2">
      <c r="A207" s="38" t="s">
        <v>7</v>
      </c>
      <c r="B207" s="38" t="s">
        <v>1254</v>
      </c>
      <c r="C207" s="43" t="s">
        <v>1255</v>
      </c>
      <c r="D207" s="38" t="s">
        <v>12213</v>
      </c>
      <c r="E207" s="44">
        <v>3</v>
      </c>
      <c r="F207" s="45">
        <v>26937</v>
      </c>
      <c r="G207" s="44">
        <v>6</v>
      </c>
      <c r="H207" s="45">
        <v>48853</v>
      </c>
      <c r="I207" s="45">
        <v>8979</v>
      </c>
      <c r="J207" s="45">
        <v>8142.166666666667</v>
      </c>
      <c r="K207" s="46">
        <v>-9.3198945688086982E-2</v>
      </c>
    </row>
    <row r="208" spans="1:11" x14ac:dyDescent="0.2">
      <c r="A208" s="38" t="s">
        <v>7</v>
      </c>
      <c r="B208" s="38" t="s">
        <v>1260</v>
      </c>
      <c r="C208" s="43" t="s">
        <v>1261</v>
      </c>
      <c r="D208" s="38" t="s">
        <v>12213</v>
      </c>
      <c r="E208" s="44">
        <v>50</v>
      </c>
      <c r="F208" s="45">
        <v>414180</v>
      </c>
      <c r="G208" s="44">
        <v>38</v>
      </c>
      <c r="H208" s="45">
        <v>345499.22</v>
      </c>
      <c r="I208" s="45">
        <v>8283.6</v>
      </c>
      <c r="J208" s="45">
        <v>9092.0847368421037</v>
      </c>
      <c r="K208" s="46">
        <v>9.7600649094850458E-2</v>
      </c>
    </row>
    <row r="209" spans="1:11" x14ac:dyDescent="0.2">
      <c r="A209" s="38" t="s">
        <v>7</v>
      </c>
      <c r="B209" s="38" t="s">
        <v>1266</v>
      </c>
      <c r="C209" s="43" t="s">
        <v>1267</v>
      </c>
      <c r="D209" s="38" t="s">
        <v>12213</v>
      </c>
      <c r="E209" s="44">
        <v>3</v>
      </c>
      <c r="F209" s="45">
        <v>11727</v>
      </c>
      <c r="G209" s="44">
        <v>2</v>
      </c>
      <c r="H209" s="45">
        <v>8016</v>
      </c>
      <c r="I209" s="45">
        <v>3909</v>
      </c>
      <c r="J209" s="45">
        <v>4008</v>
      </c>
      <c r="K209" s="46">
        <v>2.5326170376055258E-2</v>
      </c>
    </row>
    <row r="210" spans="1:11" x14ac:dyDescent="0.2">
      <c r="A210" s="38" t="s">
        <v>7</v>
      </c>
      <c r="B210" s="38" t="s">
        <v>1275</v>
      </c>
      <c r="C210" s="43" t="s">
        <v>1276</v>
      </c>
      <c r="D210" s="38" t="s">
        <v>12213</v>
      </c>
      <c r="E210" s="44">
        <v>8</v>
      </c>
      <c r="F210" s="45">
        <v>45400</v>
      </c>
      <c r="G210" s="44">
        <v>10</v>
      </c>
      <c r="H210" s="45">
        <v>49882</v>
      </c>
      <c r="I210" s="45">
        <v>5675</v>
      </c>
      <c r="J210" s="45">
        <v>4988.2</v>
      </c>
      <c r="K210" s="46">
        <v>-0.1210220264317181</v>
      </c>
    </row>
    <row r="211" spans="1:11" x14ac:dyDescent="0.2">
      <c r="A211" s="38" t="s">
        <v>7</v>
      </c>
      <c r="B211" s="38" t="s">
        <v>1278</v>
      </c>
      <c r="C211" s="43" t="s">
        <v>1279</v>
      </c>
      <c r="D211" s="38" t="s">
        <v>12213</v>
      </c>
      <c r="G211" s="44">
        <v>1</v>
      </c>
      <c r="H211" s="45">
        <v>1000</v>
      </c>
      <c r="J211" s="45">
        <v>1000</v>
      </c>
    </row>
    <row r="212" spans="1:11" x14ac:dyDescent="0.2">
      <c r="A212" s="38" t="s">
        <v>7</v>
      </c>
      <c r="B212" s="38" t="s">
        <v>1281</v>
      </c>
      <c r="C212" s="43" t="s">
        <v>1282</v>
      </c>
      <c r="D212" s="38" t="s">
        <v>12213</v>
      </c>
      <c r="G212" s="44">
        <v>11</v>
      </c>
      <c r="H212" s="45">
        <v>114813.34</v>
      </c>
      <c r="J212" s="45">
        <v>10437.576363636363</v>
      </c>
    </row>
    <row r="213" spans="1:11" x14ac:dyDescent="0.2">
      <c r="A213" s="38" t="s">
        <v>7</v>
      </c>
      <c r="B213" s="38" t="s">
        <v>1284</v>
      </c>
      <c r="C213" s="43" t="s">
        <v>1285</v>
      </c>
      <c r="D213" s="38" t="s">
        <v>12213</v>
      </c>
      <c r="G213" s="44">
        <v>2</v>
      </c>
      <c r="H213" s="45">
        <v>15428</v>
      </c>
      <c r="J213" s="45">
        <v>7714</v>
      </c>
    </row>
    <row r="214" spans="1:11" x14ac:dyDescent="0.2">
      <c r="A214" s="38" t="s">
        <v>7</v>
      </c>
      <c r="B214" s="38" t="s">
        <v>1296</v>
      </c>
      <c r="C214" s="43" t="s">
        <v>1297</v>
      </c>
      <c r="D214" s="38" t="s">
        <v>12216</v>
      </c>
      <c r="G214" s="44">
        <v>3</v>
      </c>
      <c r="H214" s="45">
        <v>165584.43</v>
      </c>
      <c r="J214" s="45">
        <v>55194.81</v>
      </c>
    </row>
    <row r="215" spans="1:11" x14ac:dyDescent="0.2">
      <c r="A215" s="38" t="s">
        <v>7</v>
      </c>
      <c r="B215" s="38" t="s">
        <v>1299</v>
      </c>
      <c r="C215" s="43" t="s">
        <v>1300</v>
      </c>
      <c r="D215" s="38" t="s">
        <v>12217</v>
      </c>
      <c r="G215" s="44">
        <v>10</v>
      </c>
      <c r="H215" s="45">
        <v>27013</v>
      </c>
      <c r="J215" s="45">
        <v>2701.3</v>
      </c>
    </row>
    <row r="216" spans="1:11" x14ac:dyDescent="0.2">
      <c r="A216" s="38" t="s">
        <v>7</v>
      </c>
      <c r="B216" s="38" t="s">
        <v>1326</v>
      </c>
      <c r="C216" s="43" t="s">
        <v>1327</v>
      </c>
      <c r="D216" s="38" t="s">
        <v>12213</v>
      </c>
      <c r="G216" s="44">
        <v>3</v>
      </c>
      <c r="H216" s="45">
        <v>18882.32</v>
      </c>
      <c r="J216" s="45">
        <v>6294.1066666666666</v>
      </c>
    </row>
    <row r="217" spans="1:11" x14ac:dyDescent="0.2">
      <c r="A217" s="38" t="s">
        <v>7</v>
      </c>
      <c r="B217" s="38" t="s">
        <v>1335</v>
      </c>
      <c r="C217" s="43" t="s">
        <v>1318</v>
      </c>
      <c r="D217" s="38" t="s">
        <v>12218</v>
      </c>
      <c r="G217" s="44">
        <v>1</v>
      </c>
      <c r="H217" s="45">
        <v>10262</v>
      </c>
      <c r="J217" s="45">
        <v>10262</v>
      </c>
    </row>
    <row r="218" spans="1:11" x14ac:dyDescent="0.2">
      <c r="A218" s="38" t="s">
        <v>7</v>
      </c>
      <c r="B218" s="38" t="s">
        <v>1355</v>
      </c>
      <c r="C218" s="43" t="s">
        <v>1356</v>
      </c>
      <c r="D218" s="38" t="s">
        <v>12215</v>
      </c>
      <c r="E218" s="44">
        <v>6</v>
      </c>
      <c r="F218" s="45">
        <v>48640</v>
      </c>
      <c r="G218" s="44">
        <v>4</v>
      </c>
      <c r="H218" s="45">
        <v>33248</v>
      </c>
      <c r="I218" s="45">
        <v>8106.666666666667</v>
      </c>
      <c r="J218" s="45">
        <v>8312</v>
      </c>
      <c r="K218" s="46">
        <v>2.5328947368421013E-2</v>
      </c>
    </row>
    <row r="219" spans="1:11" x14ac:dyDescent="0.2">
      <c r="A219" s="38" t="s">
        <v>7</v>
      </c>
      <c r="B219" s="38" t="s">
        <v>1364</v>
      </c>
      <c r="C219" s="43" t="s">
        <v>1365</v>
      </c>
      <c r="D219" s="38" t="s">
        <v>12213</v>
      </c>
      <c r="E219" s="44">
        <v>5</v>
      </c>
      <c r="F219" s="45">
        <v>9095.81</v>
      </c>
      <c r="G219" s="44">
        <v>25</v>
      </c>
      <c r="H219" s="45">
        <v>62467.81</v>
      </c>
      <c r="I219" s="45">
        <v>1819.1619999999998</v>
      </c>
      <c r="J219" s="45">
        <v>2498.7123999999999</v>
      </c>
      <c r="K219" s="46">
        <v>0.37355133847342908</v>
      </c>
    </row>
    <row r="220" spans="1:11" x14ac:dyDescent="0.2">
      <c r="A220" s="38" t="s">
        <v>7</v>
      </c>
      <c r="B220" s="38" t="s">
        <v>1367</v>
      </c>
      <c r="C220" s="43" t="s">
        <v>1368</v>
      </c>
      <c r="D220" s="38" t="s">
        <v>12213</v>
      </c>
      <c r="E220" s="44">
        <v>25</v>
      </c>
      <c r="F220" s="45">
        <v>25240.25</v>
      </c>
      <c r="G220" s="44">
        <v>14</v>
      </c>
      <c r="H220" s="45">
        <v>19031.310000000001</v>
      </c>
      <c r="I220" s="45">
        <v>1009.61</v>
      </c>
      <c r="J220" s="45">
        <v>1359.3792857142857</v>
      </c>
      <c r="K220" s="46">
        <v>0.34643999733984976</v>
      </c>
    </row>
    <row r="221" spans="1:11" x14ac:dyDescent="0.2">
      <c r="A221" s="38" t="s">
        <v>7</v>
      </c>
      <c r="B221" s="38" t="s">
        <v>1374</v>
      </c>
      <c r="C221" s="43" t="s">
        <v>1375</v>
      </c>
      <c r="D221" s="38" t="s">
        <v>12213</v>
      </c>
      <c r="G221" s="44">
        <v>1</v>
      </c>
      <c r="H221" s="45">
        <v>914.24</v>
      </c>
      <c r="J221" s="45">
        <v>914.24</v>
      </c>
    </row>
    <row r="222" spans="1:11" x14ac:dyDescent="0.2">
      <c r="A222" s="38" t="s">
        <v>7</v>
      </c>
      <c r="B222" s="38" t="s">
        <v>1376</v>
      </c>
      <c r="C222" s="43" t="s">
        <v>1377</v>
      </c>
      <c r="D222" s="38" t="s">
        <v>12213</v>
      </c>
      <c r="G222" s="44">
        <v>3</v>
      </c>
      <c r="H222" s="45">
        <v>27441</v>
      </c>
      <c r="J222" s="45">
        <v>9147</v>
      </c>
    </row>
    <row r="223" spans="1:11" x14ac:dyDescent="0.2">
      <c r="A223" s="38" t="s">
        <v>7</v>
      </c>
      <c r="B223" s="38" t="s">
        <v>1381</v>
      </c>
      <c r="C223" s="43" t="s">
        <v>1382</v>
      </c>
      <c r="D223" s="38" t="s">
        <v>12219</v>
      </c>
      <c r="E223" s="44">
        <v>376</v>
      </c>
      <c r="F223" s="45">
        <v>148077.96</v>
      </c>
      <c r="G223" s="44">
        <v>550</v>
      </c>
      <c r="H223" s="45">
        <v>204706.36</v>
      </c>
      <c r="I223" s="45">
        <v>393.82436170212765</v>
      </c>
      <c r="J223" s="45">
        <v>372.19338181818182</v>
      </c>
      <c r="K223" s="46">
        <v>-5.492544897541559E-2</v>
      </c>
    </row>
    <row r="224" spans="1:11" x14ac:dyDescent="0.2">
      <c r="A224" s="38" t="s">
        <v>7</v>
      </c>
      <c r="B224" s="38" t="s">
        <v>1387</v>
      </c>
      <c r="C224" s="43" t="s">
        <v>1388</v>
      </c>
      <c r="D224" s="38" t="s">
        <v>12220</v>
      </c>
      <c r="G224" s="44">
        <v>2</v>
      </c>
      <c r="H224" s="45">
        <v>124842</v>
      </c>
      <c r="J224" s="45">
        <v>62421</v>
      </c>
    </row>
    <row r="225" spans="1:11" x14ac:dyDescent="0.2">
      <c r="A225" s="38" t="s">
        <v>7</v>
      </c>
      <c r="B225" s="38" t="s">
        <v>1393</v>
      </c>
      <c r="C225" s="43" t="s">
        <v>1394</v>
      </c>
      <c r="D225" s="38" t="s">
        <v>12221</v>
      </c>
      <c r="G225" s="44">
        <v>2</v>
      </c>
      <c r="H225" s="45">
        <v>3864</v>
      </c>
      <c r="J225" s="45">
        <v>1932</v>
      </c>
    </row>
    <row r="226" spans="1:11" x14ac:dyDescent="0.2">
      <c r="A226" s="38" t="s">
        <v>7</v>
      </c>
      <c r="B226" s="38" t="s">
        <v>1401</v>
      </c>
      <c r="C226" s="43" t="s">
        <v>1402</v>
      </c>
      <c r="D226" s="38" t="s">
        <v>12222</v>
      </c>
      <c r="E226" s="44">
        <v>4</v>
      </c>
      <c r="F226" s="45">
        <v>27618.5</v>
      </c>
      <c r="G226" s="44">
        <v>9</v>
      </c>
      <c r="H226" s="45">
        <v>62595</v>
      </c>
      <c r="I226" s="45">
        <v>6904.625</v>
      </c>
      <c r="J226" s="45">
        <v>6955</v>
      </c>
      <c r="K226" s="46">
        <v>7.2958343139562249E-3</v>
      </c>
    </row>
    <row r="227" spans="1:11" x14ac:dyDescent="0.2">
      <c r="A227" s="38" t="s">
        <v>7</v>
      </c>
      <c r="B227" s="38" t="s">
        <v>1404</v>
      </c>
      <c r="C227" s="43" t="s">
        <v>1405</v>
      </c>
      <c r="D227" s="38" t="s">
        <v>12223</v>
      </c>
      <c r="E227" s="44">
        <v>5</v>
      </c>
      <c r="F227" s="45">
        <v>29590</v>
      </c>
      <c r="G227" s="44">
        <v>12</v>
      </c>
      <c r="H227" s="45">
        <v>72084</v>
      </c>
      <c r="I227" s="45">
        <v>5918</v>
      </c>
      <c r="J227" s="45">
        <v>6007</v>
      </c>
      <c r="K227" s="46">
        <v>1.5038864481243664E-2</v>
      </c>
    </row>
    <row r="228" spans="1:11" x14ac:dyDescent="0.2">
      <c r="A228" s="38" t="s">
        <v>7</v>
      </c>
      <c r="B228" s="38" t="s">
        <v>1407</v>
      </c>
      <c r="C228" s="43" t="s">
        <v>1408</v>
      </c>
      <c r="D228" s="38" t="s">
        <v>12224</v>
      </c>
      <c r="G228" s="44">
        <v>4</v>
      </c>
      <c r="H228" s="45">
        <v>17408</v>
      </c>
      <c r="J228" s="45">
        <v>4352</v>
      </c>
    </row>
    <row r="229" spans="1:11" x14ac:dyDescent="0.2">
      <c r="A229" s="38" t="s">
        <v>7</v>
      </c>
      <c r="B229" s="38" t="s">
        <v>1424</v>
      </c>
      <c r="C229" s="43" t="s">
        <v>1425</v>
      </c>
      <c r="D229" s="38" t="s">
        <v>12204</v>
      </c>
      <c r="E229" s="44">
        <v>3</v>
      </c>
      <c r="F229" s="45">
        <v>168735</v>
      </c>
      <c r="G229" s="44">
        <v>6</v>
      </c>
      <c r="H229" s="45">
        <v>355002</v>
      </c>
      <c r="I229" s="45">
        <v>56245</v>
      </c>
      <c r="J229" s="45">
        <v>59167</v>
      </c>
      <c r="K229" s="46">
        <v>5.1951284558627436E-2</v>
      </c>
    </row>
    <row r="230" spans="1:11" x14ac:dyDescent="0.2">
      <c r="A230" s="38" t="s">
        <v>7</v>
      </c>
      <c r="B230" s="38" t="s">
        <v>1444</v>
      </c>
      <c r="C230" s="43" t="s">
        <v>1445</v>
      </c>
      <c r="D230" s="38" t="s">
        <v>12213</v>
      </c>
      <c r="E230" s="44">
        <v>16</v>
      </c>
      <c r="F230" s="45">
        <v>708128</v>
      </c>
      <c r="G230" s="44">
        <v>31</v>
      </c>
      <c r="H230" s="45">
        <v>1291398</v>
      </c>
      <c r="I230" s="45">
        <v>44258</v>
      </c>
      <c r="J230" s="45">
        <v>41658</v>
      </c>
      <c r="K230" s="46">
        <v>-5.8746441321343032E-2</v>
      </c>
    </row>
    <row r="231" spans="1:11" x14ac:dyDescent="0.2">
      <c r="A231" s="38" t="s">
        <v>7</v>
      </c>
      <c r="B231" s="38" t="s">
        <v>1447</v>
      </c>
      <c r="C231" s="43" t="s">
        <v>1448</v>
      </c>
      <c r="D231" s="38" t="s">
        <v>12222</v>
      </c>
      <c r="E231" s="44">
        <v>3</v>
      </c>
      <c r="F231" s="45">
        <v>35306.25</v>
      </c>
      <c r="G231" s="44">
        <v>6</v>
      </c>
      <c r="H231" s="45">
        <v>104040</v>
      </c>
      <c r="I231" s="45">
        <v>11768.75</v>
      </c>
      <c r="J231" s="45">
        <v>17340</v>
      </c>
      <c r="K231" s="46">
        <v>0.47339352097716408</v>
      </c>
    </row>
    <row r="232" spans="1:11" x14ac:dyDescent="0.2">
      <c r="A232" s="38" t="s">
        <v>7</v>
      </c>
      <c r="B232" s="38" t="s">
        <v>1467</v>
      </c>
      <c r="C232" s="43" t="s">
        <v>1468</v>
      </c>
      <c r="D232" s="38" t="s">
        <v>12203</v>
      </c>
      <c r="G232" s="44">
        <v>1</v>
      </c>
      <c r="H232" s="45">
        <v>67086</v>
      </c>
      <c r="J232" s="45">
        <v>67086</v>
      </c>
    </row>
    <row r="233" spans="1:11" x14ac:dyDescent="0.2">
      <c r="A233" s="38" t="s">
        <v>7</v>
      </c>
      <c r="B233" s="38" t="s">
        <v>1474</v>
      </c>
      <c r="C233" s="43" t="s">
        <v>1475</v>
      </c>
      <c r="D233" s="38" t="s">
        <v>12213</v>
      </c>
      <c r="E233" s="44">
        <v>10</v>
      </c>
      <c r="F233" s="45">
        <v>291686.7</v>
      </c>
      <c r="G233" s="44">
        <v>5</v>
      </c>
      <c r="H233" s="45">
        <v>113071.77</v>
      </c>
      <c r="I233" s="45">
        <v>29168.670000000002</v>
      </c>
      <c r="J233" s="45">
        <v>22614.353999999999</v>
      </c>
      <c r="K233" s="46">
        <v>-0.22470397176148252</v>
      </c>
    </row>
    <row r="234" spans="1:11" x14ac:dyDescent="0.2">
      <c r="A234" s="38" t="s">
        <v>7</v>
      </c>
      <c r="B234" s="38" t="s">
        <v>1480</v>
      </c>
      <c r="C234" s="43" t="s">
        <v>1481</v>
      </c>
      <c r="D234" s="38" t="s">
        <v>12222</v>
      </c>
      <c r="G234" s="44">
        <v>2</v>
      </c>
      <c r="H234" s="45">
        <v>52048</v>
      </c>
      <c r="J234" s="45">
        <v>26024</v>
      </c>
    </row>
    <row r="235" spans="1:11" x14ac:dyDescent="0.2">
      <c r="A235" s="38" t="s">
        <v>7</v>
      </c>
      <c r="B235" s="38" t="s">
        <v>1483</v>
      </c>
      <c r="C235" s="43" t="s">
        <v>1484</v>
      </c>
      <c r="D235" s="38" t="s">
        <v>12225</v>
      </c>
      <c r="E235" s="44">
        <v>250</v>
      </c>
      <c r="F235" s="45">
        <v>30835</v>
      </c>
      <c r="G235" s="44">
        <v>0</v>
      </c>
      <c r="H235" s="45">
        <v>0</v>
      </c>
      <c r="I235" s="45">
        <v>123.34</v>
      </c>
    </row>
    <row r="236" spans="1:11" x14ac:dyDescent="0.2">
      <c r="A236" s="38" t="s">
        <v>7</v>
      </c>
      <c r="B236" s="38" t="s">
        <v>1497</v>
      </c>
      <c r="C236" s="43" t="s">
        <v>1498</v>
      </c>
      <c r="D236" s="38" t="s">
        <v>12206</v>
      </c>
      <c r="G236" s="44">
        <v>4</v>
      </c>
      <c r="H236" s="45">
        <v>90252</v>
      </c>
      <c r="J236" s="45">
        <v>22563</v>
      </c>
    </row>
    <row r="237" spans="1:11" x14ac:dyDescent="0.2">
      <c r="A237" s="38" t="s">
        <v>7</v>
      </c>
      <c r="B237" s="38" t="s">
        <v>1500</v>
      </c>
      <c r="C237" s="43" t="s">
        <v>1501</v>
      </c>
      <c r="D237" s="38" t="s">
        <v>12220</v>
      </c>
      <c r="G237" s="44">
        <v>5</v>
      </c>
      <c r="H237" s="45">
        <v>88375</v>
      </c>
      <c r="J237" s="45">
        <v>17675</v>
      </c>
    </row>
    <row r="238" spans="1:11" x14ac:dyDescent="0.2">
      <c r="A238" s="38" t="s">
        <v>7</v>
      </c>
      <c r="B238" s="38" t="s">
        <v>1503</v>
      </c>
      <c r="C238" s="43" t="s">
        <v>1504</v>
      </c>
      <c r="D238" s="38" t="s">
        <v>12222</v>
      </c>
      <c r="G238" s="44">
        <v>1</v>
      </c>
      <c r="H238" s="45">
        <v>5074</v>
      </c>
      <c r="J238" s="45">
        <v>5074</v>
      </c>
    </row>
    <row r="239" spans="1:11" x14ac:dyDescent="0.2">
      <c r="A239" s="38" t="s">
        <v>7</v>
      </c>
      <c r="B239" s="38" t="s">
        <v>1506</v>
      </c>
      <c r="C239" s="43" t="s">
        <v>1507</v>
      </c>
      <c r="D239" s="38" t="s">
        <v>12215</v>
      </c>
      <c r="G239" s="44">
        <v>1</v>
      </c>
      <c r="H239" s="45">
        <v>3471.65</v>
      </c>
      <c r="J239" s="45">
        <v>3471.65</v>
      </c>
    </row>
    <row r="240" spans="1:11" x14ac:dyDescent="0.2">
      <c r="A240" s="38" t="s">
        <v>7</v>
      </c>
      <c r="B240" s="38" t="s">
        <v>1509</v>
      </c>
      <c r="C240" s="43" t="s">
        <v>1510</v>
      </c>
      <c r="D240" s="38" t="s">
        <v>12215</v>
      </c>
      <c r="G240" s="44">
        <v>5</v>
      </c>
      <c r="H240" s="45">
        <v>64920</v>
      </c>
      <c r="J240" s="45">
        <v>12984</v>
      </c>
    </row>
    <row r="241" spans="1:11" x14ac:dyDescent="0.2">
      <c r="A241" s="38" t="s">
        <v>7</v>
      </c>
      <c r="B241" s="38" t="s">
        <v>1526</v>
      </c>
      <c r="C241" s="43" t="s">
        <v>1527</v>
      </c>
      <c r="D241" s="38" t="s">
        <v>12226</v>
      </c>
      <c r="G241" s="44">
        <v>3</v>
      </c>
      <c r="H241" s="45">
        <v>21897.25</v>
      </c>
      <c r="J241" s="45">
        <v>7299.083333333333</v>
      </c>
    </row>
    <row r="242" spans="1:11" x14ac:dyDescent="0.2">
      <c r="A242" s="38" t="s">
        <v>7</v>
      </c>
      <c r="B242" s="38" t="s">
        <v>1532</v>
      </c>
      <c r="C242" s="43" t="s">
        <v>1533</v>
      </c>
      <c r="D242" s="38" t="s">
        <v>12218</v>
      </c>
      <c r="G242" s="44">
        <v>6</v>
      </c>
      <c r="H242" s="45">
        <v>136236</v>
      </c>
      <c r="J242" s="45">
        <v>22706</v>
      </c>
    </row>
    <row r="243" spans="1:11" x14ac:dyDescent="0.2">
      <c r="A243" s="38" t="s">
        <v>7</v>
      </c>
      <c r="B243" s="38" t="s">
        <v>1535</v>
      </c>
      <c r="C243" s="43" t="s">
        <v>1536</v>
      </c>
      <c r="D243" s="38" t="s">
        <v>12215</v>
      </c>
      <c r="G243" s="44">
        <v>3</v>
      </c>
      <c r="H243" s="45">
        <v>50574</v>
      </c>
      <c r="J243" s="45">
        <v>16858</v>
      </c>
    </row>
    <row r="244" spans="1:11" x14ac:dyDescent="0.2">
      <c r="A244" s="38" t="s">
        <v>7</v>
      </c>
      <c r="B244" s="38" t="s">
        <v>1538</v>
      </c>
      <c r="C244" s="43" t="s">
        <v>1539</v>
      </c>
      <c r="D244" s="38" t="s">
        <v>12220</v>
      </c>
      <c r="E244" s="44">
        <v>6</v>
      </c>
      <c r="F244" s="45">
        <v>4697.25</v>
      </c>
      <c r="G244" s="44">
        <v>4</v>
      </c>
      <c r="H244" s="45">
        <v>5554.49</v>
      </c>
      <c r="I244" s="45">
        <v>782.875</v>
      </c>
      <c r="J244" s="45">
        <v>1388.6224999999999</v>
      </c>
      <c r="K244" s="46">
        <v>0.77374740539677467</v>
      </c>
    </row>
    <row r="245" spans="1:11" x14ac:dyDescent="0.2">
      <c r="A245" s="38" t="s">
        <v>7</v>
      </c>
      <c r="B245" s="38" t="s">
        <v>1541</v>
      </c>
      <c r="C245" s="43" t="s">
        <v>1542</v>
      </c>
      <c r="D245" s="38" t="s">
        <v>12220</v>
      </c>
      <c r="G245" s="44">
        <v>1</v>
      </c>
      <c r="H245" s="45">
        <v>4337</v>
      </c>
      <c r="J245" s="45">
        <v>4337</v>
      </c>
    </row>
    <row r="246" spans="1:11" x14ac:dyDescent="0.2">
      <c r="A246" s="38" t="s">
        <v>7</v>
      </c>
      <c r="B246" s="38" t="s">
        <v>1547</v>
      </c>
      <c r="C246" s="43" t="s">
        <v>1548</v>
      </c>
      <c r="D246" s="38" t="s">
        <v>12220</v>
      </c>
      <c r="E246" s="44">
        <v>1</v>
      </c>
      <c r="F246" s="45">
        <v>2411</v>
      </c>
      <c r="G246" s="44">
        <v>3</v>
      </c>
      <c r="H246" s="45">
        <v>9347.5400000000009</v>
      </c>
      <c r="I246" s="45">
        <v>2411</v>
      </c>
      <c r="J246" s="45">
        <v>3115.8466666666668</v>
      </c>
      <c r="K246" s="46">
        <v>0.2923461910687129</v>
      </c>
    </row>
    <row r="247" spans="1:11" x14ac:dyDescent="0.2">
      <c r="A247" s="38" t="s">
        <v>7</v>
      </c>
      <c r="B247" s="38" t="s">
        <v>1550</v>
      </c>
      <c r="C247" s="43" t="s">
        <v>1551</v>
      </c>
      <c r="D247" s="38" t="s">
        <v>12220</v>
      </c>
      <c r="E247" s="44">
        <v>58</v>
      </c>
      <c r="F247" s="45">
        <v>50159.94</v>
      </c>
      <c r="G247" s="44">
        <v>65</v>
      </c>
      <c r="H247" s="45">
        <v>101810.48</v>
      </c>
      <c r="I247" s="45">
        <v>864.82655172413797</v>
      </c>
      <c r="J247" s="45">
        <v>1566.315076923077</v>
      </c>
      <c r="K247" s="46">
        <v>0.81113204006102202</v>
      </c>
    </row>
    <row r="248" spans="1:11" x14ac:dyDescent="0.2">
      <c r="A248" s="38" t="s">
        <v>7</v>
      </c>
      <c r="B248" s="38" t="s">
        <v>1553</v>
      </c>
      <c r="C248" s="43" t="s">
        <v>1554</v>
      </c>
      <c r="D248" s="38" t="s">
        <v>12220</v>
      </c>
      <c r="E248" s="44">
        <v>18</v>
      </c>
      <c r="F248" s="45">
        <v>30078</v>
      </c>
      <c r="G248" s="44">
        <v>12</v>
      </c>
      <c r="H248" s="45">
        <v>26424</v>
      </c>
      <c r="I248" s="45">
        <v>1671</v>
      </c>
      <c r="J248" s="45">
        <v>2202</v>
      </c>
      <c r="K248" s="46">
        <v>0.31777378815080792</v>
      </c>
    </row>
    <row r="249" spans="1:11" x14ac:dyDescent="0.2">
      <c r="A249" s="38" t="s">
        <v>7</v>
      </c>
      <c r="B249" s="38" t="s">
        <v>1556</v>
      </c>
      <c r="C249" s="43" t="s">
        <v>1557</v>
      </c>
      <c r="D249" s="38" t="s">
        <v>12220</v>
      </c>
      <c r="G249" s="44">
        <v>1</v>
      </c>
      <c r="H249" s="45">
        <v>7483</v>
      </c>
      <c r="J249" s="45">
        <v>7483</v>
      </c>
    </row>
    <row r="250" spans="1:11" x14ac:dyDescent="0.2">
      <c r="A250" s="38" t="s">
        <v>7</v>
      </c>
      <c r="B250" s="38" t="s">
        <v>1559</v>
      </c>
      <c r="C250" s="43" t="s">
        <v>1560</v>
      </c>
      <c r="D250" s="38" t="s">
        <v>12220</v>
      </c>
      <c r="E250" s="44">
        <v>7</v>
      </c>
      <c r="F250" s="45">
        <v>14923.35</v>
      </c>
      <c r="G250" s="44">
        <v>2</v>
      </c>
      <c r="H250" s="45">
        <v>3484</v>
      </c>
      <c r="I250" s="45">
        <v>2131.9071428571428</v>
      </c>
      <c r="J250" s="45">
        <v>1742</v>
      </c>
      <c r="K250" s="46">
        <v>-0.18289124090770503</v>
      </c>
    </row>
    <row r="251" spans="1:11" x14ac:dyDescent="0.2">
      <c r="A251" s="38" t="s">
        <v>7</v>
      </c>
      <c r="B251" s="38" t="s">
        <v>1562</v>
      </c>
      <c r="C251" s="43" t="s">
        <v>1563</v>
      </c>
      <c r="D251" s="38" t="s">
        <v>12220</v>
      </c>
      <c r="E251" s="44">
        <v>132</v>
      </c>
      <c r="F251" s="45">
        <v>323724</v>
      </c>
      <c r="G251" s="44">
        <v>55</v>
      </c>
      <c r="H251" s="45">
        <v>139750</v>
      </c>
      <c r="I251" s="45">
        <v>2452.4545454545455</v>
      </c>
      <c r="J251" s="45">
        <v>2540.909090909091</v>
      </c>
      <c r="K251" s="46">
        <v>3.606776142640028E-2</v>
      </c>
    </row>
    <row r="252" spans="1:11" x14ac:dyDescent="0.2">
      <c r="A252" s="38" t="s">
        <v>7</v>
      </c>
      <c r="B252" s="38" t="s">
        <v>1568</v>
      </c>
      <c r="C252" s="43" t="s">
        <v>1569</v>
      </c>
      <c r="D252" s="38" t="s">
        <v>12220</v>
      </c>
      <c r="E252" s="44">
        <v>12</v>
      </c>
      <c r="F252" s="45">
        <v>2778</v>
      </c>
      <c r="G252" s="44">
        <v>11</v>
      </c>
      <c r="H252" s="45">
        <v>7574</v>
      </c>
      <c r="I252" s="45">
        <v>231.5</v>
      </c>
      <c r="J252" s="45">
        <v>688.5454545454545</v>
      </c>
      <c r="K252" s="46">
        <v>1.9742784213626545</v>
      </c>
    </row>
    <row r="253" spans="1:11" x14ac:dyDescent="0.2">
      <c r="A253" s="38" t="s">
        <v>7</v>
      </c>
      <c r="B253" s="38" t="s">
        <v>1570</v>
      </c>
      <c r="C253" s="43" t="s">
        <v>1571</v>
      </c>
      <c r="D253" s="38" t="s">
        <v>12220</v>
      </c>
      <c r="G253" s="44">
        <v>1</v>
      </c>
      <c r="H253" s="45">
        <v>2698</v>
      </c>
      <c r="J253" s="45">
        <v>2698</v>
      </c>
    </row>
    <row r="254" spans="1:11" x14ac:dyDescent="0.2">
      <c r="A254" s="38" t="s">
        <v>7</v>
      </c>
      <c r="B254" s="38" t="s">
        <v>1576</v>
      </c>
      <c r="C254" s="43" t="s">
        <v>1577</v>
      </c>
      <c r="D254" s="38" t="s">
        <v>12220</v>
      </c>
      <c r="G254" s="44">
        <v>1</v>
      </c>
      <c r="H254" s="45">
        <v>717</v>
      </c>
      <c r="J254" s="45">
        <v>717</v>
      </c>
    </row>
    <row r="255" spans="1:11" x14ac:dyDescent="0.2">
      <c r="A255" s="38" t="s">
        <v>7</v>
      </c>
      <c r="B255" s="38" t="s">
        <v>1579</v>
      </c>
      <c r="C255" s="43" t="s">
        <v>1580</v>
      </c>
      <c r="D255" s="38" t="s">
        <v>12220</v>
      </c>
      <c r="E255" s="44">
        <v>7</v>
      </c>
      <c r="F255" s="45">
        <v>46744.7</v>
      </c>
      <c r="G255" s="44">
        <v>10</v>
      </c>
      <c r="H255" s="45">
        <v>84249.1</v>
      </c>
      <c r="I255" s="45">
        <v>6677.8142857142857</v>
      </c>
      <c r="J255" s="45">
        <v>8424.91</v>
      </c>
      <c r="K255" s="46">
        <v>0.26162687962485587</v>
      </c>
    </row>
    <row r="256" spans="1:11" x14ac:dyDescent="0.2">
      <c r="A256" s="38" t="s">
        <v>7</v>
      </c>
      <c r="B256" s="38" t="s">
        <v>1582</v>
      </c>
      <c r="C256" s="43" t="s">
        <v>1583</v>
      </c>
      <c r="D256" s="38" t="s">
        <v>12220</v>
      </c>
      <c r="E256" s="44">
        <v>12</v>
      </c>
      <c r="F256" s="45">
        <v>133163.59</v>
      </c>
      <c r="G256" s="44">
        <v>15</v>
      </c>
      <c r="H256" s="45">
        <v>144917.94</v>
      </c>
      <c r="I256" s="45">
        <v>11096.965833333334</v>
      </c>
      <c r="J256" s="45">
        <v>9661.1959999999999</v>
      </c>
      <c r="K256" s="46">
        <v>-0.12938400053648302</v>
      </c>
    </row>
    <row r="257" spans="1:11" x14ac:dyDescent="0.2">
      <c r="A257" s="38" t="s">
        <v>7</v>
      </c>
      <c r="B257" s="38" t="s">
        <v>1585</v>
      </c>
      <c r="C257" s="43" t="s">
        <v>1586</v>
      </c>
      <c r="D257" s="38" t="s">
        <v>12220</v>
      </c>
      <c r="G257" s="44">
        <v>1</v>
      </c>
      <c r="H257" s="45">
        <v>197</v>
      </c>
      <c r="J257" s="45">
        <v>197</v>
      </c>
    </row>
    <row r="258" spans="1:11" x14ac:dyDescent="0.2">
      <c r="A258" s="38" t="s">
        <v>7</v>
      </c>
      <c r="B258" s="38" t="s">
        <v>1590</v>
      </c>
      <c r="C258" s="43" t="s">
        <v>1591</v>
      </c>
      <c r="D258" s="38" t="s">
        <v>12220</v>
      </c>
      <c r="G258" s="44">
        <v>2</v>
      </c>
      <c r="H258" s="45">
        <v>6826.63</v>
      </c>
      <c r="J258" s="45">
        <v>3413.3150000000001</v>
      </c>
    </row>
    <row r="259" spans="1:11" x14ac:dyDescent="0.2">
      <c r="A259" s="38" t="s">
        <v>7</v>
      </c>
      <c r="B259" s="38" t="s">
        <v>1593</v>
      </c>
      <c r="C259" s="43" t="s">
        <v>1594</v>
      </c>
      <c r="D259" s="38" t="s">
        <v>12220</v>
      </c>
      <c r="E259" s="44">
        <v>7</v>
      </c>
      <c r="F259" s="45">
        <v>12594.75</v>
      </c>
      <c r="G259" s="44">
        <v>8</v>
      </c>
      <c r="H259" s="45">
        <v>18514.41</v>
      </c>
      <c r="I259" s="45">
        <v>1799.25</v>
      </c>
      <c r="J259" s="45">
        <v>2314.30125</v>
      </c>
      <c r="K259" s="46">
        <v>0.2862588578574406</v>
      </c>
    </row>
    <row r="260" spans="1:11" x14ac:dyDescent="0.2">
      <c r="A260" s="38" t="s">
        <v>7</v>
      </c>
      <c r="B260" s="38" t="s">
        <v>1601</v>
      </c>
      <c r="C260" s="43" t="s">
        <v>1602</v>
      </c>
      <c r="D260" s="38" t="s">
        <v>12227</v>
      </c>
      <c r="G260" s="44">
        <v>1026</v>
      </c>
      <c r="H260" s="45">
        <v>360126</v>
      </c>
      <c r="J260" s="45">
        <v>351</v>
      </c>
    </row>
    <row r="261" spans="1:11" x14ac:dyDescent="0.2">
      <c r="A261" s="38" t="s">
        <v>7</v>
      </c>
      <c r="B261" s="38" t="s">
        <v>1604</v>
      </c>
      <c r="C261" s="43" t="s">
        <v>1605</v>
      </c>
      <c r="D261" s="38" t="s">
        <v>12228</v>
      </c>
      <c r="G261" s="44">
        <v>1</v>
      </c>
      <c r="H261" s="45">
        <v>7700</v>
      </c>
      <c r="J261" s="45">
        <v>7700</v>
      </c>
    </row>
    <row r="262" spans="1:11" x14ac:dyDescent="0.2">
      <c r="A262" s="38" t="s">
        <v>7</v>
      </c>
      <c r="B262" s="38" t="s">
        <v>1627</v>
      </c>
      <c r="C262" s="43" t="s">
        <v>1628</v>
      </c>
      <c r="D262" s="38" t="s">
        <v>12229</v>
      </c>
      <c r="G262" s="44">
        <v>7</v>
      </c>
      <c r="H262" s="45">
        <v>8430</v>
      </c>
      <c r="J262" s="45">
        <v>1204.2857142857142</v>
      </c>
    </row>
    <row r="263" spans="1:11" x14ac:dyDescent="0.2">
      <c r="A263" s="38" t="s">
        <v>7</v>
      </c>
      <c r="B263" s="38" t="s">
        <v>1638</v>
      </c>
      <c r="C263" s="43" t="s">
        <v>1639</v>
      </c>
      <c r="D263" s="38" t="s">
        <v>12229</v>
      </c>
      <c r="G263" s="44">
        <v>2</v>
      </c>
      <c r="H263" s="45">
        <v>1156</v>
      </c>
      <c r="J263" s="45">
        <v>578</v>
      </c>
    </row>
    <row r="264" spans="1:11" x14ac:dyDescent="0.2">
      <c r="A264" s="38" t="s">
        <v>7</v>
      </c>
      <c r="B264" s="38" t="s">
        <v>1652</v>
      </c>
      <c r="C264" s="43" t="s">
        <v>1653</v>
      </c>
      <c r="D264" s="38" t="s">
        <v>12230</v>
      </c>
      <c r="E264" s="44">
        <v>87</v>
      </c>
      <c r="F264" s="45">
        <v>53828</v>
      </c>
      <c r="G264" s="44">
        <v>110</v>
      </c>
      <c r="H264" s="45">
        <v>71746</v>
      </c>
      <c r="I264" s="45">
        <v>618.71264367816093</v>
      </c>
      <c r="J264" s="45">
        <v>652.23636363636365</v>
      </c>
      <c r="K264" s="46">
        <v>5.4183020665148927E-2</v>
      </c>
    </row>
    <row r="265" spans="1:11" x14ac:dyDescent="0.2">
      <c r="A265" s="38" t="s">
        <v>7</v>
      </c>
      <c r="B265" s="38" t="s">
        <v>1655</v>
      </c>
      <c r="C265" s="43" t="s">
        <v>1656</v>
      </c>
      <c r="D265" s="38" t="s">
        <v>12218</v>
      </c>
      <c r="G265" s="44">
        <v>2</v>
      </c>
      <c r="H265" s="45">
        <v>15988</v>
      </c>
      <c r="J265" s="45">
        <v>7994</v>
      </c>
    </row>
    <row r="266" spans="1:11" x14ac:dyDescent="0.2">
      <c r="A266" s="38" t="s">
        <v>7</v>
      </c>
      <c r="B266" s="38" t="s">
        <v>1661</v>
      </c>
      <c r="C266" s="43" t="s">
        <v>1662</v>
      </c>
      <c r="D266" s="38" t="s">
        <v>12216</v>
      </c>
      <c r="G266" s="44">
        <v>4</v>
      </c>
      <c r="H266" s="45">
        <v>251220.76</v>
      </c>
      <c r="J266" s="45">
        <v>62805.19</v>
      </c>
    </row>
    <row r="267" spans="1:11" x14ac:dyDescent="0.2">
      <c r="A267" s="38" t="s">
        <v>7</v>
      </c>
      <c r="B267" s="38" t="s">
        <v>1664</v>
      </c>
      <c r="C267" s="43" t="s">
        <v>1665</v>
      </c>
      <c r="D267" s="38" t="s">
        <v>12222</v>
      </c>
      <c r="G267" s="44">
        <v>12</v>
      </c>
      <c r="H267" s="45">
        <v>132330.18</v>
      </c>
      <c r="J267" s="45">
        <v>11027.514999999999</v>
      </c>
    </row>
    <row r="268" spans="1:11" x14ac:dyDescent="0.2">
      <c r="A268" s="38" t="s">
        <v>7</v>
      </c>
      <c r="B268" s="38" t="s">
        <v>1667</v>
      </c>
      <c r="C268" s="43" t="s">
        <v>1318</v>
      </c>
      <c r="D268" s="38" t="s">
        <v>12215</v>
      </c>
      <c r="G268" s="44">
        <v>11</v>
      </c>
      <c r="H268" s="45">
        <v>84980.12</v>
      </c>
      <c r="J268" s="45">
        <v>7725.4654545454541</v>
      </c>
    </row>
    <row r="269" spans="1:11" x14ac:dyDescent="0.2">
      <c r="A269" s="38" t="s">
        <v>7</v>
      </c>
      <c r="B269" s="38" t="s">
        <v>1672</v>
      </c>
      <c r="C269" s="43" t="s">
        <v>1673</v>
      </c>
      <c r="D269" s="38" t="s">
        <v>12213</v>
      </c>
      <c r="G269" s="44">
        <v>1</v>
      </c>
      <c r="H269" s="45">
        <v>13253.01</v>
      </c>
      <c r="J269" s="45">
        <v>13253.01</v>
      </c>
    </row>
    <row r="270" spans="1:11" x14ac:dyDescent="0.2">
      <c r="A270" s="38" t="s">
        <v>7</v>
      </c>
      <c r="B270" s="38" t="s">
        <v>1678</v>
      </c>
      <c r="C270" s="43" t="s">
        <v>1679</v>
      </c>
      <c r="D270" s="38" t="s">
        <v>12218</v>
      </c>
      <c r="G270" s="44">
        <v>10</v>
      </c>
      <c r="H270" s="45">
        <v>93670</v>
      </c>
      <c r="J270" s="45">
        <v>9367</v>
      </c>
    </row>
    <row r="271" spans="1:11" x14ac:dyDescent="0.2">
      <c r="A271" s="38" t="s">
        <v>7</v>
      </c>
      <c r="B271" s="38" t="s">
        <v>1690</v>
      </c>
      <c r="C271" s="43" t="s">
        <v>1691</v>
      </c>
      <c r="D271" s="38" t="s">
        <v>12231</v>
      </c>
      <c r="G271" s="44">
        <v>10</v>
      </c>
      <c r="H271" s="45">
        <v>300810</v>
      </c>
      <c r="J271" s="45">
        <v>30081</v>
      </c>
    </row>
    <row r="272" spans="1:11" x14ac:dyDescent="0.2">
      <c r="A272" s="38" t="s">
        <v>7</v>
      </c>
      <c r="B272" s="38" t="s">
        <v>1698</v>
      </c>
      <c r="C272" s="43" t="s">
        <v>1699</v>
      </c>
      <c r="D272" s="38" t="s">
        <v>12216</v>
      </c>
      <c r="E272" s="44">
        <v>6</v>
      </c>
      <c r="F272" s="45">
        <v>858716.04</v>
      </c>
      <c r="G272" s="44">
        <v>0</v>
      </c>
      <c r="H272" s="45">
        <v>0</v>
      </c>
      <c r="I272" s="45">
        <v>143119.34</v>
      </c>
    </row>
    <row r="273" spans="1:11" x14ac:dyDescent="0.2">
      <c r="A273" s="38" t="s">
        <v>7</v>
      </c>
      <c r="B273" s="38" t="s">
        <v>1701</v>
      </c>
      <c r="C273" s="43" t="s">
        <v>1702</v>
      </c>
      <c r="D273" s="38" t="s">
        <v>12222</v>
      </c>
      <c r="G273" s="44">
        <v>3</v>
      </c>
      <c r="H273" s="45">
        <v>87159</v>
      </c>
      <c r="J273" s="45">
        <v>29053</v>
      </c>
    </row>
    <row r="274" spans="1:11" x14ac:dyDescent="0.2">
      <c r="A274" s="38" t="s">
        <v>7</v>
      </c>
      <c r="B274" s="38" t="s">
        <v>1704</v>
      </c>
      <c r="C274" s="43" t="s">
        <v>1705</v>
      </c>
      <c r="D274" s="38" t="s">
        <v>12222</v>
      </c>
      <c r="E274" s="44">
        <v>9</v>
      </c>
      <c r="F274" s="45">
        <v>508808.76</v>
      </c>
      <c r="G274" s="44">
        <v>9</v>
      </c>
      <c r="H274" s="45">
        <v>362568</v>
      </c>
      <c r="I274" s="45">
        <v>56534.306666666671</v>
      </c>
      <c r="J274" s="45">
        <v>40285.333333333336</v>
      </c>
      <c r="K274" s="46">
        <v>-0.28741792888943185</v>
      </c>
    </row>
    <row r="275" spans="1:11" x14ac:dyDescent="0.2">
      <c r="A275" s="38" t="s">
        <v>7</v>
      </c>
      <c r="B275" s="38" t="s">
        <v>1707</v>
      </c>
      <c r="C275" s="43" t="s">
        <v>1708</v>
      </c>
      <c r="D275" s="38" t="s">
        <v>12232</v>
      </c>
      <c r="E275" s="44">
        <v>19</v>
      </c>
      <c r="F275" s="45">
        <v>24634</v>
      </c>
      <c r="G275" s="44">
        <v>24</v>
      </c>
      <c r="H275" s="45">
        <v>31090</v>
      </c>
      <c r="I275" s="45">
        <v>1296.5263157894738</v>
      </c>
      <c r="J275" s="45">
        <v>1295.4166666666667</v>
      </c>
      <c r="K275" s="46">
        <v>-8.558631701442419E-4</v>
      </c>
    </row>
    <row r="276" spans="1:11" x14ac:dyDescent="0.2">
      <c r="A276" s="38" t="s">
        <v>7</v>
      </c>
      <c r="B276" s="38" t="s">
        <v>1726</v>
      </c>
      <c r="C276" s="43" t="s">
        <v>1727</v>
      </c>
      <c r="D276" s="38" t="s">
        <v>12233</v>
      </c>
      <c r="G276" s="44">
        <v>36</v>
      </c>
      <c r="H276" s="45">
        <v>19836</v>
      </c>
      <c r="J276" s="45">
        <v>551</v>
      </c>
    </row>
    <row r="277" spans="1:11" x14ac:dyDescent="0.2">
      <c r="A277" s="38" t="s">
        <v>7</v>
      </c>
      <c r="B277" s="38" t="s">
        <v>1729</v>
      </c>
      <c r="C277" s="43" t="s">
        <v>1730</v>
      </c>
      <c r="D277" s="38" t="s">
        <v>12233</v>
      </c>
      <c r="E277" s="44">
        <v>17</v>
      </c>
      <c r="F277" s="45">
        <v>9834.67</v>
      </c>
      <c r="G277" s="44">
        <v>0</v>
      </c>
      <c r="H277" s="45">
        <v>0</v>
      </c>
      <c r="I277" s="45">
        <v>578.51</v>
      </c>
    </row>
    <row r="278" spans="1:11" x14ac:dyDescent="0.2">
      <c r="A278" s="38" t="s">
        <v>7</v>
      </c>
      <c r="B278" s="38" t="s">
        <v>1743</v>
      </c>
      <c r="C278" s="43" t="s">
        <v>1744</v>
      </c>
      <c r="D278" s="38" t="s">
        <v>12223</v>
      </c>
      <c r="G278" s="44">
        <v>14</v>
      </c>
      <c r="H278" s="45">
        <v>128922</v>
      </c>
      <c r="J278" s="45">
        <v>9208.7142857142862</v>
      </c>
    </row>
    <row r="279" spans="1:11" x14ac:dyDescent="0.2">
      <c r="A279" s="38" t="s">
        <v>7</v>
      </c>
      <c r="B279" s="38" t="s">
        <v>1746</v>
      </c>
      <c r="C279" s="43" t="s">
        <v>1747</v>
      </c>
      <c r="D279" s="38" t="s">
        <v>12223</v>
      </c>
      <c r="G279" s="44">
        <v>1</v>
      </c>
      <c r="H279" s="45">
        <v>9871</v>
      </c>
      <c r="J279" s="45">
        <v>9871</v>
      </c>
    </row>
    <row r="280" spans="1:11" x14ac:dyDescent="0.2">
      <c r="A280" s="38" t="s">
        <v>7</v>
      </c>
      <c r="B280" s="38" t="s">
        <v>1749</v>
      </c>
      <c r="C280" s="43" t="s">
        <v>1750</v>
      </c>
      <c r="D280" s="38" t="s">
        <v>12215</v>
      </c>
      <c r="E280" s="44">
        <v>4</v>
      </c>
      <c r="F280" s="45">
        <v>47103</v>
      </c>
      <c r="G280" s="44">
        <v>6</v>
      </c>
      <c r="H280" s="45">
        <v>66830</v>
      </c>
      <c r="I280" s="45">
        <v>11775.75</v>
      </c>
      <c r="J280" s="45">
        <v>11138.333333333334</v>
      </c>
      <c r="K280" s="46">
        <v>-5.4129602502317561E-2</v>
      </c>
    </row>
    <row r="281" spans="1:11" x14ac:dyDescent="0.2">
      <c r="A281" s="38" t="s">
        <v>7</v>
      </c>
      <c r="B281" s="38" t="s">
        <v>1763</v>
      </c>
      <c r="C281" s="43" t="s">
        <v>1764</v>
      </c>
      <c r="D281" s="38" t="s">
        <v>12220</v>
      </c>
      <c r="E281" s="44">
        <v>6</v>
      </c>
      <c r="F281" s="45">
        <v>283537.40999999997</v>
      </c>
      <c r="G281" s="44">
        <v>8</v>
      </c>
      <c r="H281" s="45">
        <v>284879.87</v>
      </c>
      <c r="I281" s="45">
        <v>47256.234999999993</v>
      </c>
      <c r="J281" s="45">
        <v>35609.983749999999</v>
      </c>
      <c r="K281" s="46">
        <v>-0.24644898710191354</v>
      </c>
    </row>
    <row r="282" spans="1:11" x14ac:dyDescent="0.2">
      <c r="A282" s="38" t="s">
        <v>7</v>
      </c>
      <c r="B282" s="38" t="s">
        <v>12234</v>
      </c>
      <c r="C282" s="43" t="s">
        <v>12235</v>
      </c>
      <c r="G282" s="44">
        <v>5</v>
      </c>
      <c r="H282" s="45">
        <v>26198.26</v>
      </c>
      <c r="J282" s="45">
        <v>5239.652</v>
      </c>
    </row>
    <row r="283" spans="1:11" x14ac:dyDescent="0.2">
      <c r="A283" s="38" t="s">
        <v>7</v>
      </c>
      <c r="B283" s="38" t="s">
        <v>1772</v>
      </c>
      <c r="C283" s="43" t="s">
        <v>1773</v>
      </c>
      <c r="D283" s="38" t="s">
        <v>12236</v>
      </c>
      <c r="E283" s="44">
        <v>32</v>
      </c>
      <c r="F283" s="45">
        <v>409302</v>
      </c>
      <c r="G283" s="44">
        <v>17</v>
      </c>
      <c r="H283" s="45">
        <v>228637</v>
      </c>
      <c r="I283" s="45">
        <v>12790.6875</v>
      </c>
      <c r="J283" s="45">
        <v>13449.235294117647</v>
      </c>
      <c r="K283" s="46">
        <v>5.148650485891762E-2</v>
      </c>
    </row>
    <row r="284" spans="1:11" x14ac:dyDescent="0.2">
      <c r="A284" s="38" t="s">
        <v>7</v>
      </c>
      <c r="B284" s="38" t="s">
        <v>1775</v>
      </c>
      <c r="C284" s="43" t="s">
        <v>1776</v>
      </c>
      <c r="D284" s="38" t="s">
        <v>12237</v>
      </c>
      <c r="E284" s="44">
        <v>6</v>
      </c>
      <c r="F284" s="45">
        <v>4602</v>
      </c>
      <c r="G284" s="44">
        <v>6</v>
      </c>
      <c r="H284" s="45">
        <v>1774</v>
      </c>
      <c r="I284" s="45">
        <v>767</v>
      </c>
      <c r="J284" s="45">
        <v>295.66666666666669</v>
      </c>
      <c r="K284" s="46">
        <v>-0.61451542807475013</v>
      </c>
    </row>
    <row r="285" spans="1:11" x14ac:dyDescent="0.2">
      <c r="A285" s="38" t="s">
        <v>7</v>
      </c>
      <c r="B285" s="38" t="s">
        <v>1778</v>
      </c>
      <c r="C285" s="43" t="s">
        <v>1779</v>
      </c>
      <c r="D285" s="38" t="s">
        <v>12238</v>
      </c>
      <c r="G285" s="44">
        <v>2</v>
      </c>
      <c r="H285" s="45">
        <v>5996</v>
      </c>
      <c r="J285" s="45">
        <v>2998</v>
      </c>
    </row>
    <row r="286" spans="1:11" x14ac:dyDescent="0.2">
      <c r="A286" s="38" t="s">
        <v>7</v>
      </c>
      <c r="B286" s="38" t="s">
        <v>1781</v>
      </c>
      <c r="C286" s="43" t="s">
        <v>1782</v>
      </c>
      <c r="D286" s="38" t="s">
        <v>12239</v>
      </c>
      <c r="E286" s="44">
        <v>55</v>
      </c>
      <c r="F286" s="45">
        <v>44326</v>
      </c>
      <c r="G286" s="44">
        <v>33</v>
      </c>
      <c r="H286" s="45">
        <v>28909</v>
      </c>
      <c r="I286" s="45">
        <v>805.92727272727268</v>
      </c>
      <c r="J286" s="45">
        <v>876.030303030303</v>
      </c>
      <c r="K286" s="46">
        <v>8.6984313194663807E-2</v>
      </c>
    </row>
    <row r="287" spans="1:11" x14ac:dyDescent="0.2">
      <c r="A287" s="38" t="s">
        <v>7</v>
      </c>
      <c r="B287" s="38" t="s">
        <v>1790</v>
      </c>
      <c r="C287" s="43" t="s">
        <v>1791</v>
      </c>
      <c r="D287" s="38" t="s">
        <v>12240</v>
      </c>
      <c r="E287" s="44">
        <v>45</v>
      </c>
      <c r="F287" s="45">
        <v>26685</v>
      </c>
      <c r="G287" s="44">
        <v>32</v>
      </c>
      <c r="H287" s="45">
        <v>17091</v>
      </c>
      <c r="I287" s="45">
        <v>593</v>
      </c>
      <c r="J287" s="45">
        <v>534.09375</v>
      </c>
      <c r="K287" s="46">
        <v>-9.9336003372681281E-2</v>
      </c>
    </row>
    <row r="288" spans="1:11" x14ac:dyDescent="0.2">
      <c r="A288" s="38" t="s">
        <v>7</v>
      </c>
      <c r="B288" s="38" t="s">
        <v>1795</v>
      </c>
      <c r="C288" s="43" t="s">
        <v>1796</v>
      </c>
      <c r="D288" s="38" t="s">
        <v>12241</v>
      </c>
      <c r="G288" s="44">
        <v>13</v>
      </c>
      <c r="H288" s="45">
        <v>2477</v>
      </c>
      <c r="J288" s="45">
        <v>190.53846153846155</v>
      </c>
    </row>
    <row r="289" spans="1:11" x14ac:dyDescent="0.2">
      <c r="A289" s="38" t="s">
        <v>7</v>
      </c>
      <c r="B289" s="38" t="s">
        <v>1801</v>
      </c>
      <c r="C289" s="43" t="s">
        <v>1802</v>
      </c>
      <c r="D289" s="38" t="s">
        <v>12242</v>
      </c>
      <c r="G289" s="44">
        <v>1</v>
      </c>
      <c r="H289" s="45">
        <v>4721</v>
      </c>
      <c r="J289" s="45">
        <v>4721</v>
      </c>
    </row>
    <row r="290" spans="1:11" x14ac:dyDescent="0.2">
      <c r="A290" s="38" t="s">
        <v>7</v>
      </c>
      <c r="B290" s="38" t="s">
        <v>1808</v>
      </c>
      <c r="C290" s="43" t="s">
        <v>1809</v>
      </c>
      <c r="D290" s="38" t="s">
        <v>12242</v>
      </c>
      <c r="G290" s="44">
        <v>3</v>
      </c>
      <c r="H290" s="45">
        <v>19251</v>
      </c>
      <c r="J290" s="45">
        <v>6417</v>
      </c>
    </row>
    <row r="291" spans="1:11" x14ac:dyDescent="0.2">
      <c r="A291" s="38" t="s">
        <v>7</v>
      </c>
      <c r="B291" s="38" t="s">
        <v>1820</v>
      </c>
      <c r="C291" s="43" t="s">
        <v>1821</v>
      </c>
      <c r="D291" s="38" t="s">
        <v>12242</v>
      </c>
      <c r="G291" s="44">
        <v>1</v>
      </c>
      <c r="H291" s="45">
        <v>1702</v>
      </c>
      <c r="J291" s="45">
        <v>1702</v>
      </c>
    </row>
    <row r="292" spans="1:11" x14ac:dyDescent="0.2">
      <c r="A292" s="38" t="s">
        <v>7</v>
      </c>
      <c r="B292" s="38" t="s">
        <v>1829</v>
      </c>
      <c r="C292" s="43" t="s">
        <v>1830</v>
      </c>
      <c r="D292" s="38" t="s">
        <v>12243</v>
      </c>
      <c r="E292" s="44">
        <v>581</v>
      </c>
      <c r="F292" s="45">
        <v>472836</v>
      </c>
      <c r="G292" s="44">
        <v>722</v>
      </c>
      <c r="H292" s="45">
        <v>493378</v>
      </c>
      <c r="I292" s="45">
        <v>813.83132530120486</v>
      </c>
      <c r="J292" s="45">
        <v>683.34903047091416</v>
      </c>
      <c r="K292" s="46">
        <v>-0.160330882793186</v>
      </c>
    </row>
    <row r="293" spans="1:11" x14ac:dyDescent="0.2">
      <c r="A293" s="38" t="s">
        <v>7</v>
      </c>
      <c r="B293" s="38" t="s">
        <v>1831</v>
      </c>
      <c r="C293" s="43" t="s">
        <v>1832</v>
      </c>
      <c r="D293" s="38" t="s">
        <v>12073</v>
      </c>
      <c r="E293" s="44">
        <v>521</v>
      </c>
      <c r="F293" s="45">
        <v>298715</v>
      </c>
      <c r="G293" s="44">
        <v>1124</v>
      </c>
      <c r="H293" s="45">
        <v>484524</v>
      </c>
      <c r="I293" s="45">
        <v>573.34932821497125</v>
      </c>
      <c r="J293" s="45">
        <v>431.07117437722422</v>
      </c>
      <c r="K293" s="46">
        <v>-0.24815264767241751</v>
      </c>
    </row>
    <row r="294" spans="1:11" x14ac:dyDescent="0.2">
      <c r="A294" s="38" t="s">
        <v>7</v>
      </c>
      <c r="B294" s="38" t="s">
        <v>1834</v>
      </c>
      <c r="C294" s="43" t="s">
        <v>1835</v>
      </c>
      <c r="D294" s="38" t="s">
        <v>12081</v>
      </c>
      <c r="E294" s="44">
        <v>1001</v>
      </c>
      <c r="F294" s="45">
        <v>1073056</v>
      </c>
      <c r="G294" s="44">
        <v>1113</v>
      </c>
      <c r="H294" s="45">
        <v>981248</v>
      </c>
      <c r="I294" s="45">
        <v>1071.984015984016</v>
      </c>
      <c r="J294" s="45">
        <v>881.62443845462712</v>
      </c>
      <c r="K294" s="46">
        <v>-0.17757688052340068</v>
      </c>
    </row>
    <row r="295" spans="1:11" x14ac:dyDescent="0.2">
      <c r="A295" s="38" t="s">
        <v>7</v>
      </c>
      <c r="B295" s="38" t="s">
        <v>1836</v>
      </c>
      <c r="C295" s="43" t="s">
        <v>1837</v>
      </c>
      <c r="D295" s="38" t="s">
        <v>12244</v>
      </c>
      <c r="E295" s="44">
        <v>1314</v>
      </c>
      <c r="F295" s="45">
        <v>3139794</v>
      </c>
      <c r="G295" s="44">
        <v>1528</v>
      </c>
      <c r="H295" s="45">
        <v>3091176</v>
      </c>
      <c r="I295" s="45">
        <v>2389.4931506849316</v>
      </c>
      <c r="J295" s="45">
        <v>2023.0209424083769</v>
      </c>
      <c r="K295" s="46">
        <v>-0.1533681769171458</v>
      </c>
    </row>
    <row r="296" spans="1:11" x14ac:dyDescent="0.2">
      <c r="A296" s="38" t="s">
        <v>7</v>
      </c>
      <c r="B296" s="38" t="s">
        <v>1839</v>
      </c>
      <c r="C296" s="43" t="s">
        <v>1840</v>
      </c>
      <c r="D296" s="38" t="s">
        <v>12077</v>
      </c>
      <c r="E296" s="44">
        <v>18326</v>
      </c>
      <c r="F296" s="45">
        <v>60309840</v>
      </c>
      <c r="G296" s="44">
        <v>22543</v>
      </c>
      <c r="H296" s="45">
        <v>62560992</v>
      </c>
      <c r="I296" s="45">
        <v>3290.9440139692242</v>
      </c>
      <c r="J296" s="45">
        <v>2775.1848467373466</v>
      </c>
      <c r="K296" s="46">
        <v>-0.15672073576536416</v>
      </c>
    </row>
    <row r="297" spans="1:11" x14ac:dyDescent="0.2">
      <c r="A297" s="38" t="s">
        <v>7</v>
      </c>
      <c r="B297" s="38" t="s">
        <v>1842</v>
      </c>
      <c r="C297" s="43" t="s">
        <v>1843</v>
      </c>
      <c r="D297" s="38" t="s">
        <v>12069</v>
      </c>
      <c r="E297" s="44">
        <v>14138</v>
      </c>
      <c r="F297" s="45">
        <v>24575656</v>
      </c>
      <c r="G297" s="44">
        <v>13354</v>
      </c>
      <c r="H297" s="45">
        <v>19519941</v>
      </c>
      <c r="I297" s="45">
        <v>1738.2696279530344</v>
      </c>
      <c r="J297" s="45">
        <v>1461.7298936648194</v>
      </c>
      <c r="K297" s="46">
        <v>-0.15908909057673914</v>
      </c>
    </row>
    <row r="298" spans="1:11" x14ac:dyDescent="0.2">
      <c r="A298" s="38" t="s">
        <v>7</v>
      </c>
      <c r="B298" s="38" t="s">
        <v>1848</v>
      </c>
      <c r="C298" s="43" t="s">
        <v>1849</v>
      </c>
      <c r="D298" s="38" t="s">
        <v>12245</v>
      </c>
      <c r="E298" s="44">
        <v>153</v>
      </c>
      <c r="F298" s="45">
        <v>56710</v>
      </c>
      <c r="G298" s="44">
        <v>1</v>
      </c>
      <c r="H298" s="45">
        <v>397</v>
      </c>
      <c r="I298" s="45">
        <v>370.65359477124184</v>
      </c>
      <c r="J298" s="45">
        <v>397</v>
      </c>
      <c r="K298" s="46">
        <v>7.1080938106154082E-2</v>
      </c>
    </row>
    <row r="299" spans="1:11" x14ac:dyDescent="0.2">
      <c r="A299" s="38" t="s">
        <v>7</v>
      </c>
      <c r="B299" s="38" t="s">
        <v>1851</v>
      </c>
      <c r="C299" s="43" t="s">
        <v>1852</v>
      </c>
      <c r="D299" s="38" t="s">
        <v>12246</v>
      </c>
      <c r="E299" s="44">
        <v>3508</v>
      </c>
      <c r="F299" s="45">
        <v>2038568</v>
      </c>
      <c r="G299" s="44">
        <v>5155</v>
      </c>
      <c r="H299" s="45">
        <v>3041450</v>
      </c>
      <c r="I299" s="45">
        <v>581.11972633979474</v>
      </c>
      <c r="J299" s="45">
        <v>590</v>
      </c>
      <c r="K299" s="46">
        <v>1.5281315119240595E-2</v>
      </c>
    </row>
    <row r="300" spans="1:11" x14ac:dyDescent="0.2">
      <c r="A300" s="38" t="s">
        <v>7</v>
      </c>
      <c r="B300" s="38" t="s">
        <v>1854</v>
      </c>
      <c r="C300" s="43" t="s">
        <v>1855</v>
      </c>
      <c r="D300" s="38" t="s">
        <v>12247</v>
      </c>
      <c r="E300" s="44">
        <v>583</v>
      </c>
      <c r="F300" s="45">
        <v>130440</v>
      </c>
      <c r="G300" s="44">
        <v>423</v>
      </c>
      <c r="H300" s="45">
        <v>97713</v>
      </c>
      <c r="I300" s="45">
        <v>223.73927958833619</v>
      </c>
      <c r="J300" s="45">
        <v>231</v>
      </c>
      <c r="K300" s="46">
        <v>3.245170193192274E-2</v>
      </c>
    </row>
    <row r="301" spans="1:11" x14ac:dyDescent="0.2">
      <c r="A301" s="38" t="s">
        <v>7</v>
      </c>
      <c r="B301" s="38" t="s">
        <v>1857</v>
      </c>
      <c r="C301" s="43" t="s">
        <v>1858</v>
      </c>
      <c r="D301" s="38" t="s">
        <v>12182</v>
      </c>
      <c r="E301" s="44">
        <v>11359</v>
      </c>
      <c r="F301" s="45">
        <v>5416743</v>
      </c>
      <c r="G301" s="44">
        <v>11702</v>
      </c>
      <c r="H301" s="45">
        <v>5075950</v>
      </c>
      <c r="I301" s="45">
        <v>476.86794612201777</v>
      </c>
      <c r="J301" s="45">
        <v>433.76773201162194</v>
      </c>
      <c r="K301" s="46">
        <v>-9.0381864541106374E-2</v>
      </c>
    </row>
    <row r="302" spans="1:11" x14ac:dyDescent="0.2">
      <c r="A302" s="38" t="s">
        <v>7</v>
      </c>
      <c r="B302" s="38" t="s">
        <v>1859</v>
      </c>
      <c r="C302" s="43" t="s">
        <v>1860</v>
      </c>
      <c r="D302" s="38" t="s">
        <v>12248</v>
      </c>
      <c r="E302" s="44">
        <v>7</v>
      </c>
      <c r="F302" s="45">
        <v>482</v>
      </c>
      <c r="G302" s="44">
        <v>4</v>
      </c>
      <c r="H302" s="45">
        <v>284</v>
      </c>
      <c r="I302" s="45">
        <v>68.857142857142861</v>
      </c>
      <c r="J302" s="45">
        <v>71</v>
      </c>
      <c r="K302" s="46">
        <v>3.1120331950207407E-2</v>
      </c>
    </row>
    <row r="303" spans="1:11" x14ac:dyDescent="0.2">
      <c r="A303" s="38" t="s">
        <v>7</v>
      </c>
      <c r="B303" s="38" t="s">
        <v>1862</v>
      </c>
      <c r="C303" s="43" t="s">
        <v>1863</v>
      </c>
      <c r="D303" s="38" t="s">
        <v>12249</v>
      </c>
      <c r="E303" s="44">
        <v>566</v>
      </c>
      <c r="F303" s="45">
        <v>493002</v>
      </c>
      <c r="G303" s="44">
        <v>588</v>
      </c>
      <c r="H303" s="45">
        <v>452858</v>
      </c>
      <c r="I303" s="45">
        <v>871.02826855123669</v>
      </c>
      <c r="J303" s="45">
        <v>770.16666666666663</v>
      </c>
      <c r="K303" s="46">
        <v>-0.11579601435017842</v>
      </c>
    </row>
    <row r="304" spans="1:11" x14ac:dyDescent="0.2">
      <c r="A304" s="38" t="s">
        <v>7</v>
      </c>
      <c r="B304" s="38" t="s">
        <v>1865</v>
      </c>
      <c r="C304" s="43" t="s">
        <v>1866</v>
      </c>
      <c r="D304" s="38" t="s">
        <v>12250</v>
      </c>
      <c r="E304" s="44">
        <v>333</v>
      </c>
      <c r="F304" s="45">
        <v>166790</v>
      </c>
      <c r="G304" s="44">
        <v>400</v>
      </c>
      <c r="H304" s="45">
        <v>182625</v>
      </c>
      <c r="I304" s="45">
        <v>500.87087087087087</v>
      </c>
      <c r="J304" s="45">
        <v>456.5625</v>
      </c>
      <c r="K304" s="46">
        <v>-8.8462662629654062E-2</v>
      </c>
    </row>
    <row r="305" spans="1:11" x14ac:dyDescent="0.2">
      <c r="A305" s="38" t="s">
        <v>7</v>
      </c>
      <c r="B305" s="38" t="s">
        <v>1868</v>
      </c>
      <c r="C305" s="43" t="s">
        <v>1869</v>
      </c>
      <c r="D305" s="38" t="s">
        <v>12249</v>
      </c>
      <c r="E305" s="44">
        <v>532</v>
      </c>
      <c r="F305" s="45">
        <v>544248</v>
      </c>
      <c r="G305" s="44">
        <v>546</v>
      </c>
      <c r="H305" s="45">
        <v>489693</v>
      </c>
      <c r="I305" s="45">
        <v>1023.0225563909775</v>
      </c>
      <c r="J305" s="45">
        <v>896.87362637362639</v>
      </c>
      <c r="K305" s="46">
        <v>-0.12331001817044944</v>
      </c>
    </row>
    <row r="306" spans="1:11" x14ac:dyDescent="0.2">
      <c r="A306" s="38" t="s">
        <v>7</v>
      </c>
      <c r="B306" s="38" t="s">
        <v>1870</v>
      </c>
      <c r="C306" s="43" t="s">
        <v>1871</v>
      </c>
      <c r="D306" s="38" t="s">
        <v>12251</v>
      </c>
      <c r="E306" s="44">
        <v>29</v>
      </c>
      <c r="F306" s="45">
        <v>4047</v>
      </c>
      <c r="G306" s="44">
        <v>29</v>
      </c>
      <c r="H306" s="45">
        <v>3892</v>
      </c>
      <c r="I306" s="45">
        <v>139.55172413793105</v>
      </c>
      <c r="J306" s="45">
        <v>134.20689655172413</v>
      </c>
      <c r="K306" s="46">
        <v>-3.8299975290338677E-2</v>
      </c>
    </row>
    <row r="307" spans="1:11" x14ac:dyDescent="0.2">
      <c r="A307" s="38" t="s">
        <v>7</v>
      </c>
      <c r="B307" s="38" t="s">
        <v>1872</v>
      </c>
      <c r="C307" s="43" t="s">
        <v>1873</v>
      </c>
      <c r="D307" s="38" t="s">
        <v>12249</v>
      </c>
      <c r="E307" s="44">
        <v>1350</v>
      </c>
      <c r="F307" s="45">
        <v>1049931</v>
      </c>
      <c r="G307" s="44">
        <v>1437</v>
      </c>
      <c r="H307" s="45">
        <v>977975</v>
      </c>
      <c r="I307" s="45">
        <v>777.72666666666669</v>
      </c>
      <c r="J307" s="45">
        <v>680.56715379262357</v>
      </c>
      <c r="K307" s="46">
        <v>-0.12492758322209574</v>
      </c>
    </row>
    <row r="308" spans="1:11" x14ac:dyDescent="0.2">
      <c r="A308" s="38" t="s">
        <v>7</v>
      </c>
      <c r="B308" s="38" t="s">
        <v>1874</v>
      </c>
      <c r="C308" s="43" t="s">
        <v>1875</v>
      </c>
      <c r="D308" s="38" t="s">
        <v>12252</v>
      </c>
      <c r="E308" s="44">
        <v>417</v>
      </c>
      <c r="F308" s="45">
        <v>450795</v>
      </c>
      <c r="G308" s="44">
        <v>451</v>
      </c>
      <c r="H308" s="45">
        <v>417098</v>
      </c>
      <c r="I308" s="45">
        <v>1081.0431654676258</v>
      </c>
      <c r="J308" s="45">
        <v>924.82926829268297</v>
      </c>
      <c r="K308" s="46">
        <v>-0.14450292288501687</v>
      </c>
    </row>
    <row r="309" spans="1:11" x14ac:dyDescent="0.2">
      <c r="A309" s="38" t="s">
        <v>7</v>
      </c>
      <c r="B309" s="38" t="s">
        <v>1876</v>
      </c>
      <c r="C309" s="43" t="s">
        <v>1877</v>
      </c>
      <c r="D309" s="38" t="s">
        <v>12253</v>
      </c>
      <c r="E309" s="44">
        <v>30</v>
      </c>
      <c r="F309" s="45">
        <v>21078</v>
      </c>
      <c r="G309" s="44">
        <v>14</v>
      </c>
      <c r="H309" s="45">
        <v>6775</v>
      </c>
      <c r="I309" s="45">
        <v>702.6</v>
      </c>
      <c r="J309" s="45">
        <v>483.92857142857144</v>
      </c>
      <c r="K309" s="46">
        <v>-0.3112317514537839</v>
      </c>
    </row>
    <row r="310" spans="1:11" x14ac:dyDescent="0.2">
      <c r="A310" s="38" t="s">
        <v>7</v>
      </c>
      <c r="B310" s="38" t="s">
        <v>1878</v>
      </c>
      <c r="C310" s="43" t="s">
        <v>1879</v>
      </c>
      <c r="D310" s="38" t="s">
        <v>12254</v>
      </c>
      <c r="E310" s="44">
        <v>9</v>
      </c>
      <c r="F310" s="45">
        <v>1098</v>
      </c>
      <c r="G310" s="44">
        <v>2</v>
      </c>
      <c r="H310" s="45">
        <v>152</v>
      </c>
      <c r="I310" s="45">
        <v>122</v>
      </c>
      <c r="J310" s="45">
        <v>76</v>
      </c>
      <c r="K310" s="46">
        <v>-0.37704918032786883</v>
      </c>
    </row>
    <row r="311" spans="1:11" x14ac:dyDescent="0.2">
      <c r="A311" s="38" t="s">
        <v>7</v>
      </c>
      <c r="B311" s="38" t="s">
        <v>1881</v>
      </c>
      <c r="C311" s="43" t="s">
        <v>1882</v>
      </c>
      <c r="D311" s="38" t="s">
        <v>12255</v>
      </c>
      <c r="E311" s="44">
        <v>128</v>
      </c>
      <c r="F311" s="45">
        <v>67704</v>
      </c>
      <c r="G311" s="44">
        <v>103</v>
      </c>
      <c r="H311" s="45">
        <v>45093</v>
      </c>
      <c r="I311" s="45">
        <v>528.9375</v>
      </c>
      <c r="J311" s="45">
        <v>437.79611650485435</v>
      </c>
      <c r="K311" s="46">
        <v>-0.17231030791945295</v>
      </c>
    </row>
    <row r="312" spans="1:11" x14ac:dyDescent="0.2">
      <c r="A312" s="38" t="s">
        <v>7</v>
      </c>
      <c r="B312" s="38" t="s">
        <v>1884</v>
      </c>
      <c r="C312" s="43" t="s">
        <v>1885</v>
      </c>
      <c r="D312" s="38" t="s">
        <v>12256</v>
      </c>
      <c r="E312" s="44">
        <v>344</v>
      </c>
      <c r="F312" s="45">
        <v>54040</v>
      </c>
      <c r="G312" s="44">
        <v>325</v>
      </c>
      <c r="H312" s="45">
        <v>47159</v>
      </c>
      <c r="I312" s="45">
        <v>157.09302325581396</v>
      </c>
      <c r="J312" s="45">
        <v>145.10461538461539</v>
      </c>
      <c r="K312" s="46">
        <v>-7.6314069350338812E-2</v>
      </c>
    </row>
    <row r="313" spans="1:11" x14ac:dyDescent="0.2">
      <c r="A313" s="38" t="s">
        <v>7</v>
      </c>
      <c r="B313" s="38" t="s">
        <v>1887</v>
      </c>
      <c r="C313" s="43" t="s">
        <v>1888</v>
      </c>
      <c r="D313" s="38" t="s">
        <v>12257</v>
      </c>
      <c r="G313" s="44">
        <v>17</v>
      </c>
      <c r="H313" s="45">
        <v>1772</v>
      </c>
      <c r="J313" s="45">
        <v>104.23529411764706</v>
      </c>
    </row>
    <row r="314" spans="1:11" x14ac:dyDescent="0.2">
      <c r="A314" s="38" t="s">
        <v>7</v>
      </c>
      <c r="B314" s="38" t="s">
        <v>1889</v>
      </c>
      <c r="C314" s="43" t="s">
        <v>1890</v>
      </c>
      <c r="D314" s="38" t="s">
        <v>12258</v>
      </c>
      <c r="E314" s="44">
        <v>29</v>
      </c>
      <c r="F314" s="45">
        <v>11310</v>
      </c>
      <c r="G314" s="44">
        <v>36</v>
      </c>
      <c r="H314" s="45">
        <v>12066</v>
      </c>
      <c r="I314" s="45">
        <v>390</v>
      </c>
      <c r="J314" s="45">
        <v>335.16666666666669</v>
      </c>
      <c r="K314" s="46">
        <v>-0.14059829059829054</v>
      </c>
    </row>
    <row r="315" spans="1:11" x14ac:dyDescent="0.2">
      <c r="A315" s="38" t="s">
        <v>7</v>
      </c>
      <c r="B315" s="38" t="s">
        <v>1892</v>
      </c>
      <c r="C315" s="43" t="s">
        <v>1893</v>
      </c>
      <c r="D315" s="38" t="s">
        <v>12259</v>
      </c>
      <c r="E315" s="44">
        <v>22</v>
      </c>
      <c r="F315" s="45">
        <v>5370</v>
      </c>
      <c r="G315" s="44">
        <v>20</v>
      </c>
      <c r="H315" s="45">
        <v>5020</v>
      </c>
      <c r="I315" s="45">
        <v>244.09090909090909</v>
      </c>
      <c r="J315" s="45">
        <v>251</v>
      </c>
      <c r="K315" s="46">
        <v>2.8305400372439466E-2</v>
      </c>
    </row>
    <row r="316" spans="1:11" x14ac:dyDescent="0.2">
      <c r="A316" s="38" t="s">
        <v>7</v>
      </c>
      <c r="B316" s="38" t="s">
        <v>1895</v>
      </c>
      <c r="C316" s="43" t="s">
        <v>1896</v>
      </c>
      <c r="D316" s="38" t="s">
        <v>12260</v>
      </c>
      <c r="E316" s="44">
        <v>25</v>
      </c>
      <c r="F316" s="45">
        <v>6899</v>
      </c>
      <c r="G316" s="44">
        <v>9</v>
      </c>
      <c r="H316" s="45">
        <v>2529</v>
      </c>
      <c r="I316" s="45">
        <v>275.95999999999998</v>
      </c>
      <c r="J316" s="45">
        <v>281</v>
      </c>
      <c r="K316" s="46">
        <v>1.8263516451659738E-2</v>
      </c>
    </row>
    <row r="317" spans="1:11" x14ac:dyDescent="0.2">
      <c r="A317" s="38" t="s">
        <v>7</v>
      </c>
      <c r="B317" s="38" t="s">
        <v>1898</v>
      </c>
      <c r="C317" s="43" t="s">
        <v>1899</v>
      </c>
      <c r="D317" s="38" t="s">
        <v>12079</v>
      </c>
      <c r="E317" s="44">
        <v>2665</v>
      </c>
      <c r="F317" s="45">
        <v>2025465</v>
      </c>
      <c r="G317" s="44">
        <v>3255</v>
      </c>
      <c r="H317" s="45">
        <v>2088271</v>
      </c>
      <c r="I317" s="45">
        <v>760.02439024390242</v>
      </c>
      <c r="J317" s="45">
        <v>641.55791090629805</v>
      </c>
      <c r="K317" s="46">
        <v>-0.15587194418798431</v>
      </c>
    </row>
    <row r="318" spans="1:11" x14ac:dyDescent="0.2">
      <c r="A318" s="38" t="s">
        <v>7</v>
      </c>
      <c r="B318" s="38" t="s">
        <v>1901</v>
      </c>
      <c r="C318" s="43" t="s">
        <v>1902</v>
      </c>
      <c r="D318" s="38" t="s">
        <v>12261</v>
      </c>
      <c r="G318" s="44">
        <v>9</v>
      </c>
      <c r="H318" s="45">
        <v>888</v>
      </c>
      <c r="J318" s="45">
        <v>98.666666666666671</v>
      </c>
    </row>
    <row r="319" spans="1:11" x14ac:dyDescent="0.2">
      <c r="A319" s="38" t="s">
        <v>7</v>
      </c>
      <c r="B319" s="38" t="s">
        <v>1904</v>
      </c>
      <c r="C319" s="43" t="s">
        <v>1905</v>
      </c>
      <c r="D319" s="38" t="s">
        <v>12262</v>
      </c>
      <c r="E319" s="44">
        <v>251</v>
      </c>
      <c r="F319" s="45">
        <v>86419</v>
      </c>
      <c r="G319" s="44">
        <v>261</v>
      </c>
      <c r="H319" s="45">
        <v>79029</v>
      </c>
      <c r="I319" s="45">
        <v>344.29880478087648</v>
      </c>
      <c r="J319" s="45">
        <v>302.79310344827587</v>
      </c>
      <c r="K319" s="46">
        <v>-0.12055139534688845</v>
      </c>
    </row>
    <row r="320" spans="1:11" x14ac:dyDescent="0.2">
      <c r="A320" s="38" t="s">
        <v>7</v>
      </c>
      <c r="B320" s="38" t="s">
        <v>1907</v>
      </c>
      <c r="C320" s="43" t="s">
        <v>1908</v>
      </c>
      <c r="D320" s="38" t="s">
        <v>12263</v>
      </c>
      <c r="E320" s="44">
        <v>365</v>
      </c>
      <c r="F320" s="45">
        <v>98115</v>
      </c>
      <c r="G320" s="44">
        <v>244</v>
      </c>
      <c r="H320" s="45">
        <v>58442</v>
      </c>
      <c r="I320" s="45">
        <v>268.8082191780822</v>
      </c>
      <c r="J320" s="45">
        <v>239.51639344262296</v>
      </c>
      <c r="K320" s="46">
        <v>-0.10896923399523643</v>
      </c>
    </row>
    <row r="321" spans="1:11" x14ac:dyDescent="0.2">
      <c r="A321" s="38" t="s">
        <v>7</v>
      </c>
      <c r="B321" s="38" t="s">
        <v>1910</v>
      </c>
      <c r="C321" s="43" t="s">
        <v>1911</v>
      </c>
      <c r="D321" s="38" t="s">
        <v>12264</v>
      </c>
      <c r="E321" s="44">
        <v>23</v>
      </c>
      <c r="F321" s="45">
        <v>29913</v>
      </c>
      <c r="G321" s="44">
        <v>42</v>
      </c>
      <c r="H321" s="45">
        <v>49970</v>
      </c>
      <c r="I321" s="45">
        <v>1300.5652173913043</v>
      </c>
      <c r="J321" s="45">
        <v>1189.7619047619048</v>
      </c>
      <c r="K321" s="46">
        <v>-8.5196275548296299E-2</v>
      </c>
    </row>
    <row r="322" spans="1:11" x14ac:dyDescent="0.2">
      <c r="A322" s="38" t="s">
        <v>7</v>
      </c>
      <c r="B322" s="38" t="s">
        <v>1912</v>
      </c>
      <c r="C322" s="43" t="s">
        <v>1913</v>
      </c>
      <c r="D322" s="38" t="s">
        <v>12265</v>
      </c>
      <c r="E322" s="44">
        <v>16</v>
      </c>
      <c r="F322" s="45">
        <v>10083</v>
      </c>
      <c r="G322" s="44">
        <v>38</v>
      </c>
      <c r="H322" s="45">
        <v>22677</v>
      </c>
      <c r="I322" s="45">
        <v>630.1875</v>
      </c>
      <c r="J322" s="45">
        <v>596.76315789473688</v>
      </c>
      <c r="K322" s="46">
        <v>-5.3038725943093321E-2</v>
      </c>
    </row>
    <row r="323" spans="1:11" x14ac:dyDescent="0.2">
      <c r="A323" s="38" t="s">
        <v>7</v>
      </c>
      <c r="B323" s="38" t="s">
        <v>1914</v>
      </c>
      <c r="C323" s="43" t="s">
        <v>1915</v>
      </c>
      <c r="D323" s="38" t="s">
        <v>12266</v>
      </c>
      <c r="E323" s="44">
        <v>606</v>
      </c>
      <c r="F323" s="45">
        <v>143976</v>
      </c>
      <c r="G323" s="44">
        <v>437</v>
      </c>
      <c r="H323" s="45">
        <v>92357</v>
      </c>
      <c r="I323" s="45">
        <v>237.58415841584159</v>
      </c>
      <c r="J323" s="45">
        <v>211.34324942791761</v>
      </c>
      <c r="K323" s="46">
        <v>-0.11044890014087019</v>
      </c>
    </row>
    <row r="324" spans="1:11" x14ac:dyDescent="0.2">
      <c r="A324" s="38" t="s">
        <v>7</v>
      </c>
      <c r="B324" s="38" t="s">
        <v>1916</v>
      </c>
      <c r="C324" s="43" t="s">
        <v>1917</v>
      </c>
      <c r="D324" s="38" t="s">
        <v>12267</v>
      </c>
      <c r="E324" s="44">
        <v>510</v>
      </c>
      <c r="F324" s="45">
        <v>137090</v>
      </c>
      <c r="G324" s="44">
        <v>380</v>
      </c>
      <c r="H324" s="45">
        <v>92332</v>
      </c>
      <c r="I324" s="45">
        <v>268.80392156862746</v>
      </c>
      <c r="J324" s="45">
        <v>242.97894736842105</v>
      </c>
      <c r="K324" s="46">
        <v>-9.6073651193415058E-2</v>
      </c>
    </row>
    <row r="325" spans="1:11" x14ac:dyDescent="0.2">
      <c r="A325" s="38" t="s">
        <v>7</v>
      </c>
      <c r="B325" s="38" t="s">
        <v>1918</v>
      </c>
      <c r="C325" s="43" t="s">
        <v>1919</v>
      </c>
      <c r="D325" s="38" t="s">
        <v>12268</v>
      </c>
      <c r="E325" s="44">
        <v>4</v>
      </c>
      <c r="F325" s="45">
        <v>1024</v>
      </c>
      <c r="G325" s="44">
        <v>14</v>
      </c>
      <c r="H325" s="45">
        <v>3584</v>
      </c>
      <c r="I325" s="45">
        <v>256</v>
      </c>
      <c r="J325" s="45">
        <v>256</v>
      </c>
      <c r="K325" s="46">
        <v>0</v>
      </c>
    </row>
    <row r="326" spans="1:11" x14ac:dyDescent="0.2">
      <c r="A326" s="38" t="s">
        <v>7</v>
      </c>
      <c r="B326" s="38" t="s">
        <v>1924</v>
      </c>
      <c r="C326" s="43" t="s">
        <v>1925</v>
      </c>
      <c r="D326" s="38" t="s">
        <v>12269</v>
      </c>
      <c r="E326" s="44">
        <v>24</v>
      </c>
      <c r="F326" s="45">
        <v>6618</v>
      </c>
      <c r="G326" s="44">
        <v>18</v>
      </c>
      <c r="H326" s="45">
        <v>3315</v>
      </c>
      <c r="I326" s="45">
        <v>275.75</v>
      </c>
      <c r="J326" s="45">
        <v>184.16666666666666</v>
      </c>
      <c r="K326" s="46">
        <v>-0.33212450891508011</v>
      </c>
    </row>
    <row r="327" spans="1:11" x14ac:dyDescent="0.2">
      <c r="A327" s="38" t="s">
        <v>7</v>
      </c>
      <c r="B327" s="38" t="s">
        <v>1927</v>
      </c>
      <c r="C327" s="43" t="s">
        <v>1928</v>
      </c>
      <c r="D327" s="38" t="s">
        <v>12270</v>
      </c>
      <c r="E327" s="44">
        <v>27314</v>
      </c>
      <c r="F327" s="45">
        <v>9404994</v>
      </c>
      <c r="G327" s="44">
        <v>29339</v>
      </c>
      <c r="H327" s="45">
        <v>8482796</v>
      </c>
      <c r="I327" s="45">
        <v>344.32869590686096</v>
      </c>
      <c r="J327" s="45">
        <v>289.13037254166807</v>
      </c>
      <c r="K327" s="46">
        <v>-0.16030706711741427</v>
      </c>
    </row>
    <row r="328" spans="1:11" x14ac:dyDescent="0.2">
      <c r="A328" s="38" t="s">
        <v>7</v>
      </c>
      <c r="B328" s="38" t="s">
        <v>1930</v>
      </c>
      <c r="C328" s="43" t="s">
        <v>1931</v>
      </c>
      <c r="D328" s="38" t="s">
        <v>12271</v>
      </c>
      <c r="G328" s="44">
        <v>1</v>
      </c>
      <c r="H328" s="45">
        <v>372</v>
      </c>
      <c r="J328" s="45">
        <v>372</v>
      </c>
    </row>
    <row r="329" spans="1:11" x14ac:dyDescent="0.2">
      <c r="A329" s="38" t="s">
        <v>7</v>
      </c>
      <c r="B329" s="38" t="s">
        <v>1932</v>
      </c>
      <c r="C329" s="43" t="s">
        <v>1933</v>
      </c>
      <c r="D329" s="38" t="s">
        <v>12272</v>
      </c>
      <c r="E329" s="44">
        <v>1403</v>
      </c>
      <c r="F329" s="45">
        <v>459058</v>
      </c>
      <c r="G329" s="44">
        <v>1463</v>
      </c>
      <c r="H329" s="45">
        <v>404880</v>
      </c>
      <c r="I329" s="45">
        <v>327.19743406985032</v>
      </c>
      <c r="J329" s="45">
        <v>276.74641148325361</v>
      </c>
      <c r="K329" s="46">
        <v>-0.15419137601129962</v>
      </c>
    </row>
    <row r="330" spans="1:11" x14ac:dyDescent="0.2">
      <c r="A330" s="38" t="s">
        <v>7</v>
      </c>
      <c r="B330" s="38" t="s">
        <v>1935</v>
      </c>
      <c r="C330" s="43" t="s">
        <v>1936</v>
      </c>
      <c r="D330" s="38" t="s">
        <v>12273</v>
      </c>
      <c r="E330" s="44">
        <v>4703</v>
      </c>
      <c r="F330" s="45">
        <v>5191160</v>
      </c>
      <c r="G330" s="44">
        <v>4558</v>
      </c>
      <c r="H330" s="45">
        <v>4716856</v>
      </c>
      <c r="I330" s="45">
        <v>1103.7975760153095</v>
      </c>
      <c r="J330" s="45">
        <v>1034.8521281263713</v>
      </c>
      <c r="K330" s="46">
        <v>-6.2462039586850725E-2</v>
      </c>
    </row>
    <row r="331" spans="1:11" x14ac:dyDescent="0.2">
      <c r="A331" s="38" t="s">
        <v>7</v>
      </c>
      <c r="B331" s="38" t="s">
        <v>1938</v>
      </c>
      <c r="C331" s="43" t="s">
        <v>1939</v>
      </c>
      <c r="D331" s="38" t="s">
        <v>12274</v>
      </c>
      <c r="E331" s="44">
        <v>339</v>
      </c>
      <c r="F331" s="45">
        <v>312843</v>
      </c>
      <c r="G331" s="44">
        <v>359</v>
      </c>
      <c r="H331" s="45">
        <v>286519</v>
      </c>
      <c r="I331" s="45">
        <v>922.84070796460173</v>
      </c>
      <c r="J331" s="45">
        <v>798.10306406685231</v>
      </c>
      <c r="K331" s="46">
        <v>-0.13516703676073</v>
      </c>
    </row>
    <row r="332" spans="1:11" x14ac:dyDescent="0.2">
      <c r="A332" s="38" t="s">
        <v>7</v>
      </c>
      <c r="B332" s="38" t="s">
        <v>1941</v>
      </c>
      <c r="C332" s="43" t="s">
        <v>1942</v>
      </c>
      <c r="D332" s="38" t="s">
        <v>12275</v>
      </c>
      <c r="E332" s="44">
        <v>3250</v>
      </c>
      <c r="F332" s="45">
        <v>1580865</v>
      </c>
      <c r="G332" s="44">
        <v>3580</v>
      </c>
      <c r="H332" s="45">
        <v>1524242</v>
      </c>
      <c r="I332" s="45">
        <v>486.42</v>
      </c>
      <c r="J332" s="45">
        <v>425.76592178770949</v>
      </c>
      <c r="K332" s="46">
        <v>-0.124694869068481</v>
      </c>
    </row>
    <row r="333" spans="1:11" x14ac:dyDescent="0.2">
      <c r="A333" s="38" t="s">
        <v>7</v>
      </c>
      <c r="B333" s="38" t="s">
        <v>1944</v>
      </c>
      <c r="C333" s="43" t="s">
        <v>1945</v>
      </c>
      <c r="D333" s="38" t="s">
        <v>12276</v>
      </c>
      <c r="E333" s="44">
        <v>369</v>
      </c>
      <c r="F333" s="45">
        <v>52273</v>
      </c>
      <c r="G333" s="44">
        <v>403</v>
      </c>
      <c r="H333" s="45">
        <v>49715</v>
      </c>
      <c r="I333" s="45">
        <v>141.66124661246613</v>
      </c>
      <c r="J333" s="45">
        <v>123.3622828784119</v>
      </c>
      <c r="K333" s="46">
        <v>-0.12917409786823042</v>
      </c>
    </row>
    <row r="334" spans="1:11" x14ac:dyDescent="0.2">
      <c r="A334" s="38" t="s">
        <v>7</v>
      </c>
      <c r="B334" s="38" t="s">
        <v>1946</v>
      </c>
      <c r="C334" s="43" t="s">
        <v>1947</v>
      </c>
      <c r="D334" s="38" t="s">
        <v>12277</v>
      </c>
      <c r="E334" s="44">
        <v>0</v>
      </c>
      <c r="F334" s="45">
        <v>0</v>
      </c>
      <c r="G334" s="44">
        <v>1</v>
      </c>
      <c r="H334" s="45">
        <v>243</v>
      </c>
      <c r="J334" s="45">
        <v>243</v>
      </c>
    </row>
    <row r="335" spans="1:11" x14ac:dyDescent="0.2">
      <c r="A335" s="38" t="s">
        <v>7</v>
      </c>
      <c r="B335" s="38" t="s">
        <v>1949</v>
      </c>
      <c r="C335" s="43" t="s">
        <v>1950</v>
      </c>
      <c r="D335" s="38" t="s">
        <v>12278</v>
      </c>
      <c r="E335" s="44">
        <v>114</v>
      </c>
      <c r="F335" s="45">
        <v>45884</v>
      </c>
      <c r="G335" s="44">
        <v>83</v>
      </c>
      <c r="H335" s="45">
        <v>26423</v>
      </c>
      <c r="I335" s="45">
        <v>402.49122807017545</v>
      </c>
      <c r="J335" s="45">
        <v>318.34939759036143</v>
      </c>
      <c r="K335" s="46">
        <v>-0.20905258204818233</v>
      </c>
    </row>
    <row r="336" spans="1:11" x14ac:dyDescent="0.2">
      <c r="A336" s="38" t="s">
        <v>7</v>
      </c>
      <c r="B336" s="38" t="s">
        <v>1951</v>
      </c>
      <c r="C336" s="43" t="s">
        <v>1952</v>
      </c>
      <c r="D336" s="38" t="s">
        <v>12279</v>
      </c>
      <c r="E336" s="44">
        <v>339</v>
      </c>
      <c r="F336" s="45">
        <v>258379</v>
      </c>
      <c r="G336" s="44">
        <v>267</v>
      </c>
      <c r="H336" s="45">
        <v>178527</v>
      </c>
      <c r="I336" s="45">
        <v>762.17994100294982</v>
      </c>
      <c r="J336" s="45">
        <v>668.64044943820227</v>
      </c>
      <c r="K336" s="46">
        <v>-0.12272625732141319</v>
      </c>
    </row>
    <row r="337" spans="1:11" x14ac:dyDescent="0.2">
      <c r="A337" s="38" t="s">
        <v>7</v>
      </c>
      <c r="B337" s="38" t="s">
        <v>1957</v>
      </c>
      <c r="C337" s="43" t="s">
        <v>1958</v>
      </c>
      <c r="D337" s="38" t="s">
        <v>12280</v>
      </c>
      <c r="E337" s="44">
        <v>3639</v>
      </c>
      <c r="F337" s="45">
        <v>2739597</v>
      </c>
      <c r="G337" s="44">
        <v>3518</v>
      </c>
      <c r="H337" s="45">
        <v>2276565</v>
      </c>
      <c r="I337" s="45">
        <v>752.84336356141796</v>
      </c>
      <c r="J337" s="45">
        <v>647.11910176236495</v>
      </c>
      <c r="K337" s="46">
        <v>-0.14043327857591972</v>
      </c>
    </row>
    <row r="338" spans="1:11" x14ac:dyDescent="0.2">
      <c r="A338" s="38" t="s">
        <v>7</v>
      </c>
      <c r="B338" s="38" t="s">
        <v>1960</v>
      </c>
      <c r="C338" s="43" t="s">
        <v>1961</v>
      </c>
      <c r="D338" s="38" t="s">
        <v>12281</v>
      </c>
      <c r="E338" s="44">
        <v>364</v>
      </c>
      <c r="F338" s="45">
        <v>241982</v>
      </c>
      <c r="G338" s="44">
        <v>234</v>
      </c>
      <c r="H338" s="45">
        <v>133213</v>
      </c>
      <c r="I338" s="45">
        <v>664.78571428571433</v>
      </c>
      <c r="J338" s="45">
        <v>569.28632478632483</v>
      </c>
      <c r="K338" s="46">
        <v>-0.14365439486316245</v>
      </c>
    </row>
    <row r="339" spans="1:11" x14ac:dyDescent="0.2">
      <c r="A339" s="38" t="s">
        <v>7</v>
      </c>
      <c r="B339" s="38" t="s">
        <v>1963</v>
      </c>
      <c r="C339" s="43" t="s">
        <v>1964</v>
      </c>
      <c r="D339" s="38" t="s">
        <v>12282</v>
      </c>
      <c r="E339" s="44">
        <v>4623</v>
      </c>
      <c r="F339" s="45">
        <v>3294957</v>
      </c>
      <c r="G339" s="44">
        <v>4930</v>
      </c>
      <c r="H339" s="45">
        <v>3022160</v>
      </c>
      <c r="I339" s="45">
        <v>712.73134328358208</v>
      </c>
      <c r="J339" s="45">
        <v>613.01419878296144</v>
      </c>
      <c r="K339" s="46">
        <v>-0.13990845981491387</v>
      </c>
    </row>
    <row r="340" spans="1:11" x14ac:dyDescent="0.2">
      <c r="A340" s="38" t="s">
        <v>7</v>
      </c>
      <c r="B340" s="38" t="s">
        <v>1965</v>
      </c>
      <c r="C340" s="43" t="s">
        <v>1966</v>
      </c>
      <c r="D340" s="38" t="s">
        <v>12283</v>
      </c>
      <c r="E340" s="44">
        <v>9643</v>
      </c>
      <c r="F340" s="45">
        <v>4958455</v>
      </c>
      <c r="G340" s="44">
        <v>12880</v>
      </c>
      <c r="H340" s="45">
        <v>5374188</v>
      </c>
      <c r="I340" s="45">
        <v>514.20253033288395</v>
      </c>
      <c r="J340" s="45">
        <v>417.25062111801242</v>
      </c>
      <c r="K340" s="46">
        <v>-0.18854809826024563</v>
      </c>
    </row>
    <row r="341" spans="1:11" x14ac:dyDescent="0.2">
      <c r="A341" s="38" t="s">
        <v>7</v>
      </c>
      <c r="B341" s="38" t="s">
        <v>1967</v>
      </c>
      <c r="C341" s="43" t="s">
        <v>1968</v>
      </c>
      <c r="D341" s="38" t="s">
        <v>12284</v>
      </c>
      <c r="E341" s="44">
        <v>617</v>
      </c>
      <c r="F341" s="45">
        <v>373340</v>
      </c>
      <c r="G341" s="44">
        <v>635</v>
      </c>
      <c r="H341" s="45">
        <v>345195</v>
      </c>
      <c r="I341" s="45">
        <v>605.0891410048622</v>
      </c>
      <c r="J341" s="45">
        <v>543.61417322834643</v>
      </c>
      <c r="K341" s="46">
        <v>-0.10159654769944348</v>
      </c>
    </row>
    <row r="342" spans="1:11" x14ac:dyDescent="0.2">
      <c r="A342" s="38" t="s">
        <v>7</v>
      </c>
      <c r="B342" s="38" t="s">
        <v>1969</v>
      </c>
      <c r="C342" s="43" t="s">
        <v>1970</v>
      </c>
      <c r="D342" s="38" t="s">
        <v>12285</v>
      </c>
      <c r="G342" s="44">
        <v>1</v>
      </c>
      <c r="H342" s="45">
        <v>214</v>
      </c>
      <c r="J342" s="45">
        <v>214</v>
      </c>
    </row>
    <row r="343" spans="1:11" x14ac:dyDescent="0.2">
      <c r="A343" s="38" t="s">
        <v>7</v>
      </c>
      <c r="B343" s="38" t="s">
        <v>1972</v>
      </c>
      <c r="C343" s="43" t="s">
        <v>1973</v>
      </c>
      <c r="D343" s="38" t="s">
        <v>12286</v>
      </c>
      <c r="E343" s="44">
        <v>2227</v>
      </c>
      <c r="F343" s="45">
        <v>1211029</v>
      </c>
      <c r="G343" s="44">
        <v>3270</v>
      </c>
      <c r="H343" s="45">
        <v>1454466</v>
      </c>
      <c r="I343" s="45">
        <v>543.79389312977094</v>
      </c>
      <c r="J343" s="45">
        <v>444.79082568807337</v>
      </c>
      <c r="K343" s="46">
        <v>-0.18205991036767946</v>
      </c>
    </row>
    <row r="344" spans="1:11" x14ac:dyDescent="0.2">
      <c r="A344" s="38" t="s">
        <v>7</v>
      </c>
      <c r="B344" s="38" t="s">
        <v>1974</v>
      </c>
      <c r="C344" s="43" t="s">
        <v>1975</v>
      </c>
      <c r="D344" s="38" t="s">
        <v>12287</v>
      </c>
      <c r="E344" s="44">
        <v>354</v>
      </c>
      <c r="F344" s="45">
        <v>118364</v>
      </c>
      <c r="G344" s="44">
        <v>450</v>
      </c>
      <c r="H344" s="45">
        <v>127697</v>
      </c>
      <c r="I344" s="45">
        <v>334.36158192090397</v>
      </c>
      <c r="J344" s="45">
        <v>283.77111111111111</v>
      </c>
      <c r="K344" s="46">
        <v>-0.15130467597129763</v>
      </c>
    </row>
    <row r="345" spans="1:11" x14ac:dyDescent="0.2">
      <c r="A345" s="38" t="s">
        <v>7</v>
      </c>
      <c r="B345" s="38" t="s">
        <v>1976</v>
      </c>
      <c r="C345" s="43" t="s">
        <v>1977</v>
      </c>
      <c r="D345" s="38" t="s">
        <v>12288</v>
      </c>
      <c r="E345" s="44">
        <v>23</v>
      </c>
      <c r="F345" s="45">
        <v>3780</v>
      </c>
      <c r="G345" s="44">
        <v>45</v>
      </c>
      <c r="H345" s="45">
        <v>6865</v>
      </c>
      <c r="I345" s="45">
        <v>164.34782608695653</v>
      </c>
      <c r="J345" s="45">
        <v>152.55555555555554</v>
      </c>
      <c r="K345" s="46">
        <v>-7.1751910640799652E-2</v>
      </c>
    </row>
    <row r="346" spans="1:11" x14ac:dyDescent="0.2">
      <c r="A346" s="38" t="s">
        <v>7</v>
      </c>
      <c r="B346" s="38" t="s">
        <v>1978</v>
      </c>
      <c r="C346" s="43" t="s">
        <v>1979</v>
      </c>
      <c r="D346" s="38" t="s">
        <v>12289</v>
      </c>
      <c r="E346" s="44">
        <v>29</v>
      </c>
      <c r="F346" s="45">
        <v>5254</v>
      </c>
      <c r="G346" s="44">
        <v>8</v>
      </c>
      <c r="H346" s="45">
        <v>1148</v>
      </c>
      <c r="I346" s="45">
        <v>181.17241379310346</v>
      </c>
      <c r="J346" s="45">
        <v>143.5</v>
      </c>
      <c r="K346" s="46">
        <v>-0.20793681004948616</v>
      </c>
    </row>
    <row r="347" spans="1:11" x14ac:dyDescent="0.2">
      <c r="A347" s="38" t="s">
        <v>7</v>
      </c>
      <c r="B347" s="38" t="s">
        <v>1980</v>
      </c>
      <c r="C347" s="43" t="s">
        <v>1981</v>
      </c>
      <c r="D347" s="38" t="s">
        <v>12290</v>
      </c>
      <c r="E347" s="44">
        <v>226</v>
      </c>
      <c r="F347" s="45">
        <v>51835</v>
      </c>
      <c r="G347" s="44">
        <v>214</v>
      </c>
      <c r="H347" s="45">
        <v>43378</v>
      </c>
      <c r="I347" s="45">
        <v>229.35840707964601</v>
      </c>
      <c r="J347" s="45">
        <v>202.70093457943926</v>
      </c>
      <c r="K347" s="46">
        <v>-0.11622627153557878</v>
      </c>
    </row>
    <row r="348" spans="1:11" x14ac:dyDescent="0.2">
      <c r="A348" s="38" t="s">
        <v>7</v>
      </c>
      <c r="B348" s="38" t="s">
        <v>1982</v>
      </c>
      <c r="C348" s="43" t="s">
        <v>1983</v>
      </c>
      <c r="D348" s="38" t="s">
        <v>12290</v>
      </c>
      <c r="E348" s="44">
        <v>1</v>
      </c>
      <c r="F348" s="45">
        <v>341</v>
      </c>
      <c r="G348" s="44">
        <v>0</v>
      </c>
      <c r="H348" s="45">
        <v>0</v>
      </c>
      <c r="I348" s="45">
        <v>341</v>
      </c>
    </row>
    <row r="349" spans="1:11" x14ac:dyDescent="0.2">
      <c r="A349" s="38" t="s">
        <v>7</v>
      </c>
      <c r="B349" s="38" t="s">
        <v>1984</v>
      </c>
      <c r="C349" s="43" t="s">
        <v>1985</v>
      </c>
      <c r="D349" s="38" t="s">
        <v>12291</v>
      </c>
      <c r="E349" s="44">
        <v>24</v>
      </c>
      <c r="F349" s="45">
        <v>5538</v>
      </c>
      <c r="G349" s="44">
        <v>19</v>
      </c>
      <c r="H349" s="45">
        <v>3058</v>
      </c>
      <c r="I349" s="45">
        <v>230.75</v>
      </c>
      <c r="J349" s="45">
        <v>160.94736842105263</v>
      </c>
      <c r="K349" s="46">
        <v>-0.30250327878200378</v>
      </c>
    </row>
    <row r="350" spans="1:11" x14ac:dyDescent="0.2">
      <c r="A350" s="38" t="s">
        <v>7</v>
      </c>
      <c r="B350" s="38" t="s">
        <v>1990</v>
      </c>
      <c r="C350" s="43" t="s">
        <v>1991</v>
      </c>
      <c r="D350" s="38" t="s">
        <v>12292</v>
      </c>
      <c r="G350" s="44">
        <v>203</v>
      </c>
      <c r="H350" s="45">
        <v>26379</v>
      </c>
      <c r="J350" s="45">
        <v>129.94581280788177</v>
      </c>
    </row>
    <row r="351" spans="1:11" x14ac:dyDescent="0.2">
      <c r="A351" s="38" t="s">
        <v>7</v>
      </c>
      <c r="B351" s="38" t="s">
        <v>1992</v>
      </c>
      <c r="C351" s="43" t="s">
        <v>1993</v>
      </c>
      <c r="D351" s="38" t="s">
        <v>12293</v>
      </c>
      <c r="E351" s="44">
        <v>327</v>
      </c>
      <c r="F351" s="45">
        <v>90051</v>
      </c>
      <c r="G351" s="44">
        <v>356</v>
      </c>
      <c r="H351" s="45">
        <v>85512</v>
      </c>
      <c r="I351" s="45">
        <v>275.38532110091745</v>
      </c>
      <c r="J351" s="45">
        <v>240.20224719101122</v>
      </c>
      <c r="K351" s="46">
        <v>-0.1277594381910177</v>
      </c>
    </row>
    <row r="352" spans="1:11" x14ac:dyDescent="0.2">
      <c r="A352" s="38" t="s">
        <v>7</v>
      </c>
      <c r="B352" s="38" t="s">
        <v>1994</v>
      </c>
      <c r="C352" s="43" t="s">
        <v>1995</v>
      </c>
      <c r="D352" s="38" t="s">
        <v>12294</v>
      </c>
      <c r="E352" s="44">
        <v>21</v>
      </c>
      <c r="F352" s="45">
        <v>12696</v>
      </c>
      <c r="G352" s="44">
        <v>7</v>
      </c>
      <c r="H352" s="45">
        <v>3690</v>
      </c>
      <c r="I352" s="45">
        <v>604.57142857142856</v>
      </c>
      <c r="J352" s="45">
        <v>527.14285714285711</v>
      </c>
      <c r="K352" s="46">
        <v>-0.12807183364839322</v>
      </c>
    </row>
    <row r="353" spans="1:11" x14ac:dyDescent="0.2">
      <c r="A353" s="38" t="s">
        <v>7</v>
      </c>
      <c r="B353" s="38" t="s">
        <v>1997</v>
      </c>
      <c r="C353" s="43" t="s">
        <v>1998</v>
      </c>
      <c r="D353" s="38" t="s">
        <v>12087</v>
      </c>
      <c r="E353" s="44">
        <v>1864</v>
      </c>
      <c r="F353" s="45">
        <v>1527738</v>
      </c>
      <c r="G353" s="44">
        <v>1648</v>
      </c>
      <c r="H353" s="45">
        <v>1168386</v>
      </c>
      <c r="I353" s="45">
        <v>819.6019313304721</v>
      </c>
      <c r="J353" s="45">
        <v>708.97208737864082</v>
      </c>
      <c r="K353" s="46">
        <v>-0.13497996981564475</v>
      </c>
    </row>
    <row r="354" spans="1:11" x14ac:dyDescent="0.2">
      <c r="A354" s="38" t="s">
        <v>7</v>
      </c>
      <c r="B354" s="38" t="s">
        <v>1999</v>
      </c>
      <c r="C354" s="43" t="s">
        <v>2000</v>
      </c>
      <c r="D354" s="38" t="s">
        <v>12295</v>
      </c>
      <c r="E354" s="44">
        <v>6</v>
      </c>
      <c r="F354" s="45">
        <v>1677</v>
      </c>
      <c r="G354" s="44">
        <v>2</v>
      </c>
      <c r="H354" s="45">
        <v>566</v>
      </c>
      <c r="I354" s="45">
        <v>279.5</v>
      </c>
      <c r="J354" s="45">
        <v>283</v>
      </c>
      <c r="K354" s="46">
        <v>1.2522361359570662E-2</v>
      </c>
    </row>
    <row r="355" spans="1:11" x14ac:dyDescent="0.2">
      <c r="A355" s="38" t="s">
        <v>7</v>
      </c>
      <c r="B355" s="38" t="s">
        <v>2002</v>
      </c>
      <c r="C355" s="43" t="s">
        <v>2003</v>
      </c>
      <c r="D355" s="38" t="s">
        <v>12296</v>
      </c>
      <c r="E355" s="44">
        <v>6</v>
      </c>
      <c r="F355" s="45">
        <v>1766</v>
      </c>
      <c r="G355" s="44">
        <v>2</v>
      </c>
      <c r="H355" s="45">
        <v>596</v>
      </c>
      <c r="I355" s="45">
        <v>294.33333333333331</v>
      </c>
      <c r="J355" s="45">
        <v>298</v>
      </c>
      <c r="K355" s="46">
        <v>1.2457531143827924E-2</v>
      </c>
    </row>
    <row r="356" spans="1:11" x14ac:dyDescent="0.2">
      <c r="A356" s="38" t="s">
        <v>7</v>
      </c>
      <c r="B356" s="38" t="s">
        <v>2005</v>
      </c>
      <c r="C356" s="43" t="s">
        <v>2006</v>
      </c>
      <c r="D356" s="38" t="s">
        <v>12297</v>
      </c>
      <c r="E356" s="44">
        <v>157</v>
      </c>
      <c r="F356" s="45">
        <v>80394</v>
      </c>
      <c r="G356" s="44">
        <v>199</v>
      </c>
      <c r="H356" s="45">
        <v>86483</v>
      </c>
      <c r="I356" s="45">
        <v>512.06369426751587</v>
      </c>
      <c r="J356" s="45">
        <v>434.58793969849245</v>
      </c>
      <c r="K356" s="46">
        <v>-0.15130101086320719</v>
      </c>
    </row>
    <row r="357" spans="1:11" x14ac:dyDescent="0.2">
      <c r="A357" s="38" t="s">
        <v>7</v>
      </c>
      <c r="B357" s="38" t="s">
        <v>2008</v>
      </c>
      <c r="C357" s="43" t="s">
        <v>2009</v>
      </c>
      <c r="D357" s="38" t="s">
        <v>12298</v>
      </c>
      <c r="G357" s="44">
        <v>3</v>
      </c>
      <c r="H357" s="45">
        <v>504</v>
      </c>
      <c r="J357" s="45">
        <v>168</v>
      </c>
    </row>
    <row r="358" spans="1:11" x14ac:dyDescent="0.2">
      <c r="A358" s="38" t="s">
        <v>7</v>
      </c>
      <c r="B358" s="38" t="s">
        <v>2011</v>
      </c>
      <c r="C358" s="43" t="s">
        <v>2012</v>
      </c>
      <c r="D358" s="38" t="s">
        <v>12299</v>
      </c>
      <c r="G358" s="44">
        <v>15</v>
      </c>
      <c r="H358" s="45">
        <v>1913</v>
      </c>
      <c r="J358" s="45">
        <v>127.53333333333333</v>
      </c>
    </row>
    <row r="359" spans="1:11" x14ac:dyDescent="0.2">
      <c r="A359" s="38" t="s">
        <v>7</v>
      </c>
      <c r="B359" s="38" t="s">
        <v>2014</v>
      </c>
      <c r="C359" s="43" t="s">
        <v>2015</v>
      </c>
      <c r="D359" s="38" t="s">
        <v>12300</v>
      </c>
      <c r="E359" s="44">
        <v>119</v>
      </c>
      <c r="F359" s="45">
        <v>57417</v>
      </c>
      <c r="G359" s="44">
        <v>92</v>
      </c>
      <c r="H359" s="45">
        <v>37373</v>
      </c>
      <c r="I359" s="45">
        <v>482.49579831932772</v>
      </c>
      <c r="J359" s="45">
        <v>406.22826086956519</v>
      </c>
      <c r="K359" s="46">
        <v>-0.15806881161540556</v>
      </c>
    </row>
    <row r="360" spans="1:11" x14ac:dyDescent="0.2">
      <c r="A360" s="38" t="s">
        <v>7</v>
      </c>
      <c r="B360" s="38" t="s">
        <v>2016</v>
      </c>
      <c r="C360" s="43" t="s">
        <v>2017</v>
      </c>
      <c r="D360" s="38" t="s">
        <v>12301</v>
      </c>
      <c r="E360" s="44">
        <v>95</v>
      </c>
      <c r="F360" s="45">
        <v>58045</v>
      </c>
      <c r="G360" s="44">
        <v>168</v>
      </c>
      <c r="H360" s="45">
        <v>84152</v>
      </c>
      <c r="I360" s="45">
        <v>611</v>
      </c>
      <c r="J360" s="45">
        <v>500.90476190476193</v>
      </c>
      <c r="K360" s="46">
        <v>-0.18018860572052059</v>
      </c>
    </row>
    <row r="361" spans="1:11" x14ac:dyDescent="0.2">
      <c r="A361" s="38" t="s">
        <v>7</v>
      </c>
      <c r="B361" s="38" t="s">
        <v>2018</v>
      </c>
      <c r="C361" s="43" t="s">
        <v>2019</v>
      </c>
      <c r="D361" s="38" t="s">
        <v>12302</v>
      </c>
      <c r="E361" s="44">
        <v>114</v>
      </c>
      <c r="F361" s="45">
        <v>21628</v>
      </c>
      <c r="G361" s="44">
        <v>104</v>
      </c>
      <c r="H361" s="45">
        <v>17660</v>
      </c>
      <c r="I361" s="45">
        <v>189.71929824561403</v>
      </c>
      <c r="J361" s="45">
        <v>169.80769230769232</v>
      </c>
      <c r="K361" s="46">
        <v>-0.10495298117824461</v>
      </c>
    </row>
    <row r="362" spans="1:11" x14ac:dyDescent="0.2">
      <c r="A362" s="38" t="s">
        <v>7</v>
      </c>
      <c r="B362" s="38" t="s">
        <v>2020</v>
      </c>
      <c r="C362" s="43" t="s">
        <v>2021</v>
      </c>
      <c r="D362" s="38" t="s">
        <v>12303</v>
      </c>
      <c r="E362" s="44">
        <v>492</v>
      </c>
      <c r="F362" s="45">
        <v>96255</v>
      </c>
      <c r="G362" s="44">
        <v>587</v>
      </c>
      <c r="H362" s="45">
        <v>108160</v>
      </c>
      <c r="I362" s="45">
        <v>195.64024390243901</v>
      </c>
      <c r="J362" s="45">
        <v>184.25894378194207</v>
      </c>
      <c r="K362" s="46">
        <v>-5.8174636738709651E-2</v>
      </c>
    </row>
    <row r="363" spans="1:11" x14ac:dyDescent="0.2">
      <c r="A363" s="38" t="s">
        <v>7</v>
      </c>
      <c r="B363" s="38" t="s">
        <v>2023</v>
      </c>
      <c r="C363" s="43" t="s">
        <v>2024</v>
      </c>
      <c r="D363" s="38" t="s">
        <v>12075</v>
      </c>
      <c r="E363" s="44">
        <v>31656</v>
      </c>
      <c r="F363" s="45">
        <v>21138981</v>
      </c>
      <c r="G363" s="44">
        <v>34106</v>
      </c>
      <c r="H363" s="45">
        <v>19585782</v>
      </c>
      <c r="I363" s="45">
        <v>667.77170204700531</v>
      </c>
      <c r="J363" s="45">
        <v>574.26206532574918</v>
      </c>
      <c r="K363" s="46">
        <v>-0.14003234404005019</v>
      </c>
    </row>
    <row r="364" spans="1:11" x14ac:dyDescent="0.2">
      <c r="A364" s="38" t="s">
        <v>7</v>
      </c>
      <c r="B364" s="38" t="s">
        <v>2026</v>
      </c>
      <c r="C364" s="43" t="s">
        <v>2027</v>
      </c>
      <c r="D364" s="38" t="s">
        <v>12304</v>
      </c>
      <c r="E364" s="44">
        <v>2037</v>
      </c>
      <c r="F364" s="45">
        <v>1572330</v>
      </c>
      <c r="G364" s="44">
        <v>2168</v>
      </c>
      <c r="H364" s="45">
        <v>1473376</v>
      </c>
      <c r="I364" s="45">
        <v>771.88512518409425</v>
      </c>
      <c r="J364" s="45">
        <v>679.60147601476012</v>
      </c>
      <c r="K364" s="46">
        <v>-0.11955619580999766</v>
      </c>
    </row>
    <row r="365" spans="1:11" x14ac:dyDescent="0.2">
      <c r="A365" s="38" t="s">
        <v>7</v>
      </c>
      <c r="B365" s="38" t="s">
        <v>2029</v>
      </c>
      <c r="C365" s="43" t="s">
        <v>2030</v>
      </c>
      <c r="D365" s="38" t="s">
        <v>12305</v>
      </c>
      <c r="G365" s="44">
        <v>98</v>
      </c>
      <c r="H365" s="45">
        <v>75896</v>
      </c>
      <c r="J365" s="45">
        <v>774.44897959183675</v>
      </c>
    </row>
    <row r="366" spans="1:11" x14ac:dyDescent="0.2">
      <c r="A366" s="38" t="s">
        <v>7</v>
      </c>
      <c r="B366" s="38" t="s">
        <v>2032</v>
      </c>
      <c r="C366" s="43" t="s">
        <v>1852</v>
      </c>
      <c r="D366" s="38" t="s">
        <v>12246</v>
      </c>
      <c r="E366" s="44">
        <v>5035</v>
      </c>
      <c r="F366" s="45">
        <v>3607508</v>
      </c>
      <c r="G366" s="44">
        <v>4224</v>
      </c>
      <c r="H366" s="45">
        <v>3066962</v>
      </c>
      <c r="I366" s="45">
        <v>716.48619662363456</v>
      </c>
      <c r="J366" s="45">
        <v>726.08001893939399</v>
      </c>
      <c r="K366" s="46">
        <v>1.3390100689963481E-2</v>
      </c>
    </row>
    <row r="367" spans="1:11" x14ac:dyDescent="0.2">
      <c r="A367" s="38" t="s">
        <v>7</v>
      </c>
      <c r="B367" s="38" t="s">
        <v>2033</v>
      </c>
      <c r="C367" s="43" t="s">
        <v>2034</v>
      </c>
      <c r="D367" s="38" t="s">
        <v>12306</v>
      </c>
      <c r="E367" s="44">
        <v>11</v>
      </c>
      <c r="F367" s="45">
        <v>1752</v>
      </c>
      <c r="G367" s="44">
        <v>12</v>
      </c>
      <c r="H367" s="45">
        <v>1366</v>
      </c>
      <c r="I367" s="45">
        <v>159.27272727272728</v>
      </c>
      <c r="J367" s="45">
        <v>113.83333333333333</v>
      </c>
      <c r="K367" s="46">
        <v>-0.28529299847793005</v>
      </c>
    </row>
    <row r="368" spans="1:11" x14ac:dyDescent="0.2">
      <c r="A368" s="38" t="s">
        <v>7</v>
      </c>
      <c r="B368" s="38" t="s">
        <v>2035</v>
      </c>
      <c r="C368" s="43" t="s">
        <v>2036</v>
      </c>
      <c r="D368" s="38" t="s">
        <v>12085</v>
      </c>
      <c r="E368" s="44">
        <v>6122</v>
      </c>
      <c r="F368" s="45">
        <v>3517808</v>
      </c>
      <c r="G368" s="44">
        <v>6458</v>
      </c>
      <c r="H368" s="45">
        <v>3196284</v>
      </c>
      <c r="I368" s="45">
        <v>574.61744527932046</v>
      </c>
      <c r="J368" s="45">
        <v>494.93403530504798</v>
      </c>
      <c r="K368" s="46">
        <v>-0.13867210372552913</v>
      </c>
    </row>
    <row r="369" spans="1:11" x14ac:dyDescent="0.2">
      <c r="A369" s="38" t="s">
        <v>7</v>
      </c>
      <c r="B369" s="38" t="s">
        <v>2038</v>
      </c>
      <c r="C369" s="43" t="s">
        <v>2039</v>
      </c>
      <c r="D369" s="38" t="s">
        <v>12307</v>
      </c>
      <c r="E369" s="44">
        <v>373</v>
      </c>
      <c r="F369" s="45">
        <v>81714</v>
      </c>
      <c r="G369" s="44">
        <v>294</v>
      </c>
      <c r="H369" s="45">
        <v>57009</v>
      </c>
      <c r="I369" s="45">
        <v>219.07238605898124</v>
      </c>
      <c r="J369" s="45">
        <v>193.90816326530611</v>
      </c>
      <c r="K369" s="46">
        <v>-0.11486715987518444</v>
      </c>
    </row>
    <row r="370" spans="1:11" x14ac:dyDescent="0.2">
      <c r="A370" s="38" t="s">
        <v>7</v>
      </c>
      <c r="B370" s="38" t="s">
        <v>2040</v>
      </c>
      <c r="C370" s="43" t="s">
        <v>2041</v>
      </c>
      <c r="D370" s="38" t="s">
        <v>12083</v>
      </c>
      <c r="E370" s="44">
        <v>6472</v>
      </c>
      <c r="F370" s="45">
        <v>3450680</v>
      </c>
      <c r="G370" s="44">
        <v>7428</v>
      </c>
      <c r="H370" s="45">
        <v>3449099</v>
      </c>
      <c r="I370" s="45">
        <v>533.17058096415326</v>
      </c>
      <c r="J370" s="45">
        <v>464.33750673128702</v>
      </c>
      <c r="K370" s="46">
        <v>-0.12910141086252863</v>
      </c>
    </row>
    <row r="371" spans="1:11" x14ac:dyDescent="0.2">
      <c r="A371" s="38" t="s">
        <v>7</v>
      </c>
      <c r="B371" s="38" t="s">
        <v>2042</v>
      </c>
      <c r="C371" s="43" t="s">
        <v>2043</v>
      </c>
      <c r="D371" s="38" t="s">
        <v>12308</v>
      </c>
      <c r="E371" s="44">
        <v>56</v>
      </c>
      <c r="F371" s="45">
        <v>37030</v>
      </c>
      <c r="G371" s="44">
        <v>61</v>
      </c>
      <c r="H371" s="45">
        <v>39408</v>
      </c>
      <c r="I371" s="45">
        <v>661.25</v>
      </c>
      <c r="J371" s="45">
        <v>646.03278688524586</v>
      </c>
      <c r="K371" s="46">
        <v>-2.3012798661253907E-2</v>
      </c>
    </row>
    <row r="372" spans="1:11" x14ac:dyDescent="0.2">
      <c r="A372" s="38" t="s">
        <v>7</v>
      </c>
      <c r="B372" s="38" t="s">
        <v>2045</v>
      </c>
      <c r="C372" s="43" t="s">
        <v>2046</v>
      </c>
      <c r="D372" s="38" t="s">
        <v>12309</v>
      </c>
      <c r="E372" s="44">
        <v>611</v>
      </c>
      <c r="F372" s="45">
        <v>358372</v>
      </c>
      <c r="G372" s="44">
        <v>679</v>
      </c>
      <c r="H372" s="45">
        <v>361931</v>
      </c>
      <c r="I372" s="45">
        <v>586.53355155482814</v>
      </c>
      <c r="J372" s="45">
        <v>533.0353460972018</v>
      </c>
      <c r="K372" s="46">
        <v>-9.1210818743120828E-2</v>
      </c>
    </row>
    <row r="373" spans="1:11" x14ac:dyDescent="0.2">
      <c r="A373" s="38" t="s">
        <v>7</v>
      </c>
      <c r="B373" s="38" t="s">
        <v>2048</v>
      </c>
      <c r="C373" s="43" t="s">
        <v>2049</v>
      </c>
      <c r="D373" s="38" t="s">
        <v>12310</v>
      </c>
      <c r="E373" s="44">
        <v>14</v>
      </c>
      <c r="F373" s="45">
        <v>14203</v>
      </c>
      <c r="G373" s="44">
        <v>21</v>
      </c>
      <c r="H373" s="45">
        <v>20274</v>
      </c>
      <c r="I373" s="45">
        <v>1014.5</v>
      </c>
      <c r="J373" s="45">
        <v>965.42857142857144</v>
      </c>
      <c r="K373" s="46">
        <v>-4.8370062662817702E-2</v>
      </c>
    </row>
    <row r="374" spans="1:11" x14ac:dyDescent="0.2">
      <c r="A374" s="38" t="s">
        <v>7</v>
      </c>
      <c r="B374" s="38" t="s">
        <v>2051</v>
      </c>
      <c r="C374" s="43" t="s">
        <v>2052</v>
      </c>
      <c r="D374" s="38" t="s">
        <v>12311</v>
      </c>
      <c r="E374" s="44">
        <v>48</v>
      </c>
      <c r="F374" s="45">
        <v>13140</v>
      </c>
      <c r="G374" s="44">
        <v>35</v>
      </c>
      <c r="H374" s="45">
        <v>9204</v>
      </c>
      <c r="I374" s="45">
        <v>273.75</v>
      </c>
      <c r="J374" s="45">
        <v>262.97142857142859</v>
      </c>
      <c r="K374" s="46">
        <v>-3.937377690802342E-2</v>
      </c>
    </row>
    <row r="375" spans="1:11" x14ac:dyDescent="0.2">
      <c r="A375" s="38" t="s">
        <v>7</v>
      </c>
      <c r="B375" s="38" t="s">
        <v>2057</v>
      </c>
      <c r="C375" s="43" t="s">
        <v>2058</v>
      </c>
      <c r="D375" s="38" t="s">
        <v>12312</v>
      </c>
      <c r="E375" s="44">
        <v>981</v>
      </c>
      <c r="F375" s="45">
        <v>373484</v>
      </c>
      <c r="G375" s="44">
        <v>1046</v>
      </c>
      <c r="H375" s="45">
        <v>362708</v>
      </c>
      <c r="I375" s="45">
        <v>380.71763506625894</v>
      </c>
      <c r="J375" s="45">
        <v>346.7571701720841</v>
      </c>
      <c r="K375" s="46">
        <v>-8.9201186827777126E-2</v>
      </c>
    </row>
    <row r="376" spans="1:11" x14ac:dyDescent="0.2">
      <c r="A376" s="38" t="s">
        <v>7</v>
      </c>
      <c r="B376" s="38" t="s">
        <v>2059</v>
      </c>
      <c r="C376" s="43" t="s">
        <v>2060</v>
      </c>
      <c r="D376" s="38" t="s">
        <v>12313</v>
      </c>
      <c r="E376" s="44">
        <v>9</v>
      </c>
      <c r="F376" s="45">
        <v>3611.88</v>
      </c>
      <c r="G376" s="44">
        <v>8</v>
      </c>
      <c r="H376" s="45">
        <v>3316</v>
      </c>
      <c r="I376" s="45">
        <v>401.32</v>
      </c>
      <c r="J376" s="45">
        <v>414.5</v>
      </c>
      <c r="K376" s="46">
        <v>3.2841622645270623E-2</v>
      </c>
    </row>
    <row r="377" spans="1:11" x14ac:dyDescent="0.2">
      <c r="A377" s="38" t="s">
        <v>7</v>
      </c>
      <c r="B377" s="38" t="s">
        <v>2062</v>
      </c>
      <c r="C377" s="43" t="s">
        <v>2063</v>
      </c>
      <c r="D377" s="38" t="s">
        <v>12314</v>
      </c>
      <c r="E377" s="44">
        <v>1107</v>
      </c>
      <c r="F377" s="45">
        <v>418636</v>
      </c>
      <c r="G377" s="44">
        <v>1185</v>
      </c>
      <c r="H377" s="45">
        <v>397303</v>
      </c>
      <c r="I377" s="45">
        <v>378.17163504968386</v>
      </c>
      <c r="J377" s="45">
        <v>335.27679324894513</v>
      </c>
      <c r="K377" s="46">
        <v>-0.11342691472643961</v>
      </c>
    </row>
    <row r="378" spans="1:11" x14ac:dyDescent="0.2">
      <c r="A378" s="38" t="s">
        <v>7</v>
      </c>
      <c r="B378" s="38" t="s">
        <v>2064</v>
      </c>
      <c r="C378" s="43" t="s">
        <v>2065</v>
      </c>
      <c r="D378" s="38" t="s">
        <v>12315</v>
      </c>
      <c r="E378" s="44">
        <v>1703</v>
      </c>
      <c r="F378" s="45">
        <v>312796</v>
      </c>
      <c r="G378" s="44">
        <v>764</v>
      </c>
      <c r="H378" s="45">
        <v>136699</v>
      </c>
      <c r="I378" s="45">
        <v>183.67351732237228</v>
      </c>
      <c r="J378" s="45">
        <v>178.92539267015707</v>
      </c>
      <c r="K378" s="46">
        <v>-2.5850894137784703E-2</v>
      </c>
    </row>
    <row r="379" spans="1:11" x14ac:dyDescent="0.2">
      <c r="A379" s="38" t="s">
        <v>7</v>
      </c>
      <c r="B379" s="38" t="s">
        <v>2070</v>
      </c>
      <c r="C379" s="43" t="s">
        <v>2071</v>
      </c>
      <c r="D379" s="38" t="s">
        <v>12316</v>
      </c>
      <c r="E379" s="44">
        <v>791</v>
      </c>
      <c r="F379" s="45">
        <v>340252</v>
      </c>
      <c r="G379" s="44">
        <v>907</v>
      </c>
      <c r="H379" s="45">
        <v>355048</v>
      </c>
      <c r="I379" s="45">
        <v>430.1542351453856</v>
      </c>
      <c r="J379" s="45">
        <v>391.45314222712238</v>
      </c>
      <c r="K379" s="46">
        <v>-8.9970270559309576E-2</v>
      </c>
    </row>
    <row r="380" spans="1:11" x14ac:dyDescent="0.2">
      <c r="A380" s="38" t="s">
        <v>7</v>
      </c>
      <c r="B380" s="38" t="s">
        <v>2073</v>
      </c>
      <c r="C380" s="43" t="s">
        <v>2074</v>
      </c>
      <c r="D380" s="38" t="s">
        <v>12317</v>
      </c>
      <c r="G380" s="44">
        <v>1</v>
      </c>
      <c r="H380" s="45">
        <v>341</v>
      </c>
      <c r="J380" s="45">
        <v>341</v>
      </c>
    </row>
    <row r="381" spans="1:11" x14ac:dyDescent="0.2">
      <c r="A381" s="38" t="s">
        <v>7</v>
      </c>
      <c r="B381" s="38" t="s">
        <v>2076</v>
      </c>
      <c r="C381" s="43" t="s">
        <v>2077</v>
      </c>
      <c r="D381" s="38" t="s">
        <v>12318</v>
      </c>
      <c r="E381" s="44">
        <v>27</v>
      </c>
      <c r="F381" s="45">
        <v>10063</v>
      </c>
      <c r="G381" s="44">
        <v>45</v>
      </c>
      <c r="H381" s="45">
        <v>16683</v>
      </c>
      <c r="I381" s="45">
        <v>372.7037037037037</v>
      </c>
      <c r="J381" s="45">
        <v>370.73333333333335</v>
      </c>
      <c r="K381" s="46">
        <v>-5.2866938288780047E-3</v>
      </c>
    </row>
    <row r="382" spans="1:11" x14ac:dyDescent="0.2">
      <c r="A382" s="38" t="s">
        <v>7</v>
      </c>
      <c r="B382" s="38" t="s">
        <v>2079</v>
      </c>
      <c r="C382" s="43" t="s">
        <v>2080</v>
      </c>
      <c r="D382" s="38" t="s">
        <v>12319</v>
      </c>
      <c r="E382" s="44">
        <v>92</v>
      </c>
      <c r="F382" s="45">
        <v>36656.480000000003</v>
      </c>
      <c r="G382" s="44">
        <v>174</v>
      </c>
      <c r="H382" s="45">
        <v>69315.360000000001</v>
      </c>
      <c r="I382" s="45">
        <v>398.44000000000005</v>
      </c>
      <c r="J382" s="45">
        <v>398.36413793103446</v>
      </c>
      <c r="K382" s="46">
        <v>-1.9039772353576781E-4</v>
      </c>
    </row>
    <row r="383" spans="1:11" x14ac:dyDescent="0.2">
      <c r="A383" s="38" t="s">
        <v>7</v>
      </c>
      <c r="B383" s="38" t="s">
        <v>2081</v>
      </c>
      <c r="C383" s="43" t="s">
        <v>2082</v>
      </c>
      <c r="D383" s="38" t="s">
        <v>12320</v>
      </c>
      <c r="E383" s="44">
        <v>86</v>
      </c>
      <c r="F383" s="45">
        <v>14932.18</v>
      </c>
      <c r="G383" s="44">
        <v>111</v>
      </c>
      <c r="H383" s="45">
        <v>19272.93</v>
      </c>
      <c r="I383" s="45">
        <v>173.63</v>
      </c>
      <c r="J383" s="45">
        <v>173.63</v>
      </c>
      <c r="K383" s="46">
        <v>0</v>
      </c>
    </row>
    <row r="384" spans="1:11" x14ac:dyDescent="0.2">
      <c r="A384" s="38" t="s">
        <v>7</v>
      </c>
      <c r="B384" s="38" t="s">
        <v>2083</v>
      </c>
      <c r="C384" s="43" t="s">
        <v>2084</v>
      </c>
      <c r="D384" s="38" t="s">
        <v>12321</v>
      </c>
      <c r="E384" s="44">
        <v>214</v>
      </c>
      <c r="F384" s="45">
        <v>232402</v>
      </c>
      <c r="G384" s="44">
        <v>269</v>
      </c>
      <c r="H384" s="45">
        <v>251051</v>
      </c>
      <c r="I384" s="45">
        <v>1085.9906542056074</v>
      </c>
      <c r="J384" s="45">
        <v>933.27509293680293</v>
      </c>
      <c r="K384" s="46">
        <v>-0.140623273945681</v>
      </c>
    </row>
    <row r="385" spans="1:11" x14ac:dyDescent="0.2">
      <c r="A385" s="38" t="s">
        <v>7</v>
      </c>
      <c r="B385" s="38" t="s">
        <v>2086</v>
      </c>
      <c r="C385" s="43" t="s">
        <v>2087</v>
      </c>
      <c r="D385" s="38" t="s">
        <v>12321</v>
      </c>
      <c r="E385" s="44">
        <v>15</v>
      </c>
      <c r="F385" s="45">
        <v>15904</v>
      </c>
      <c r="G385" s="44">
        <v>10</v>
      </c>
      <c r="H385" s="45">
        <v>7700</v>
      </c>
      <c r="I385" s="45">
        <v>1060.2666666666667</v>
      </c>
      <c r="J385" s="45">
        <v>770</v>
      </c>
      <c r="K385" s="46">
        <v>-0.27376760563380281</v>
      </c>
    </row>
    <row r="386" spans="1:11" x14ac:dyDescent="0.2">
      <c r="A386" s="38" t="s">
        <v>7</v>
      </c>
      <c r="B386" s="38" t="s">
        <v>2088</v>
      </c>
      <c r="C386" s="43" t="s">
        <v>2089</v>
      </c>
      <c r="D386" s="38" t="s">
        <v>12322</v>
      </c>
      <c r="E386" s="44">
        <v>5086</v>
      </c>
      <c r="F386" s="45">
        <v>7581117</v>
      </c>
      <c r="G386" s="44">
        <v>4312</v>
      </c>
      <c r="H386" s="45">
        <v>5564063</v>
      </c>
      <c r="I386" s="45">
        <v>1490.5853322847031</v>
      </c>
      <c r="J386" s="45">
        <v>1290.3671150278294</v>
      </c>
      <c r="K386" s="46">
        <v>-0.13432187538702536</v>
      </c>
    </row>
    <row r="387" spans="1:11" x14ac:dyDescent="0.2">
      <c r="A387" s="38" t="s">
        <v>7</v>
      </c>
      <c r="B387" s="38" t="s">
        <v>2093</v>
      </c>
      <c r="C387" s="43" t="s">
        <v>2094</v>
      </c>
      <c r="D387" s="38" t="s">
        <v>12323</v>
      </c>
      <c r="E387" s="44">
        <v>107</v>
      </c>
      <c r="F387" s="45">
        <v>111334</v>
      </c>
      <c r="G387" s="44">
        <v>134</v>
      </c>
      <c r="H387" s="45">
        <v>115670</v>
      </c>
      <c r="I387" s="45">
        <v>1040.5046728971963</v>
      </c>
      <c r="J387" s="45">
        <v>863.20895522388059</v>
      </c>
      <c r="K387" s="46">
        <v>-0.17039396582396016</v>
      </c>
    </row>
    <row r="388" spans="1:11" x14ac:dyDescent="0.2">
      <c r="A388" s="38" t="s">
        <v>7</v>
      </c>
      <c r="B388" s="38" t="s">
        <v>2096</v>
      </c>
      <c r="C388" s="43" t="s">
        <v>2097</v>
      </c>
      <c r="D388" s="38" t="s">
        <v>12321</v>
      </c>
      <c r="E388" s="44">
        <v>295</v>
      </c>
      <c r="F388" s="45">
        <v>345390</v>
      </c>
      <c r="G388" s="44">
        <v>252</v>
      </c>
      <c r="H388" s="45">
        <v>273488</v>
      </c>
      <c r="I388" s="45">
        <v>1170.8135593220338</v>
      </c>
      <c r="J388" s="45">
        <v>1085.2698412698412</v>
      </c>
      <c r="K388" s="46">
        <v>-7.3063484250837668E-2</v>
      </c>
    </row>
    <row r="389" spans="1:11" x14ac:dyDescent="0.2">
      <c r="A389" s="38" t="s">
        <v>7</v>
      </c>
      <c r="B389" s="38" t="s">
        <v>2098</v>
      </c>
      <c r="C389" s="43" t="s">
        <v>2099</v>
      </c>
      <c r="D389" s="38" t="s">
        <v>12324</v>
      </c>
      <c r="G389" s="44">
        <v>1</v>
      </c>
      <c r="H389" s="45">
        <v>114</v>
      </c>
      <c r="J389" s="45">
        <v>114</v>
      </c>
    </row>
    <row r="390" spans="1:11" x14ac:dyDescent="0.2">
      <c r="A390" s="38" t="s">
        <v>7</v>
      </c>
      <c r="B390" s="38" t="s">
        <v>2101</v>
      </c>
      <c r="C390" s="43" t="s">
        <v>2102</v>
      </c>
      <c r="D390" s="38" t="s">
        <v>12321</v>
      </c>
      <c r="E390" s="44">
        <v>27</v>
      </c>
      <c r="F390" s="45">
        <v>25542</v>
      </c>
      <c r="G390" s="44">
        <v>18</v>
      </c>
      <c r="H390" s="45">
        <v>16759</v>
      </c>
      <c r="I390" s="45">
        <v>946</v>
      </c>
      <c r="J390" s="45">
        <v>931.05555555555554</v>
      </c>
      <c r="K390" s="46">
        <v>-1.5797509983556508E-2</v>
      </c>
    </row>
    <row r="391" spans="1:11" x14ac:dyDescent="0.2">
      <c r="A391" s="38" t="s">
        <v>7</v>
      </c>
      <c r="B391" s="38" t="s">
        <v>2103</v>
      </c>
      <c r="C391" s="43" t="s">
        <v>2104</v>
      </c>
      <c r="D391" s="38" t="s">
        <v>12321</v>
      </c>
      <c r="E391" s="44">
        <v>6</v>
      </c>
      <c r="F391" s="45">
        <v>6432</v>
      </c>
      <c r="G391" s="44">
        <v>10</v>
      </c>
      <c r="H391" s="45">
        <v>9330</v>
      </c>
      <c r="I391" s="45">
        <v>1072</v>
      </c>
      <c r="J391" s="45">
        <v>933</v>
      </c>
      <c r="K391" s="46">
        <v>-0.12966417910447761</v>
      </c>
    </row>
    <row r="392" spans="1:11" x14ac:dyDescent="0.2">
      <c r="A392" s="38" t="s">
        <v>7</v>
      </c>
      <c r="B392" s="38" t="s">
        <v>2105</v>
      </c>
      <c r="C392" s="43" t="s">
        <v>2106</v>
      </c>
      <c r="D392" s="38" t="s">
        <v>12321</v>
      </c>
      <c r="E392" s="44">
        <v>3</v>
      </c>
      <c r="F392" s="45">
        <v>2910</v>
      </c>
      <c r="G392" s="44">
        <v>5</v>
      </c>
      <c r="H392" s="45">
        <v>4149</v>
      </c>
      <c r="I392" s="45">
        <v>970</v>
      </c>
      <c r="J392" s="45">
        <v>829.8</v>
      </c>
      <c r="K392" s="46">
        <v>-0.14453608247422686</v>
      </c>
    </row>
    <row r="393" spans="1:11" x14ac:dyDescent="0.2">
      <c r="A393" s="38" t="s">
        <v>7</v>
      </c>
      <c r="B393" s="38" t="s">
        <v>2107</v>
      </c>
      <c r="C393" s="43" t="s">
        <v>2108</v>
      </c>
      <c r="D393" s="38" t="s">
        <v>12321</v>
      </c>
      <c r="E393" s="44">
        <v>160</v>
      </c>
      <c r="F393" s="45">
        <v>158565</v>
      </c>
      <c r="G393" s="44">
        <v>204</v>
      </c>
      <c r="H393" s="45">
        <v>184506</v>
      </c>
      <c r="I393" s="45">
        <v>991.03125</v>
      </c>
      <c r="J393" s="45">
        <v>904.44117647058829</v>
      </c>
      <c r="K393" s="46">
        <v>-8.7373706459217826E-2</v>
      </c>
    </row>
    <row r="394" spans="1:11" x14ac:dyDescent="0.2">
      <c r="A394" s="38" t="s">
        <v>7</v>
      </c>
      <c r="B394" s="38" t="s">
        <v>2113</v>
      </c>
      <c r="C394" s="43" t="s">
        <v>2114</v>
      </c>
      <c r="D394" s="38" t="s">
        <v>12325</v>
      </c>
      <c r="E394" s="44">
        <v>253</v>
      </c>
      <c r="F394" s="45">
        <v>274293</v>
      </c>
      <c r="G394" s="44">
        <v>251</v>
      </c>
      <c r="H394" s="45">
        <v>253639</v>
      </c>
      <c r="I394" s="45">
        <v>1084.1620553359685</v>
      </c>
      <c r="J394" s="45">
        <v>1010.5139442231076</v>
      </c>
      <c r="K394" s="46">
        <v>-6.7930906408671748E-2</v>
      </c>
    </row>
    <row r="395" spans="1:11" x14ac:dyDescent="0.2">
      <c r="A395" s="38" t="s">
        <v>7</v>
      </c>
      <c r="B395" s="38" t="s">
        <v>2116</v>
      </c>
      <c r="C395" s="43" t="s">
        <v>2117</v>
      </c>
      <c r="D395" s="38" t="s">
        <v>12321</v>
      </c>
      <c r="E395" s="44">
        <v>22</v>
      </c>
      <c r="F395" s="45">
        <v>21608</v>
      </c>
      <c r="G395" s="44">
        <v>14</v>
      </c>
      <c r="H395" s="45">
        <v>11066</v>
      </c>
      <c r="I395" s="45">
        <v>982.18181818181813</v>
      </c>
      <c r="J395" s="45">
        <v>790.42857142857144</v>
      </c>
      <c r="K395" s="46">
        <v>-0.19523192468397943</v>
      </c>
    </row>
    <row r="396" spans="1:11" x14ac:dyDescent="0.2">
      <c r="A396" s="38" t="s">
        <v>7</v>
      </c>
      <c r="B396" s="38" t="s">
        <v>2118</v>
      </c>
      <c r="C396" s="43" t="s">
        <v>2119</v>
      </c>
      <c r="D396" s="38" t="s">
        <v>12326</v>
      </c>
      <c r="E396" s="44">
        <v>4796</v>
      </c>
      <c r="F396" s="45">
        <v>5675284</v>
      </c>
      <c r="G396" s="44">
        <v>4876</v>
      </c>
      <c r="H396" s="45">
        <v>5158616</v>
      </c>
      <c r="I396" s="45">
        <v>1183.3369474562135</v>
      </c>
      <c r="J396" s="45">
        <v>1057.9606234618541</v>
      </c>
      <c r="K396" s="46">
        <v>-0.10595149949798946</v>
      </c>
    </row>
    <row r="397" spans="1:11" x14ac:dyDescent="0.2">
      <c r="A397" s="38" t="s">
        <v>7</v>
      </c>
      <c r="B397" s="38" t="s">
        <v>2121</v>
      </c>
      <c r="C397" s="43" t="s">
        <v>2122</v>
      </c>
      <c r="D397" s="38" t="s">
        <v>12327</v>
      </c>
      <c r="E397" s="44">
        <v>125</v>
      </c>
      <c r="F397" s="45">
        <v>49335</v>
      </c>
      <c r="G397" s="44">
        <v>95</v>
      </c>
      <c r="H397" s="45">
        <v>35387</v>
      </c>
      <c r="I397" s="45">
        <v>394.68</v>
      </c>
      <c r="J397" s="45">
        <v>372.49473684210528</v>
      </c>
      <c r="K397" s="46">
        <v>-5.6210761016252976E-2</v>
      </c>
    </row>
    <row r="398" spans="1:11" x14ac:dyDescent="0.2">
      <c r="A398" s="38" t="s">
        <v>7</v>
      </c>
      <c r="B398" s="38" t="s">
        <v>2124</v>
      </c>
      <c r="C398" s="43" t="s">
        <v>2125</v>
      </c>
      <c r="D398" s="38" t="s">
        <v>12328</v>
      </c>
      <c r="E398" s="44">
        <v>44</v>
      </c>
      <c r="F398" s="45">
        <v>33698</v>
      </c>
      <c r="G398" s="44">
        <v>52</v>
      </c>
      <c r="H398" s="45">
        <v>34446</v>
      </c>
      <c r="I398" s="45">
        <v>765.86363636363637</v>
      </c>
      <c r="J398" s="45">
        <v>662.42307692307691</v>
      </c>
      <c r="K398" s="46">
        <v>-0.13506393896921529</v>
      </c>
    </row>
    <row r="399" spans="1:11" x14ac:dyDescent="0.2">
      <c r="A399" s="38" t="s">
        <v>7</v>
      </c>
      <c r="B399" s="38" t="s">
        <v>2127</v>
      </c>
      <c r="C399" s="43" t="s">
        <v>2128</v>
      </c>
      <c r="D399" s="38" t="s">
        <v>12321</v>
      </c>
      <c r="E399" s="44">
        <v>499</v>
      </c>
      <c r="F399" s="45">
        <v>576326</v>
      </c>
      <c r="G399" s="44">
        <v>525</v>
      </c>
      <c r="H399" s="45">
        <v>530033</v>
      </c>
      <c r="I399" s="45">
        <v>1154.9619238476953</v>
      </c>
      <c r="J399" s="45">
        <v>1009.5866666666667</v>
      </c>
      <c r="K399" s="46">
        <v>-0.12587017301550385</v>
      </c>
    </row>
    <row r="400" spans="1:11" x14ac:dyDescent="0.2">
      <c r="A400" s="38" t="s">
        <v>7</v>
      </c>
      <c r="B400" s="38" t="s">
        <v>2129</v>
      </c>
      <c r="C400" s="43" t="s">
        <v>2130</v>
      </c>
      <c r="D400" s="38" t="s">
        <v>12327</v>
      </c>
      <c r="G400" s="44">
        <v>1</v>
      </c>
      <c r="H400" s="45">
        <v>245</v>
      </c>
      <c r="J400" s="45">
        <v>245</v>
      </c>
    </row>
    <row r="401" spans="1:11" x14ac:dyDescent="0.2">
      <c r="A401" s="38" t="s">
        <v>7</v>
      </c>
      <c r="B401" s="38" t="s">
        <v>2131</v>
      </c>
      <c r="C401" s="43" t="s">
        <v>2132</v>
      </c>
      <c r="D401" s="38" t="s">
        <v>12329</v>
      </c>
      <c r="E401" s="44">
        <v>1861</v>
      </c>
      <c r="F401" s="45">
        <v>1780454</v>
      </c>
      <c r="G401" s="44">
        <v>2026</v>
      </c>
      <c r="H401" s="45">
        <v>1691694</v>
      </c>
      <c r="I401" s="45">
        <v>956.71896829661478</v>
      </c>
      <c r="J401" s="45">
        <v>834.99210266535044</v>
      </c>
      <c r="K401" s="46">
        <v>-0.12723367014243722</v>
      </c>
    </row>
    <row r="402" spans="1:11" x14ac:dyDescent="0.2">
      <c r="A402" s="38" t="s">
        <v>7</v>
      </c>
      <c r="B402" s="38" t="s">
        <v>2134</v>
      </c>
      <c r="C402" s="43" t="s">
        <v>2135</v>
      </c>
      <c r="D402" s="38" t="s">
        <v>12330</v>
      </c>
      <c r="E402" s="44">
        <v>62</v>
      </c>
      <c r="F402" s="45">
        <v>4864</v>
      </c>
      <c r="G402" s="44">
        <v>68</v>
      </c>
      <c r="H402" s="45">
        <v>5022</v>
      </c>
      <c r="I402" s="45">
        <v>78.451612903225808</v>
      </c>
      <c r="J402" s="45">
        <v>73.852941176470594</v>
      </c>
      <c r="K402" s="46">
        <v>-5.8617937306501493E-2</v>
      </c>
    </row>
    <row r="403" spans="1:11" x14ac:dyDescent="0.2">
      <c r="A403" s="38" t="s">
        <v>7</v>
      </c>
      <c r="B403" s="38" t="s">
        <v>2137</v>
      </c>
      <c r="C403" s="43" t="s">
        <v>2138</v>
      </c>
      <c r="D403" s="38" t="s">
        <v>12331</v>
      </c>
      <c r="E403" s="44">
        <v>339</v>
      </c>
      <c r="F403" s="45">
        <v>135510</v>
      </c>
      <c r="G403" s="44">
        <v>326</v>
      </c>
      <c r="H403" s="45">
        <v>121564</v>
      </c>
      <c r="I403" s="45">
        <v>399.73451327433628</v>
      </c>
      <c r="J403" s="45">
        <v>372.89570552147239</v>
      </c>
      <c r="K403" s="46">
        <v>-6.7141582379314127E-2</v>
      </c>
    </row>
    <row r="404" spans="1:11" x14ac:dyDescent="0.2">
      <c r="A404" s="38" t="s">
        <v>7</v>
      </c>
      <c r="B404" s="38" t="s">
        <v>2140</v>
      </c>
      <c r="C404" s="43" t="s">
        <v>2141</v>
      </c>
      <c r="D404" s="38" t="s">
        <v>12332</v>
      </c>
      <c r="E404" s="44">
        <v>28</v>
      </c>
      <c r="F404" s="45">
        <v>7224</v>
      </c>
      <c r="G404" s="44">
        <v>20</v>
      </c>
      <c r="H404" s="45">
        <v>4836</v>
      </c>
      <c r="I404" s="45">
        <v>258</v>
      </c>
      <c r="J404" s="45">
        <v>241.8</v>
      </c>
      <c r="K404" s="46">
        <v>-6.2790697674418555E-2</v>
      </c>
    </row>
    <row r="405" spans="1:11" x14ac:dyDescent="0.2">
      <c r="A405" s="38" t="s">
        <v>7</v>
      </c>
      <c r="B405" s="38" t="s">
        <v>2143</v>
      </c>
      <c r="C405" s="43" t="s">
        <v>2144</v>
      </c>
      <c r="D405" s="38" t="s">
        <v>12332</v>
      </c>
      <c r="G405" s="44">
        <v>4</v>
      </c>
      <c r="H405" s="45">
        <v>941</v>
      </c>
      <c r="J405" s="45">
        <v>235.25</v>
      </c>
    </row>
    <row r="406" spans="1:11" x14ac:dyDescent="0.2">
      <c r="A406" s="38" t="s">
        <v>7</v>
      </c>
      <c r="B406" s="38" t="s">
        <v>2145</v>
      </c>
      <c r="C406" s="43" t="s">
        <v>2146</v>
      </c>
      <c r="D406" s="38" t="s">
        <v>12332</v>
      </c>
      <c r="E406" s="44">
        <v>7</v>
      </c>
      <c r="F406" s="45">
        <v>1999</v>
      </c>
      <c r="G406" s="44">
        <v>8</v>
      </c>
      <c r="H406" s="45">
        <v>2202</v>
      </c>
      <c r="I406" s="45">
        <v>285.57142857142856</v>
      </c>
      <c r="J406" s="45">
        <v>275.25</v>
      </c>
      <c r="K406" s="46">
        <v>-3.6143071535767832E-2</v>
      </c>
    </row>
    <row r="407" spans="1:11" x14ac:dyDescent="0.2">
      <c r="A407" s="38" t="s">
        <v>7</v>
      </c>
      <c r="B407" s="38" t="s">
        <v>2147</v>
      </c>
      <c r="C407" s="43" t="s">
        <v>2148</v>
      </c>
      <c r="D407" s="38" t="s">
        <v>12089</v>
      </c>
      <c r="E407" s="44">
        <v>10619</v>
      </c>
      <c r="F407" s="45">
        <v>9866437</v>
      </c>
      <c r="G407" s="44">
        <v>11964</v>
      </c>
      <c r="H407" s="45">
        <v>9858472</v>
      </c>
      <c r="I407" s="45">
        <v>929.13052076466715</v>
      </c>
      <c r="J407" s="45">
        <v>824.0113674356403</v>
      </c>
      <c r="K407" s="46">
        <v>-0.1131371222662179</v>
      </c>
    </row>
    <row r="408" spans="1:11" x14ac:dyDescent="0.2">
      <c r="A408" s="38" t="s">
        <v>7</v>
      </c>
      <c r="B408" s="38" t="s">
        <v>2149</v>
      </c>
      <c r="C408" s="43" t="s">
        <v>2150</v>
      </c>
      <c r="D408" s="38" t="s">
        <v>12333</v>
      </c>
      <c r="E408" s="44">
        <v>155</v>
      </c>
      <c r="F408" s="45">
        <v>71160</v>
      </c>
      <c r="G408" s="44">
        <v>168</v>
      </c>
      <c r="H408" s="45">
        <v>71288</v>
      </c>
      <c r="I408" s="45">
        <v>459.09677419354841</v>
      </c>
      <c r="J408" s="45">
        <v>424.33333333333331</v>
      </c>
      <c r="K408" s="46">
        <v>-7.5721379051901905E-2</v>
      </c>
    </row>
    <row r="409" spans="1:11" x14ac:dyDescent="0.2">
      <c r="A409" s="38" t="s">
        <v>7</v>
      </c>
      <c r="B409" s="38" t="s">
        <v>2158</v>
      </c>
      <c r="C409" s="43" t="s">
        <v>2159</v>
      </c>
      <c r="D409" s="38" t="s">
        <v>12334</v>
      </c>
      <c r="E409" s="44">
        <v>2448</v>
      </c>
      <c r="F409" s="45">
        <v>934981</v>
      </c>
      <c r="G409" s="44">
        <v>4105</v>
      </c>
      <c r="H409" s="45">
        <v>1584530</v>
      </c>
      <c r="I409" s="45">
        <v>381.93668300653593</v>
      </c>
      <c r="J409" s="45">
        <v>386</v>
      </c>
      <c r="K409" s="46">
        <v>1.0638718861666755E-2</v>
      </c>
    </row>
    <row r="410" spans="1:11" x14ac:dyDescent="0.2">
      <c r="A410" s="38" t="s">
        <v>7</v>
      </c>
      <c r="B410" s="38" t="s">
        <v>2161</v>
      </c>
      <c r="C410" s="43" t="s">
        <v>2162</v>
      </c>
      <c r="D410" s="38" t="s">
        <v>12334</v>
      </c>
      <c r="E410" s="44">
        <v>2448</v>
      </c>
      <c r="F410" s="45">
        <v>934981</v>
      </c>
      <c r="G410" s="44">
        <v>4105</v>
      </c>
      <c r="H410" s="45">
        <v>1584530</v>
      </c>
      <c r="I410" s="45">
        <v>381.93668300653593</v>
      </c>
      <c r="J410" s="45">
        <v>386</v>
      </c>
      <c r="K410" s="46">
        <v>1.0638718861666755E-2</v>
      </c>
    </row>
    <row r="411" spans="1:11" x14ac:dyDescent="0.2">
      <c r="A411" s="38" t="s">
        <v>7</v>
      </c>
      <c r="B411" s="38" t="s">
        <v>2164</v>
      </c>
      <c r="C411" s="43" t="s">
        <v>2165</v>
      </c>
      <c r="D411" s="38" t="s">
        <v>12331</v>
      </c>
      <c r="E411" s="44">
        <v>99</v>
      </c>
      <c r="F411" s="45">
        <v>31338</v>
      </c>
      <c r="G411" s="44">
        <v>103</v>
      </c>
      <c r="H411" s="45">
        <v>31334</v>
      </c>
      <c r="I411" s="45">
        <v>316.54545454545456</v>
      </c>
      <c r="J411" s="45">
        <v>304.21359223300971</v>
      </c>
      <c r="K411" s="46">
        <v>-3.8957635105368579E-2</v>
      </c>
    </row>
    <row r="412" spans="1:11" x14ac:dyDescent="0.2">
      <c r="A412" s="38" t="s">
        <v>7</v>
      </c>
      <c r="B412" s="38" t="s">
        <v>2167</v>
      </c>
      <c r="C412" s="43" t="s">
        <v>2168</v>
      </c>
      <c r="D412" s="38" t="s">
        <v>12335</v>
      </c>
      <c r="E412" s="44">
        <v>1862</v>
      </c>
      <c r="F412" s="45">
        <v>1790964</v>
      </c>
      <c r="G412" s="44">
        <v>2014</v>
      </c>
      <c r="H412" s="45">
        <v>1704600</v>
      </c>
      <c r="I412" s="45">
        <v>961.8496240601504</v>
      </c>
      <c r="J412" s="45">
        <v>846.37537239324729</v>
      </c>
      <c r="K412" s="46">
        <v>-0.12005437105590822</v>
      </c>
    </row>
    <row r="413" spans="1:11" x14ac:dyDescent="0.2">
      <c r="A413" s="38" t="s">
        <v>7</v>
      </c>
      <c r="B413" s="38" t="s">
        <v>2170</v>
      </c>
      <c r="C413" s="43" t="s">
        <v>2171</v>
      </c>
      <c r="D413" s="38" t="s">
        <v>12336</v>
      </c>
      <c r="E413" s="44">
        <v>14</v>
      </c>
      <c r="F413" s="45">
        <v>6624</v>
      </c>
      <c r="G413" s="44">
        <v>13</v>
      </c>
      <c r="H413" s="45">
        <v>6318</v>
      </c>
      <c r="I413" s="45">
        <v>473.14285714285717</v>
      </c>
      <c r="J413" s="45">
        <v>486</v>
      </c>
      <c r="K413" s="46">
        <v>2.7173913043478208E-2</v>
      </c>
    </row>
    <row r="414" spans="1:11" x14ac:dyDescent="0.2">
      <c r="A414" s="38" t="s">
        <v>7</v>
      </c>
      <c r="B414" s="38" t="s">
        <v>2173</v>
      </c>
      <c r="C414" s="43" t="s">
        <v>2174</v>
      </c>
      <c r="D414" s="38" t="s">
        <v>12327</v>
      </c>
      <c r="E414" s="44">
        <v>1496</v>
      </c>
      <c r="F414" s="45">
        <v>262533</v>
      </c>
      <c r="G414" s="44">
        <v>1415</v>
      </c>
      <c r="H414" s="45">
        <v>262700</v>
      </c>
      <c r="I414" s="45">
        <v>175.48997326203209</v>
      </c>
      <c r="J414" s="45">
        <v>185.65371024734984</v>
      </c>
      <c r="K414" s="46">
        <v>5.7916340155467462E-2</v>
      </c>
    </row>
    <row r="415" spans="1:11" x14ac:dyDescent="0.2">
      <c r="A415" s="38" t="s">
        <v>7</v>
      </c>
      <c r="B415" s="38" t="s">
        <v>2175</v>
      </c>
      <c r="C415" s="43" t="s">
        <v>2176</v>
      </c>
      <c r="D415" s="38" t="s">
        <v>12337</v>
      </c>
      <c r="E415" s="44">
        <v>137</v>
      </c>
      <c r="F415" s="45">
        <v>55739</v>
      </c>
      <c r="G415" s="44">
        <v>154</v>
      </c>
      <c r="H415" s="45">
        <v>63910</v>
      </c>
      <c r="I415" s="45">
        <v>406.85401459854012</v>
      </c>
      <c r="J415" s="45">
        <v>415</v>
      </c>
      <c r="K415" s="46">
        <v>2.0021887726726421E-2</v>
      </c>
    </row>
    <row r="416" spans="1:11" x14ac:dyDescent="0.2">
      <c r="A416" s="38" t="s">
        <v>7</v>
      </c>
      <c r="B416" s="38" t="s">
        <v>2178</v>
      </c>
      <c r="C416" s="43" t="s">
        <v>2179</v>
      </c>
      <c r="D416" s="38" t="s">
        <v>12338</v>
      </c>
      <c r="E416" s="44">
        <v>28</v>
      </c>
      <c r="F416" s="45">
        <v>11372</v>
      </c>
      <c r="G416" s="44">
        <v>23</v>
      </c>
      <c r="H416" s="45">
        <v>7617</v>
      </c>
      <c r="I416" s="45">
        <v>406.14285714285717</v>
      </c>
      <c r="J416" s="45">
        <v>331.17391304347825</v>
      </c>
      <c r="K416" s="46">
        <v>-0.18458762177124599</v>
      </c>
    </row>
    <row r="417" spans="1:11" x14ac:dyDescent="0.2">
      <c r="A417" s="38" t="s">
        <v>7</v>
      </c>
      <c r="B417" s="38" t="s">
        <v>2181</v>
      </c>
      <c r="C417" s="43" t="s">
        <v>2182</v>
      </c>
      <c r="D417" s="38" t="s">
        <v>12339</v>
      </c>
      <c r="E417" s="44">
        <v>1</v>
      </c>
      <c r="F417" s="45">
        <v>59</v>
      </c>
      <c r="G417" s="44">
        <v>1</v>
      </c>
      <c r="H417" s="45">
        <v>59</v>
      </c>
      <c r="I417" s="45">
        <v>59</v>
      </c>
      <c r="J417" s="45">
        <v>59</v>
      </c>
      <c r="K417" s="46">
        <v>0</v>
      </c>
    </row>
    <row r="418" spans="1:11" x14ac:dyDescent="0.2">
      <c r="A418" s="38" t="s">
        <v>7</v>
      </c>
      <c r="B418" s="38" t="s">
        <v>2187</v>
      </c>
      <c r="C418" s="43" t="s">
        <v>1832</v>
      </c>
      <c r="D418" s="38" t="s">
        <v>12073</v>
      </c>
      <c r="E418" s="44">
        <v>10</v>
      </c>
      <c r="F418" s="45">
        <v>3465</v>
      </c>
      <c r="G418" s="44">
        <v>6</v>
      </c>
      <c r="H418" s="45">
        <v>1552</v>
      </c>
      <c r="I418" s="45">
        <v>346.5</v>
      </c>
      <c r="J418" s="45">
        <v>258.66666666666669</v>
      </c>
      <c r="K418" s="46">
        <v>-0.25348725348725343</v>
      </c>
    </row>
    <row r="419" spans="1:11" x14ac:dyDescent="0.2">
      <c r="A419" s="38" t="s">
        <v>7</v>
      </c>
      <c r="B419" s="38" t="s">
        <v>2188</v>
      </c>
      <c r="C419" s="43" t="s">
        <v>1835</v>
      </c>
      <c r="D419" s="38" t="s">
        <v>12081</v>
      </c>
      <c r="E419" s="44">
        <v>154</v>
      </c>
      <c r="F419" s="45">
        <v>56700</v>
      </c>
      <c r="G419" s="44">
        <v>56</v>
      </c>
      <c r="H419" s="45">
        <v>18180</v>
      </c>
      <c r="I419" s="45">
        <v>368.18181818181819</v>
      </c>
      <c r="J419" s="45">
        <v>324.64285714285717</v>
      </c>
      <c r="K419" s="46">
        <v>-0.11825396825396819</v>
      </c>
    </row>
    <row r="420" spans="1:11" x14ac:dyDescent="0.2">
      <c r="A420" s="38" t="s">
        <v>7</v>
      </c>
      <c r="B420" s="38" t="s">
        <v>2189</v>
      </c>
      <c r="C420" s="43" t="s">
        <v>1837</v>
      </c>
      <c r="D420" s="38" t="s">
        <v>12244</v>
      </c>
      <c r="G420" s="44">
        <v>3</v>
      </c>
      <c r="H420" s="45">
        <v>1947</v>
      </c>
      <c r="J420" s="45">
        <v>649</v>
      </c>
    </row>
    <row r="421" spans="1:11" x14ac:dyDescent="0.2">
      <c r="A421" s="38" t="s">
        <v>7</v>
      </c>
      <c r="B421" s="38" t="s">
        <v>2190</v>
      </c>
      <c r="C421" s="43" t="s">
        <v>1840</v>
      </c>
      <c r="D421" s="38" t="s">
        <v>12077</v>
      </c>
      <c r="E421" s="44">
        <v>214</v>
      </c>
      <c r="F421" s="45">
        <v>221297</v>
      </c>
      <c r="G421" s="44">
        <v>95</v>
      </c>
      <c r="H421" s="45">
        <v>89560</v>
      </c>
      <c r="I421" s="45">
        <v>1034.0981308411215</v>
      </c>
      <c r="J421" s="45">
        <v>942.73684210526312</v>
      </c>
      <c r="K421" s="46">
        <v>-8.8348761119552852E-2</v>
      </c>
    </row>
    <row r="422" spans="1:11" x14ac:dyDescent="0.2">
      <c r="A422" s="38" t="s">
        <v>7</v>
      </c>
      <c r="B422" s="38" t="s">
        <v>2191</v>
      </c>
      <c r="C422" s="43" t="s">
        <v>1843</v>
      </c>
      <c r="D422" s="38" t="s">
        <v>12069</v>
      </c>
      <c r="E422" s="44">
        <v>120</v>
      </c>
      <c r="F422" s="45">
        <v>88575</v>
      </c>
      <c r="G422" s="44">
        <v>61</v>
      </c>
      <c r="H422" s="45">
        <v>44881</v>
      </c>
      <c r="I422" s="45">
        <v>738.125</v>
      </c>
      <c r="J422" s="45">
        <v>735.75409836065569</v>
      </c>
      <c r="K422" s="46">
        <v>-3.2120597992810309E-3</v>
      </c>
    </row>
    <row r="423" spans="1:11" x14ac:dyDescent="0.2">
      <c r="A423" s="38" t="s">
        <v>7</v>
      </c>
      <c r="B423" s="38" t="s">
        <v>2192</v>
      </c>
      <c r="C423" s="43" t="s">
        <v>1858</v>
      </c>
      <c r="D423" s="38" t="s">
        <v>12182</v>
      </c>
      <c r="E423" s="44">
        <v>89</v>
      </c>
      <c r="F423" s="45">
        <v>12060</v>
      </c>
      <c r="G423" s="44">
        <v>43</v>
      </c>
      <c r="H423" s="45">
        <v>6044</v>
      </c>
      <c r="I423" s="45">
        <v>135.50561797752809</v>
      </c>
      <c r="J423" s="45">
        <v>140.55813953488371</v>
      </c>
      <c r="K423" s="46">
        <v>3.7286436036869819E-2</v>
      </c>
    </row>
    <row r="424" spans="1:11" x14ac:dyDescent="0.2">
      <c r="A424" s="38" t="s">
        <v>7</v>
      </c>
      <c r="B424" s="38" t="s">
        <v>2202</v>
      </c>
      <c r="C424" s="43" t="s">
        <v>1888</v>
      </c>
      <c r="D424" s="38" t="s">
        <v>12257</v>
      </c>
      <c r="G424" s="44">
        <v>1</v>
      </c>
      <c r="H424" s="45">
        <v>118</v>
      </c>
      <c r="J424" s="45">
        <v>118</v>
      </c>
    </row>
    <row r="425" spans="1:11" x14ac:dyDescent="0.2">
      <c r="A425" s="38" t="s">
        <v>7</v>
      </c>
      <c r="B425" s="38" t="s">
        <v>2204</v>
      </c>
      <c r="C425" s="43" t="s">
        <v>1899</v>
      </c>
      <c r="D425" s="38" t="s">
        <v>12079</v>
      </c>
      <c r="E425" s="44">
        <v>5</v>
      </c>
      <c r="F425" s="45">
        <v>456</v>
      </c>
      <c r="G425" s="44">
        <v>11</v>
      </c>
      <c r="H425" s="45">
        <v>1034</v>
      </c>
      <c r="I425" s="45">
        <v>91.2</v>
      </c>
      <c r="J425" s="45">
        <v>94</v>
      </c>
      <c r="K425" s="46">
        <v>3.0701754385964879E-2</v>
      </c>
    </row>
    <row r="426" spans="1:11" x14ac:dyDescent="0.2">
      <c r="A426" s="38" t="s">
        <v>7</v>
      </c>
      <c r="B426" s="38" t="s">
        <v>2205</v>
      </c>
      <c r="C426" s="43" t="s">
        <v>2206</v>
      </c>
      <c r="D426" s="38" t="s">
        <v>12261</v>
      </c>
      <c r="E426" s="44">
        <v>6</v>
      </c>
      <c r="F426" s="45">
        <v>885</v>
      </c>
      <c r="G426" s="44">
        <v>2</v>
      </c>
      <c r="H426" s="45">
        <v>306</v>
      </c>
      <c r="I426" s="45">
        <v>147.5</v>
      </c>
      <c r="J426" s="45">
        <v>153</v>
      </c>
      <c r="K426" s="46">
        <v>3.7288135593220341E-2</v>
      </c>
    </row>
    <row r="427" spans="1:11" x14ac:dyDescent="0.2">
      <c r="A427" s="38" t="s">
        <v>7</v>
      </c>
      <c r="B427" s="38" t="s">
        <v>2208</v>
      </c>
      <c r="C427" s="43" t="s">
        <v>1905</v>
      </c>
      <c r="D427" s="38" t="s">
        <v>12262</v>
      </c>
      <c r="E427" s="44">
        <v>7</v>
      </c>
      <c r="F427" s="45">
        <v>960</v>
      </c>
      <c r="G427" s="44">
        <v>3</v>
      </c>
      <c r="H427" s="45">
        <v>420</v>
      </c>
      <c r="I427" s="45">
        <v>137.14285714285714</v>
      </c>
      <c r="J427" s="45">
        <v>140</v>
      </c>
      <c r="K427" s="46">
        <v>2.0833333333333363E-2</v>
      </c>
    </row>
    <row r="428" spans="1:11" x14ac:dyDescent="0.2">
      <c r="A428" s="38" t="s">
        <v>7</v>
      </c>
      <c r="B428" s="38" t="s">
        <v>2212</v>
      </c>
      <c r="C428" s="43" t="s">
        <v>1908</v>
      </c>
      <c r="D428" s="38" t="s">
        <v>12263</v>
      </c>
      <c r="E428" s="44">
        <v>18</v>
      </c>
      <c r="F428" s="45">
        <v>4320</v>
      </c>
      <c r="G428" s="44">
        <v>9</v>
      </c>
      <c r="H428" s="45">
        <v>1985</v>
      </c>
      <c r="I428" s="45">
        <v>240</v>
      </c>
      <c r="J428" s="45">
        <v>220.55555555555554</v>
      </c>
      <c r="K428" s="46">
        <v>-8.1018518518518573E-2</v>
      </c>
    </row>
    <row r="429" spans="1:11" x14ac:dyDescent="0.2">
      <c r="A429" s="38" t="s">
        <v>7</v>
      </c>
      <c r="B429" s="38" t="s">
        <v>2214</v>
      </c>
      <c r="C429" s="43" t="s">
        <v>1913</v>
      </c>
      <c r="D429" s="38" t="s">
        <v>12265</v>
      </c>
      <c r="G429" s="44">
        <v>1</v>
      </c>
      <c r="H429" s="45">
        <v>214</v>
      </c>
      <c r="J429" s="45">
        <v>214</v>
      </c>
    </row>
    <row r="430" spans="1:11" x14ac:dyDescent="0.2">
      <c r="A430" s="38" t="s">
        <v>7</v>
      </c>
      <c r="B430" s="38" t="s">
        <v>2215</v>
      </c>
      <c r="C430" s="43" t="s">
        <v>1915</v>
      </c>
      <c r="D430" s="38" t="s">
        <v>12266</v>
      </c>
      <c r="E430" s="44">
        <v>20</v>
      </c>
      <c r="F430" s="45">
        <v>4421</v>
      </c>
      <c r="G430" s="44">
        <v>6</v>
      </c>
      <c r="H430" s="45">
        <v>1178</v>
      </c>
      <c r="I430" s="45">
        <v>221.05</v>
      </c>
      <c r="J430" s="45">
        <v>196.33333333333334</v>
      </c>
      <c r="K430" s="46">
        <v>-0.1118148231923396</v>
      </c>
    </row>
    <row r="431" spans="1:11" x14ac:dyDescent="0.2">
      <c r="A431" s="38" t="s">
        <v>7</v>
      </c>
      <c r="B431" s="38" t="s">
        <v>2216</v>
      </c>
      <c r="C431" s="43" t="s">
        <v>1917</v>
      </c>
      <c r="D431" s="38" t="s">
        <v>12267</v>
      </c>
      <c r="E431" s="44">
        <v>26</v>
      </c>
      <c r="F431" s="45">
        <v>6246</v>
      </c>
      <c r="G431" s="44">
        <v>15</v>
      </c>
      <c r="H431" s="45">
        <v>3039</v>
      </c>
      <c r="I431" s="45">
        <v>240.23076923076923</v>
      </c>
      <c r="J431" s="45">
        <v>202.6</v>
      </c>
      <c r="K431" s="46">
        <v>-0.15664425232148577</v>
      </c>
    </row>
    <row r="432" spans="1:11" x14ac:dyDescent="0.2">
      <c r="A432" s="38" t="s">
        <v>7</v>
      </c>
      <c r="B432" s="38" t="s">
        <v>2220</v>
      </c>
      <c r="C432" s="43" t="s">
        <v>1933</v>
      </c>
      <c r="D432" s="38" t="s">
        <v>12272</v>
      </c>
      <c r="E432" s="44">
        <v>130</v>
      </c>
      <c r="F432" s="45">
        <v>30834</v>
      </c>
      <c r="G432" s="44">
        <v>42</v>
      </c>
      <c r="H432" s="45">
        <v>8542</v>
      </c>
      <c r="I432" s="45">
        <v>237.1846153846154</v>
      </c>
      <c r="J432" s="45">
        <v>203.38095238095238</v>
      </c>
      <c r="K432" s="46">
        <v>-0.14252047059986353</v>
      </c>
    </row>
    <row r="433" spans="1:11" x14ac:dyDescent="0.2">
      <c r="A433" s="38" t="s">
        <v>7</v>
      </c>
      <c r="B433" s="38" t="s">
        <v>2221</v>
      </c>
      <c r="C433" s="43" t="s">
        <v>1936</v>
      </c>
      <c r="D433" s="38" t="s">
        <v>12273</v>
      </c>
      <c r="E433" s="44">
        <v>44</v>
      </c>
      <c r="F433" s="45">
        <v>16464</v>
      </c>
      <c r="G433" s="44">
        <v>22</v>
      </c>
      <c r="H433" s="45">
        <v>8580</v>
      </c>
      <c r="I433" s="45">
        <v>374.18181818181819</v>
      </c>
      <c r="J433" s="45">
        <v>390</v>
      </c>
      <c r="K433" s="46">
        <v>4.2274052478134094E-2</v>
      </c>
    </row>
    <row r="434" spans="1:11" x14ac:dyDescent="0.2">
      <c r="A434" s="38" t="s">
        <v>7</v>
      </c>
      <c r="B434" s="38" t="s">
        <v>2222</v>
      </c>
      <c r="C434" s="43" t="s">
        <v>1942</v>
      </c>
      <c r="D434" s="38" t="s">
        <v>12275</v>
      </c>
      <c r="E434" s="44">
        <v>7</v>
      </c>
      <c r="F434" s="45">
        <v>1877</v>
      </c>
      <c r="G434" s="44">
        <v>1</v>
      </c>
      <c r="H434" s="45">
        <v>271</v>
      </c>
      <c r="I434" s="45">
        <v>268.14285714285717</v>
      </c>
      <c r="J434" s="45">
        <v>271</v>
      </c>
      <c r="K434" s="46">
        <v>1.0655301012253504E-2</v>
      </c>
    </row>
    <row r="435" spans="1:11" x14ac:dyDescent="0.2">
      <c r="A435" s="38" t="s">
        <v>7</v>
      </c>
      <c r="B435" s="38" t="s">
        <v>2223</v>
      </c>
      <c r="C435" s="43" t="s">
        <v>1945</v>
      </c>
      <c r="D435" s="38" t="s">
        <v>12276</v>
      </c>
      <c r="E435" s="44">
        <v>79</v>
      </c>
      <c r="F435" s="45">
        <v>10207</v>
      </c>
      <c r="G435" s="44">
        <v>18</v>
      </c>
      <c r="H435" s="45">
        <v>2200</v>
      </c>
      <c r="I435" s="45">
        <v>129.20253164556962</v>
      </c>
      <c r="J435" s="45">
        <v>122.22222222222223</v>
      </c>
      <c r="K435" s="46">
        <v>-5.4026104089785837E-2</v>
      </c>
    </row>
    <row r="436" spans="1:11" x14ac:dyDescent="0.2">
      <c r="A436" s="38" t="s">
        <v>7</v>
      </c>
      <c r="B436" s="38" t="s">
        <v>2224</v>
      </c>
      <c r="C436" s="43" t="s">
        <v>1950</v>
      </c>
      <c r="D436" s="38" t="s">
        <v>12278</v>
      </c>
      <c r="G436" s="44">
        <v>2</v>
      </c>
      <c r="H436" s="45">
        <v>390</v>
      </c>
      <c r="J436" s="45">
        <v>195</v>
      </c>
    </row>
    <row r="437" spans="1:11" x14ac:dyDescent="0.2">
      <c r="A437" s="38" t="s">
        <v>7</v>
      </c>
      <c r="B437" s="38" t="s">
        <v>2225</v>
      </c>
      <c r="C437" s="43" t="s">
        <v>1958</v>
      </c>
      <c r="D437" s="38" t="s">
        <v>12280</v>
      </c>
      <c r="G437" s="44">
        <v>3</v>
      </c>
      <c r="H437" s="45">
        <v>1341</v>
      </c>
      <c r="J437" s="45">
        <v>447</v>
      </c>
    </row>
    <row r="438" spans="1:11" x14ac:dyDescent="0.2">
      <c r="A438" s="38" t="s">
        <v>7</v>
      </c>
      <c r="B438" s="38" t="s">
        <v>2226</v>
      </c>
      <c r="C438" s="43" t="s">
        <v>1961</v>
      </c>
      <c r="D438" s="38" t="s">
        <v>12281</v>
      </c>
      <c r="G438" s="44">
        <v>1</v>
      </c>
      <c r="H438" s="45">
        <v>99</v>
      </c>
      <c r="J438" s="45">
        <v>99</v>
      </c>
    </row>
    <row r="439" spans="1:11" x14ac:dyDescent="0.2">
      <c r="A439" s="38" t="s">
        <v>7</v>
      </c>
      <c r="B439" s="38" t="s">
        <v>2227</v>
      </c>
      <c r="C439" s="43" t="s">
        <v>1964</v>
      </c>
      <c r="D439" s="38" t="s">
        <v>12282</v>
      </c>
      <c r="G439" s="44">
        <v>1</v>
      </c>
      <c r="H439" s="45">
        <v>159</v>
      </c>
      <c r="J439" s="45">
        <v>159</v>
      </c>
    </row>
    <row r="440" spans="1:11" x14ac:dyDescent="0.2">
      <c r="A440" s="38" t="s">
        <v>7</v>
      </c>
      <c r="B440" s="38" t="s">
        <v>2228</v>
      </c>
      <c r="C440" s="43" t="s">
        <v>1966</v>
      </c>
      <c r="D440" s="38" t="s">
        <v>12283</v>
      </c>
      <c r="E440" s="44">
        <v>25</v>
      </c>
      <c r="F440" s="45">
        <v>3062</v>
      </c>
      <c r="G440" s="44">
        <v>17</v>
      </c>
      <c r="H440" s="45">
        <v>2044</v>
      </c>
      <c r="I440" s="45">
        <v>122.48</v>
      </c>
      <c r="J440" s="45">
        <v>120.23529411764706</v>
      </c>
      <c r="K440" s="46">
        <v>-1.8327121835017522E-2</v>
      </c>
    </row>
    <row r="441" spans="1:11" x14ac:dyDescent="0.2">
      <c r="A441" s="38" t="s">
        <v>7</v>
      </c>
      <c r="B441" s="38" t="s">
        <v>2229</v>
      </c>
      <c r="C441" s="43" t="s">
        <v>1968</v>
      </c>
      <c r="D441" s="38" t="s">
        <v>12284</v>
      </c>
      <c r="G441" s="44">
        <v>13</v>
      </c>
      <c r="H441" s="45">
        <v>3757</v>
      </c>
      <c r="J441" s="45">
        <v>289</v>
      </c>
    </row>
    <row r="442" spans="1:11" x14ac:dyDescent="0.2">
      <c r="A442" s="38" t="s">
        <v>7</v>
      </c>
      <c r="B442" s="38" t="s">
        <v>2230</v>
      </c>
      <c r="C442" s="43" t="s">
        <v>1973</v>
      </c>
      <c r="D442" s="38" t="s">
        <v>12286</v>
      </c>
      <c r="E442" s="44">
        <v>14</v>
      </c>
      <c r="F442" s="45">
        <v>1550</v>
      </c>
      <c r="G442" s="44">
        <v>7</v>
      </c>
      <c r="H442" s="45">
        <v>700</v>
      </c>
      <c r="I442" s="45">
        <v>110.71428571428571</v>
      </c>
      <c r="J442" s="45">
        <v>100</v>
      </c>
      <c r="K442" s="46">
        <v>-9.6774193548387052E-2</v>
      </c>
    </row>
    <row r="443" spans="1:11" x14ac:dyDescent="0.2">
      <c r="A443" s="38" t="s">
        <v>7</v>
      </c>
      <c r="B443" s="38" t="s">
        <v>2231</v>
      </c>
      <c r="C443" s="43" t="s">
        <v>1975</v>
      </c>
      <c r="D443" s="38" t="s">
        <v>12287</v>
      </c>
      <c r="E443" s="44">
        <v>4</v>
      </c>
      <c r="F443" s="45">
        <v>540</v>
      </c>
      <c r="G443" s="44">
        <v>3</v>
      </c>
      <c r="H443" s="45">
        <v>405</v>
      </c>
      <c r="I443" s="45">
        <v>135</v>
      </c>
      <c r="J443" s="45">
        <v>135</v>
      </c>
      <c r="K443" s="46">
        <v>0</v>
      </c>
    </row>
    <row r="444" spans="1:11" x14ac:dyDescent="0.2">
      <c r="A444" s="38" t="s">
        <v>7</v>
      </c>
      <c r="B444" s="38" t="s">
        <v>2233</v>
      </c>
      <c r="C444" s="43" t="s">
        <v>1981</v>
      </c>
      <c r="D444" s="38" t="s">
        <v>12290</v>
      </c>
      <c r="E444" s="44">
        <v>7</v>
      </c>
      <c r="F444" s="45">
        <v>644</v>
      </c>
      <c r="G444" s="44">
        <v>3</v>
      </c>
      <c r="H444" s="45">
        <v>282</v>
      </c>
      <c r="I444" s="45">
        <v>92</v>
      </c>
      <c r="J444" s="45">
        <v>94</v>
      </c>
      <c r="K444" s="46">
        <v>2.1739130434782608E-2</v>
      </c>
    </row>
    <row r="445" spans="1:11" x14ac:dyDescent="0.2">
      <c r="A445" s="38" t="s">
        <v>7</v>
      </c>
      <c r="B445" s="38" t="s">
        <v>2234</v>
      </c>
      <c r="C445" s="43" t="s">
        <v>1983</v>
      </c>
      <c r="D445" s="38" t="s">
        <v>12290</v>
      </c>
      <c r="G445" s="44">
        <v>1</v>
      </c>
      <c r="H445" s="45">
        <v>119</v>
      </c>
      <c r="J445" s="45">
        <v>119</v>
      </c>
    </row>
    <row r="446" spans="1:11" x14ac:dyDescent="0.2">
      <c r="A446" s="38" t="s">
        <v>7</v>
      </c>
      <c r="B446" s="38" t="s">
        <v>2236</v>
      </c>
      <c r="C446" s="43" t="s">
        <v>1988</v>
      </c>
      <c r="D446" s="38" t="s">
        <v>12340</v>
      </c>
      <c r="G446" s="44">
        <v>1</v>
      </c>
      <c r="H446" s="45">
        <v>195</v>
      </c>
      <c r="J446" s="45">
        <v>195</v>
      </c>
    </row>
    <row r="447" spans="1:11" x14ac:dyDescent="0.2">
      <c r="A447" s="38" t="s">
        <v>7</v>
      </c>
      <c r="B447" s="38" t="s">
        <v>2238</v>
      </c>
      <c r="C447" s="43" t="s">
        <v>1995</v>
      </c>
      <c r="D447" s="38" t="s">
        <v>12294</v>
      </c>
      <c r="E447" s="44">
        <v>4</v>
      </c>
      <c r="F447" s="45">
        <v>1156</v>
      </c>
      <c r="G447" s="44">
        <v>3</v>
      </c>
      <c r="H447" s="45">
        <v>337</v>
      </c>
      <c r="I447" s="45">
        <v>289</v>
      </c>
      <c r="J447" s="45">
        <v>112.33333333333333</v>
      </c>
      <c r="K447" s="46">
        <v>-0.61130334486735882</v>
      </c>
    </row>
    <row r="448" spans="1:11" x14ac:dyDescent="0.2">
      <c r="A448" s="38" t="s">
        <v>7</v>
      </c>
      <c r="B448" s="38" t="s">
        <v>2239</v>
      </c>
      <c r="C448" s="43" t="s">
        <v>1998</v>
      </c>
      <c r="D448" s="38" t="s">
        <v>12087</v>
      </c>
      <c r="E448" s="44">
        <v>136</v>
      </c>
      <c r="F448" s="45">
        <v>38928</v>
      </c>
      <c r="G448" s="44">
        <v>37</v>
      </c>
      <c r="H448" s="45">
        <v>9653</v>
      </c>
      <c r="I448" s="45">
        <v>286.23529411764707</v>
      </c>
      <c r="J448" s="45">
        <v>260.89189189189187</v>
      </c>
      <c r="K448" s="46">
        <v>-8.8540451672387666E-2</v>
      </c>
    </row>
    <row r="449" spans="1:11" x14ac:dyDescent="0.2">
      <c r="A449" s="38" t="s">
        <v>7</v>
      </c>
      <c r="B449" s="38" t="s">
        <v>2240</v>
      </c>
      <c r="C449" s="43" t="s">
        <v>2000</v>
      </c>
      <c r="D449" s="38" t="s">
        <v>12295</v>
      </c>
      <c r="G449" s="44">
        <v>4</v>
      </c>
      <c r="H449" s="45">
        <v>672</v>
      </c>
      <c r="J449" s="45">
        <v>168</v>
      </c>
    </row>
    <row r="450" spans="1:11" x14ac:dyDescent="0.2">
      <c r="A450" s="38" t="s">
        <v>7</v>
      </c>
      <c r="B450" s="38" t="s">
        <v>2241</v>
      </c>
      <c r="C450" s="43" t="s">
        <v>2003</v>
      </c>
      <c r="D450" s="38" t="s">
        <v>12296</v>
      </c>
      <c r="G450" s="44">
        <v>4</v>
      </c>
      <c r="H450" s="45">
        <v>672</v>
      </c>
      <c r="J450" s="45">
        <v>168</v>
      </c>
    </row>
    <row r="451" spans="1:11" x14ac:dyDescent="0.2">
      <c r="A451" s="38" t="s">
        <v>7</v>
      </c>
      <c r="B451" s="38" t="s">
        <v>2242</v>
      </c>
      <c r="C451" s="43" t="s">
        <v>2009</v>
      </c>
      <c r="D451" s="38" t="s">
        <v>12298</v>
      </c>
      <c r="E451" s="44">
        <v>6</v>
      </c>
      <c r="F451" s="45">
        <v>1524</v>
      </c>
      <c r="G451" s="44">
        <v>2</v>
      </c>
      <c r="H451" s="45">
        <v>528</v>
      </c>
      <c r="I451" s="45">
        <v>254</v>
      </c>
      <c r="J451" s="45">
        <v>264</v>
      </c>
      <c r="K451" s="46">
        <v>3.937007874015748E-2</v>
      </c>
    </row>
    <row r="452" spans="1:11" x14ac:dyDescent="0.2">
      <c r="A452" s="38" t="s">
        <v>7</v>
      </c>
      <c r="B452" s="38" t="s">
        <v>2243</v>
      </c>
      <c r="C452" s="43" t="s">
        <v>2015</v>
      </c>
      <c r="D452" s="38" t="s">
        <v>12300</v>
      </c>
      <c r="E452" s="44">
        <v>20</v>
      </c>
      <c r="F452" s="45">
        <v>2277</v>
      </c>
      <c r="G452" s="44">
        <v>8</v>
      </c>
      <c r="H452" s="45">
        <v>838</v>
      </c>
      <c r="I452" s="45">
        <v>113.85</v>
      </c>
      <c r="J452" s="45">
        <v>104.75</v>
      </c>
      <c r="K452" s="46">
        <v>-7.9929732103645096E-2</v>
      </c>
    </row>
    <row r="453" spans="1:11" x14ac:dyDescent="0.2">
      <c r="A453" s="38" t="s">
        <v>7</v>
      </c>
      <c r="B453" s="38" t="s">
        <v>2245</v>
      </c>
      <c r="C453" s="43" t="s">
        <v>2021</v>
      </c>
      <c r="D453" s="38" t="s">
        <v>12303</v>
      </c>
      <c r="G453" s="44">
        <v>1</v>
      </c>
      <c r="H453" s="45">
        <v>106</v>
      </c>
      <c r="J453" s="45">
        <v>106</v>
      </c>
    </row>
    <row r="454" spans="1:11" x14ac:dyDescent="0.2">
      <c r="A454" s="38" t="s">
        <v>7</v>
      </c>
      <c r="B454" s="38" t="s">
        <v>2246</v>
      </c>
      <c r="C454" s="43" t="s">
        <v>2024</v>
      </c>
      <c r="D454" s="38" t="s">
        <v>12075</v>
      </c>
      <c r="E454" s="44">
        <v>330</v>
      </c>
      <c r="F454" s="45">
        <v>177494</v>
      </c>
      <c r="G454" s="44">
        <v>169</v>
      </c>
      <c r="H454" s="45">
        <v>85162</v>
      </c>
      <c r="I454" s="45">
        <v>537.86060606060607</v>
      </c>
      <c r="J454" s="45">
        <v>503.91715976331363</v>
      </c>
      <c r="K454" s="46">
        <v>-6.3108258747374579E-2</v>
      </c>
    </row>
    <row r="455" spans="1:11" x14ac:dyDescent="0.2">
      <c r="A455" s="38" t="s">
        <v>7</v>
      </c>
      <c r="B455" s="38" t="s">
        <v>2249</v>
      </c>
      <c r="C455" s="43" t="s">
        <v>2036</v>
      </c>
      <c r="D455" s="38" t="s">
        <v>12085</v>
      </c>
      <c r="E455" s="44">
        <v>105</v>
      </c>
      <c r="F455" s="45">
        <v>11910</v>
      </c>
      <c r="G455" s="44">
        <v>48</v>
      </c>
      <c r="H455" s="45">
        <v>5428</v>
      </c>
      <c r="I455" s="45">
        <v>113.42857142857143</v>
      </c>
      <c r="J455" s="45">
        <v>113.08333333333333</v>
      </c>
      <c r="K455" s="46">
        <v>-3.0436607892527882E-3</v>
      </c>
    </row>
    <row r="456" spans="1:11" x14ac:dyDescent="0.2">
      <c r="A456" s="38" t="s">
        <v>7</v>
      </c>
      <c r="B456" s="38" t="s">
        <v>2250</v>
      </c>
      <c r="C456" s="43" t="s">
        <v>2039</v>
      </c>
      <c r="D456" s="38" t="s">
        <v>12307</v>
      </c>
      <c r="E456" s="44">
        <v>21</v>
      </c>
      <c r="F456" s="45">
        <v>3440</v>
      </c>
      <c r="G456" s="44">
        <v>6</v>
      </c>
      <c r="H456" s="45">
        <v>1020</v>
      </c>
      <c r="I456" s="45">
        <v>163.8095238095238</v>
      </c>
      <c r="J456" s="45">
        <v>170</v>
      </c>
      <c r="K456" s="46">
        <v>3.7790697674418693E-2</v>
      </c>
    </row>
    <row r="457" spans="1:11" x14ac:dyDescent="0.2">
      <c r="A457" s="38" t="s">
        <v>7</v>
      </c>
      <c r="B457" s="38" t="s">
        <v>2251</v>
      </c>
      <c r="C457" s="43" t="s">
        <v>2041</v>
      </c>
      <c r="D457" s="38" t="s">
        <v>12083</v>
      </c>
      <c r="E457" s="44">
        <v>100</v>
      </c>
      <c r="F457" s="45">
        <v>21128</v>
      </c>
      <c r="G457" s="44">
        <v>50</v>
      </c>
      <c r="H457" s="45">
        <v>10236</v>
      </c>
      <c r="I457" s="45">
        <v>211.28</v>
      </c>
      <c r="J457" s="45">
        <v>204.72</v>
      </c>
      <c r="K457" s="46">
        <v>-3.1048845134418791E-2</v>
      </c>
    </row>
    <row r="458" spans="1:11" x14ac:dyDescent="0.2">
      <c r="A458" s="38" t="s">
        <v>7</v>
      </c>
      <c r="B458" s="38" t="s">
        <v>2252</v>
      </c>
      <c r="C458" s="43" t="s">
        <v>2046</v>
      </c>
      <c r="D458" s="38" t="s">
        <v>12309</v>
      </c>
      <c r="E458" s="44">
        <v>9</v>
      </c>
      <c r="F458" s="45">
        <v>2375</v>
      </c>
      <c r="G458" s="44">
        <v>15</v>
      </c>
      <c r="H458" s="45">
        <v>3945</v>
      </c>
      <c r="I458" s="45">
        <v>263.88888888888891</v>
      </c>
      <c r="J458" s="45">
        <v>263</v>
      </c>
      <c r="K458" s="46">
        <v>-3.3684210526316745E-3</v>
      </c>
    </row>
    <row r="459" spans="1:11" x14ac:dyDescent="0.2">
      <c r="A459" s="38" t="s">
        <v>7</v>
      </c>
      <c r="B459" s="38" t="s">
        <v>2253</v>
      </c>
      <c r="C459" s="43" t="s">
        <v>2254</v>
      </c>
      <c r="D459" s="38" t="s">
        <v>12341</v>
      </c>
      <c r="E459" s="44">
        <v>21</v>
      </c>
      <c r="F459" s="45">
        <v>2577</v>
      </c>
      <c r="G459" s="44">
        <v>3</v>
      </c>
      <c r="H459" s="45">
        <v>381</v>
      </c>
      <c r="I459" s="45">
        <v>122.71428571428571</v>
      </c>
      <c r="J459" s="45">
        <v>127</v>
      </c>
      <c r="K459" s="46">
        <v>3.4924330616996561E-2</v>
      </c>
    </row>
    <row r="460" spans="1:11" x14ac:dyDescent="0.2">
      <c r="A460" s="38" t="s">
        <v>7</v>
      </c>
      <c r="B460" s="38" t="s">
        <v>2257</v>
      </c>
      <c r="C460" s="43" t="s">
        <v>2058</v>
      </c>
      <c r="D460" s="38" t="s">
        <v>12312</v>
      </c>
      <c r="E460" s="44">
        <v>11</v>
      </c>
      <c r="F460" s="45">
        <v>2047</v>
      </c>
      <c r="G460" s="44">
        <v>16</v>
      </c>
      <c r="H460" s="45">
        <v>2934</v>
      </c>
      <c r="I460" s="45">
        <v>186.09090909090909</v>
      </c>
      <c r="J460" s="45">
        <v>183.375</v>
      </c>
      <c r="K460" s="46">
        <v>-1.4594528578407439E-2</v>
      </c>
    </row>
    <row r="461" spans="1:11" x14ac:dyDescent="0.2">
      <c r="A461" s="38" t="s">
        <v>7</v>
      </c>
      <c r="B461" s="38" t="s">
        <v>2258</v>
      </c>
      <c r="C461" s="43" t="s">
        <v>2063</v>
      </c>
      <c r="D461" s="38" t="s">
        <v>12314</v>
      </c>
      <c r="E461" s="44">
        <v>11</v>
      </c>
      <c r="F461" s="45">
        <v>1823</v>
      </c>
      <c r="G461" s="44">
        <v>16</v>
      </c>
      <c r="H461" s="45">
        <v>2499</v>
      </c>
      <c r="I461" s="45">
        <v>165.72727272727272</v>
      </c>
      <c r="J461" s="45">
        <v>156.1875</v>
      </c>
      <c r="K461" s="46">
        <v>-5.7563082830499136E-2</v>
      </c>
    </row>
    <row r="462" spans="1:11" x14ac:dyDescent="0.2">
      <c r="A462" s="38" t="s">
        <v>7</v>
      </c>
      <c r="B462" s="38" t="s">
        <v>2259</v>
      </c>
      <c r="C462" s="43" t="s">
        <v>2071</v>
      </c>
      <c r="D462" s="38" t="s">
        <v>12316</v>
      </c>
      <c r="G462" s="44">
        <v>3</v>
      </c>
      <c r="H462" s="45">
        <v>1134</v>
      </c>
      <c r="J462" s="45">
        <v>378</v>
      </c>
    </row>
    <row r="463" spans="1:11" x14ac:dyDescent="0.2">
      <c r="A463" s="38" t="s">
        <v>7</v>
      </c>
      <c r="B463" s="38" t="s">
        <v>2262</v>
      </c>
      <c r="C463" s="43" t="s">
        <v>2084</v>
      </c>
      <c r="D463" s="38" t="s">
        <v>12321</v>
      </c>
      <c r="G463" s="44">
        <v>4</v>
      </c>
      <c r="H463" s="45">
        <v>716</v>
      </c>
      <c r="J463" s="45">
        <v>179</v>
      </c>
    </row>
    <row r="464" spans="1:11" x14ac:dyDescent="0.2">
      <c r="A464" s="38" t="s">
        <v>7</v>
      </c>
      <c r="B464" s="38" t="s">
        <v>2263</v>
      </c>
      <c r="C464" s="43" t="s">
        <v>2089</v>
      </c>
      <c r="D464" s="38" t="s">
        <v>12322</v>
      </c>
      <c r="E464" s="44">
        <v>50</v>
      </c>
      <c r="F464" s="45">
        <v>25826</v>
      </c>
      <c r="G464" s="44">
        <v>37</v>
      </c>
      <c r="H464" s="45">
        <v>18477</v>
      </c>
      <c r="I464" s="45">
        <v>516.52</v>
      </c>
      <c r="J464" s="45">
        <v>499.37837837837839</v>
      </c>
      <c r="K464" s="46">
        <v>-3.3186752926549982E-2</v>
      </c>
    </row>
    <row r="465" spans="1:11" x14ac:dyDescent="0.2">
      <c r="A465" s="38" t="s">
        <v>7</v>
      </c>
      <c r="B465" s="38" t="s">
        <v>2264</v>
      </c>
      <c r="C465" s="43" t="s">
        <v>2094</v>
      </c>
      <c r="D465" s="38" t="s">
        <v>12323</v>
      </c>
      <c r="G465" s="44">
        <v>5</v>
      </c>
      <c r="H465" s="45">
        <v>1885</v>
      </c>
      <c r="J465" s="45">
        <v>377</v>
      </c>
    </row>
    <row r="466" spans="1:11" x14ac:dyDescent="0.2">
      <c r="A466" s="38" t="s">
        <v>7</v>
      </c>
      <c r="B466" s="38" t="s">
        <v>2266</v>
      </c>
      <c r="C466" s="43" t="s">
        <v>2267</v>
      </c>
      <c r="D466" s="38" t="s">
        <v>12321</v>
      </c>
      <c r="G466" s="44">
        <v>2</v>
      </c>
      <c r="H466" s="45">
        <v>402</v>
      </c>
      <c r="J466" s="45">
        <v>201</v>
      </c>
    </row>
    <row r="467" spans="1:11" x14ac:dyDescent="0.2">
      <c r="A467" s="38" t="s">
        <v>7</v>
      </c>
      <c r="B467" s="38" t="s">
        <v>2268</v>
      </c>
      <c r="C467" s="43" t="s">
        <v>2269</v>
      </c>
      <c r="D467" s="38" t="s">
        <v>12321</v>
      </c>
      <c r="E467" s="44">
        <v>11</v>
      </c>
      <c r="F467" s="45">
        <v>2976</v>
      </c>
      <c r="G467" s="44">
        <v>26</v>
      </c>
      <c r="H467" s="45">
        <v>7306</v>
      </c>
      <c r="I467" s="45">
        <v>270.54545454545456</v>
      </c>
      <c r="J467" s="45">
        <v>281</v>
      </c>
      <c r="K467" s="46">
        <v>3.8642473118279508E-2</v>
      </c>
    </row>
    <row r="468" spans="1:11" x14ac:dyDescent="0.2">
      <c r="A468" s="38" t="s">
        <v>7</v>
      </c>
      <c r="B468" s="38" t="s">
        <v>2270</v>
      </c>
      <c r="C468" s="43" t="s">
        <v>2114</v>
      </c>
      <c r="D468" s="38" t="s">
        <v>12325</v>
      </c>
      <c r="E468" s="44">
        <v>609</v>
      </c>
      <c r="F468" s="45">
        <v>497344</v>
      </c>
      <c r="G468" s="44">
        <v>570</v>
      </c>
      <c r="H468" s="45">
        <v>436830</v>
      </c>
      <c r="I468" s="45">
        <v>816.65681444991787</v>
      </c>
      <c r="J468" s="45">
        <v>766.36842105263156</v>
      </c>
      <c r="K468" s="46">
        <v>-6.1578367445766641E-2</v>
      </c>
    </row>
    <row r="469" spans="1:11" x14ac:dyDescent="0.2">
      <c r="A469" s="38" t="s">
        <v>7</v>
      </c>
      <c r="B469" s="38" t="s">
        <v>2272</v>
      </c>
      <c r="C469" s="43" t="s">
        <v>2119</v>
      </c>
      <c r="D469" s="38" t="s">
        <v>12326</v>
      </c>
      <c r="E469" s="44">
        <v>84</v>
      </c>
      <c r="F469" s="45">
        <v>31192</v>
      </c>
      <c r="G469" s="44">
        <v>45</v>
      </c>
      <c r="H469" s="45">
        <v>16065</v>
      </c>
      <c r="I469" s="45">
        <v>371.33333333333331</v>
      </c>
      <c r="J469" s="45">
        <v>357</v>
      </c>
      <c r="K469" s="46">
        <v>-3.8599640933572661E-2</v>
      </c>
    </row>
    <row r="470" spans="1:11" x14ac:dyDescent="0.2">
      <c r="A470" s="38" t="s">
        <v>7</v>
      </c>
      <c r="B470" s="38" t="s">
        <v>2273</v>
      </c>
      <c r="C470" s="43" t="s">
        <v>2274</v>
      </c>
      <c r="D470" s="38" t="s">
        <v>12321</v>
      </c>
      <c r="E470" s="44">
        <v>604</v>
      </c>
      <c r="F470" s="45">
        <v>515137</v>
      </c>
      <c r="G470" s="44">
        <v>568</v>
      </c>
      <c r="H470" s="45">
        <v>452980</v>
      </c>
      <c r="I470" s="45">
        <v>852.87582781456956</v>
      </c>
      <c r="J470" s="45">
        <v>797.5</v>
      </c>
      <c r="K470" s="46">
        <v>-6.4928358863758598E-2</v>
      </c>
    </row>
    <row r="471" spans="1:11" x14ac:dyDescent="0.2">
      <c r="A471" s="38" t="s">
        <v>7</v>
      </c>
      <c r="B471" s="38" t="s">
        <v>2275</v>
      </c>
      <c r="C471" s="43" t="s">
        <v>2276</v>
      </c>
      <c r="D471" s="38" t="s">
        <v>12329</v>
      </c>
      <c r="E471" s="44">
        <v>603</v>
      </c>
      <c r="F471" s="45">
        <v>349545</v>
      </c>
      <c r="G471" s="44">
        <v>524</v>
      </c>
      <c r="H471" s="45">
        <v>277440</v>
      </c>
      <c r="I471" s="45">
        <v>579.67661691542287</v>
      </c>
      <c r="J471" s="45">
        <v>529.46564885496184</v>
      </c>
      <c r="K471" s="46">
        <v>-8.6618929581192688E-2</v>
      </c>
    </row>
    <row r="472" spans="1:11" x14ac:dyDescent="0.2">
      <c r="A472" s="38" t="s">
        <v>7</v>
      </c>
      <c r="B472" s="38" t="s">
        <v>2278</v>
      </c>
      <c r="C472" s="43" t="s">
        <v>2138</v>
      </c>
      <c r="D472" s="38" t="s">
        <v>12331</v>
      </c>
      <c r="E472" s="44">
        <v>16</v>
      </c>
      <c r="F472" s="45">
        <v>5201</v>
      </c>
      <c r="G472" s="44">
        <v>59</v>
      </c>
      <c r="H472" s="45">
        <v>17256</v>
      </c>
      <c r="I472" s="45">
        <v>325.0625</v>
      </c>
      <c r="J472" s="45">
        <v>292.47457627118644</v>
      </c>
      <c r="K472" s="46">
        <v>-0.10025125546260662</v>
      </c>
    </row>
    <row r="473" spans="1:11" x14ac:dyDescent="0.2">
      <c r="A473" s="38" t="s">
        <v>7</v>
      </c>
      <c r="B473" s="38" t="s">
        <v>2281</v>
      </c>
      <c r="C473" s="43" t="s">
        <v>2282</v>
      </c>
      <c r="D473" s="38" t="s">
        <v>12089</v>
      </c>
      <c r="E473" s="44">
        <v>32</v>
      </c>
      <c r="F473" s="45">
        <v>17344</v>
      </c>
      <c r="G473" s="44">
        <v>33</v>
      </c>
      <c r="H473" s="45">
        <v>18214</v>
      </c>
      <c r="I473" s="45">
        <v>542</v>
      </c>
      <c r="J473" s="45">
        <v>551.93939393939399</v>
      </c>
      <c r="K473" s="46">
        <v>1.8338365201833937E-2</v>
      </c>
    </row>
    <row r="474" spans="1:11" x14ac:dyDescent="0.2">
      <c r="A474" s="38" t="s">
        <v>7</v>
      </c>
      <c r="B474" s="38" t="s">
        <v>2283</v>
      </c>
      <c r="C474" s="43" t="s">
        <v>2168</v>
      </c>
      <c r="D474" s="38" t="s">
        <v>12335</v>
      </c>
      <c r="E474" s="44">
        <v>601</v>
      </c>
      <c r="F474" s="45">
        <v>329753</v>
      </c>
      <c r="G474" s="44">
        <v>520</v>
      </c>
      <c r="H474" s="45">
        <v>262656</v>
      </c>
      <c r="I474" s="45">
        <v>548.67387687188022</v>
      </c>
      <c r="J474" s="45">
        <v>505.10769230769233</v>
      </c>
      <c r="K474" s="46">
        <v>-7.9402695117487695E-2</v>
      </c>
    </row>
    <row r="475" spans="1:11" x14ac:dyDescent="0.2">
      <c r="A475" s="38" t="s">
        <v>7</v>
      </c>
      <c r="B475" s="38" t="s">
        <v>2284</v>
      </c>
      <c r="C475" s="43" t="s">
        <v>2176</v>
      </c>
      <c r="D475" s="38" t="s">
        <v>12337</v>
      </c>
      <c r="E475" s="44">
        <v>7</v>
      </c>
      <c r="F475" s="45">
        <v>2014</v>
      </c>
      <c r="G475" s="44">
        <v>51</v>
      </c>
      <c r="H475" s="45">
        <v>14994</v>
      </c>
      <c r="I475" s="45">
        <v>287.71428571428572</v>
      </c>
      <c r="J475" s="45">
        <v>294</v>
      </c>
      <c r="K475" s="46">
        <v>2.1847070506454788E-2</v>
      </c>
    </row>
    <row r="476" spans="1:11" x14ac:dyDescent="0.2">
      <c r="A476" s="38" t="s">
        <v>7</v>
      </c>
      <c r="B476" s="38" t="s">
        <v>2286</v>
      </c>
      <c r="C476" s="43" t="s">
        <v>1928</v>
      </c>
      <c r="D476" s="38" t="s">
        <v>12270</v>
      </c>
      <c r="E476" s="44">
        <v>2621</v>
      </c>
      <c r="F476" s="45">
        <v>452295</v>
      </c>
      <c r="G476" s="44">
        <v>1614</v>
      </c>
      <c r="H476" s="45">
        <v>255133</v>
      </c>
      <c r="I476" s="45">
        <v>172.56581457458987</v>
      </c>
      <c r="J476" s="45">
        <v>158.07496902106567</v>
      </c>
      <c r="K476" s="46">
        <v>-8.3972863276814719E-2</v>
      </c>
    </row>
    <row r="477" spans="1:11" x14ac:dyDescent="0.2">
      <c r="A477" s="38" t="s">
        <v>7</v>
      </c>
      <c r="B477" s="38" t="s">
        <v>2289</v>
      </c>
      <c r="C477" s="43" t="s">
        <v>2290</v>
      </c>
      <c r="D477" s="38" t="s">
        <v>12342</v>
      </c>
      <c r="E477" s="44">
        <v>462</v>
      </c>
      <c r="F477" s="45">
        <v>63122</v>
      </c>
      <c r="G477" s="44">
        <v>242</v>
      </c>
      <c r="H477" s="45">
        <v>31661</v>
      </c>
      <c r="I477" s="45">
        <v>136.62770562770564</v>
      </c>
      <c r="J477" s="45">
        <v>130.8305785123967</v>
      </c>
      <c r="K477" s="46">
        <v>-4.2430099288247036E-2</v>
      </c>
    </row>
    <row r="478" spans="1:11" x14ac:dyDescent="0.2">
      <c r="A478" s="38" t="s">
        <v>7</v>
      </c>
      <c r="B478" s="38" t="s">
        <v>2292</v>
      </c>
      <c r="C478" s="43" t="s">
        <v>2293</v>
      </c>
      <c r="D478" s="38" t="s">
        <v>12342</v>
      </c>
      <c r="E478" s="44">
        <v>33591</v>
      </c>
      <c r="F478" s="45">
        <v>4849665</v>
      </c>
      <c r="G478" s="44">
        <v>37532</v>
      </c>
      <c r="H478" s="45">
        <v>4761182</v>
      </c>
      <c r="I478" s="45">
        <v>144.37393944806644</v>
      </c>
      <c r="J478" s="45">
        <v>126.85660236598103</v>
      </c>
      <c r="K478" s="46">
        <v>-0.12133309618794924</v>
      </c>
    </row>
    <row r="479" spans="1:11" x14ac:dyDescent="0.2">
      <c r="A479" s="38" t="s">
        <v>7</v>
      </c>
      <c r="B479" s="38" t="s">
        <v>2295</v>
      </c>
      <c r="C479" s="43" t="s">
        <v>2296</v>
      </c>
      <c r="D479" s="38" t="s">
        <v>12343</v>
      </c>
      <c r="E479" s="44">
        <v>3666</v>
      </c>
      <c r="F479" s="45">
        <v>1026513.2</v>
      </c>
      <c r="G479" s="44">
        <v>3391</v>
      </c>
      <c r="H479" s="45">
        <v>842195</v>
      </c>
      <c r="I479" s="45">
        <v>280.0090561920349</v>
      </c>
      <c r="J479" s="45">
        <v>248.36184016514304</v>
      </c>
      <c r="K479" s="46">
        <v>-0.11302211598894743</v>
      </c>
    </row>
    <row r="480" spans="1:11" x14ac:dyDescent="0.2">
      <c r="A480" s="38" t="s">
        <v>7</v>
      </c>
      <c r="B480" s="38" t="s">
        <v>2298</v>
      </c>
      <c r="C480" s="43" t="s">
        <v>2299</v>
      </c>
      <c r="D480" s="38" t="s">
        <v>12344</v>
      </c>
      <c r="E480" s="44">
        <v>142</v>
      </c>
      <c r="F480" s="45">
        <v>99147</v>
      </c>
      <c r="G480" s="44">
        <v>98</v>
      </c>
      <c r="H480" s="45">
        <v>63584</v>
      </c>
      <c r="I480" s="45">
        <v>698.21830985915494</v>
      </c>
      <c r="J480" s="45">
        <v>648.81632653061229</v>
      </c>
      <c r="K480" s="46">
        <v>-7.0754350940049185E-2</v>
      </c>
    </row>
    <row r="481" spans="1:11" x14ac:dyDescent="0.2">
      <c r="A481" s="38" t="s">
        <v>7</v>
      </c>
      <c r="B481" s="38" t="s">
        <v>2307</v>
      </c>
      <c r="C481" s="43" t="s">
        <v>2308</v>
      </c>
      <c r="D481" s="38" t="s">
        <v>12345</v>
      </c>
      <c r="E481" s="44">
        <v>7021</v>
      </c>
      <c r="F481" s="45">
        <v>8381391</v>
      </c>
      <c r="G481" s="44">
        <v>6637</v>
      </c>
      <c r="H481" s="45">
        <v>7217233</v>
      </c>
      <c r="I481" s="45">
        <v>1193.7602905569008</v>
      </c>
      <c r="J481" s="45">
        <v>1087.4239867409974</v>
      </c>
      <c r="K481" s="46">
        <v>-8.9076764118444993E-2</v>
      </c>
    </row>
    <row r="482" spans="1:11" x14ac:dyDescent="0.2">
      <c r="A482" s="38" t="s">
        <v>7</v>
      </c>
      <c r="B482" s="38" t="s">
        <v>2310</v>
      </c>
      <c r="C482" s="43" t="s">
        <v>2311</v>
      </c>
      <c r="D482" s="38" t="s">
        <v>12346</v>
      </c>
      <c r="E482" s="44">
        <v>3</v>
      </c>
      <c r="F482" s="45">
        <v>1557</v>
      </c>
      <c r="G482" s="44">
        <v>0</v>
      </c>
      <c r="H482" s="45">
        <v>0</v>
      </c>
      <c r="I482" s="45">
        <v>519</v>
      </c>
    </row>
    <row r="483" spans="1:11" x14ac:dyDescent="0.2">
      <c r="A483" s="38" t="s">
        <v>7</v>
      </c>
      <c r="B483" s="38" t="s">
        <v>2313</v>
      </c>
      <c r="C483" s="43" t="s">
        <v>2314</v>
      </c>
      <c r="D483" s="38" t="s">
        <v>12347</v>
      </c>
      <c r="E483" s="44">
        <v>-1</v>
      </c>
      <c r="F483" s="45">
        <v>-130</v>
      </c>
      <c r="G483" s="44">
        <v>5</v>
      </c>
      <c r="H483" s="45">
        <v>1222</v>
      </c>
      <c r="I483" s="45">
        <v>130</v>
      </c>
      <c r="J483" s="45">
        <v>244.4</v>
      </c>
      <c r="K483" s="46">
        <v>0.88</v>
      </c>
    </row>
    <row r="484" spans="1:11" x14ac:dyDescent="0.2">
      <c r="A484" s="38" t="s">
        <v>7</v>
      </c>
      <c r="B484" s="38" t="s">
        <v>2319</v>
      </c>
      <c r="C484" s="43" t="s">
        <v>2320</v>
      </c>
      <c r="D484" s="38" t="s">
        <v>12348</v>
      </c>
      <c r="E484" s="44">
        <v>11</v>
      </c>
      <c r="F484" s="45">
        <v>3307</v>
      </c>
      <c r="G484" s="44">
        <v>14</v>
      </c>
      <c r="H484" s="45">
        <v>4374</v>
      </c>
      <c r="I484" s="45">
        <v>300.63636363636363</v>
      </c>
      <c r="J484" s="45">
        <v>312.42857142857144</v>
      </c>
      <c r="K484" s="46">
        <v>3.9224156551039009E-2</v>
      </c>
    </row>
    <row r="485" spans="1:11" x14ac:dyDescent="0.2">
      <c r="A485" s="38" t="s">
        <v>7</v>
      </c>
      <c r="B485" s="38" t="s">
        <v>2322</v>
      </c>
      <c r="C485" s="43" t="s">
        <v>2323</v>
      </c>
      <c r="D485" s="38" t="s">
        <v>12349</v>
      </c>
      <c r="G485" s="44">
        <v>6</v>
      </c>
      <c r="H485" s="45">
        <v>6978.62</v>
      </c>
      <c r="J485" s="45">
        <v>1163.1033333333332</v>
      </c>
    </row>
    <row r="486" spans="1:11" x14ac:dyDescent="0.2">
      <c r="A486" s="38" t="s">
        <v>7</v>
      </c>
      <c r="B486" s="38" t="s">
        <v>2328</v>
      </c>
      <c r="C486" s="43" t="s">
        <v>2329</v>
      </c>
      <c r="D486" s="38" t="s">
        <v>12350</v>
      </c>
      <c r="E486" s="44">
        <v>33</v>
      </c>
      <c r="F486" s="45">
        <v>19770</v>
      </c>
      <c r="G486" s="44">
        <v>36</v>
      </c>
      <c r="H486" s="45">
        <v>24170</v>
      </c>
      <c r="I486" s="45">
        <v>599.09090909090912</v>
      </c>
      <c r="J486" s="45">
        <v>671.38888888888891</v>
      </c>
      <c r="K486" s="46">
        <v>0.12067948069465519</v>
      </c>
    </row>
    <row r="487" spans="1:11" x14ac:dyDescent="0.2">
      <c r="A487" s="38" t="s">
        <v>7</v>
      </c>
      <c r="B487" s="38" t="s">
        <v>2331</v>
      </c>
      <c r="C487" s="43" t="s">
        <v>2332</v>
      </c>
      <c r="D487" s="38" t="s">
        <v>12351</v>
      </c>
      <c r="E487" s="44">
        <v>5</v>
      </c>
      <c r="F487" s="45">
        <v>3139</v>
      </c>
      <c r="G487" s="44">
        <v>5</v>
      </c>
      <c r="H487" s="45">
        <v>3391</v>
      </c>
      <c r="I487" s="45">
        <v>627.79999999999995</v>
      </c>
      <c r="J487" s="45">
        <v>678.2</v>
      </c>
      <c r="K487" s="46">
        <v>8.0280344058617545E-2</v>
      </c>
    </row>
    <row r="488" spans="1:11" x14ac:dyDescent="0.2">
      <c r="A488" s="38" t="s">
        <v>7</v>
      </c>
      <c r="B488" s="38" t="s">
        <v>2334</v>
      </c>
      <c r="C488" s="43" t="s">
        <v>2335</v>
      </c>
      <c r="D488" s="38" t="s">
        <v>12352</v>
      </c>
      <c r="E488" s="44">
        <v>2</v>
      </c>
      <c r="F488" s="45">
        <v>910</v>
      </c>
      <c r="G488" s="44">
        <v>0</v>
      </c>
      <c r="H488" s="45">
        <v>0</v>
      </c>
      <c r="I488" s="45">
        <v>455</v>
      </c>
    </row>
    <row r="489" spans="1:11" x14ac:dyDescent="0.2">
      <c r="A489" s="38" t="s">
        <v>7</v>
      </c>
      <c r="B489" s="38" t="s">
        <v>2337</v>
      </c>
      <c r="C489" s="43" t="s">
        <v>2338</v>
      </c>
      <c r="D489" s="38" t="s">
        <v>12353</v>
      </c>
      <c r="E489" s="44">
        <v>252</v>
      </c>
      <c r="F489" s="45">
        <v>90369</v>
      </c>
      <c r="G489" s="44">
        <v>272</v>
      </c>
      <c r="H489" s="45">
        <v>96967</v>
      </c>
      <c r="I489" s="45">
        <v>358.60714285714283</v>
      </c>
      <c r="J489" s="45">
        <v>356.49632352941177</v>
      </c>
      <c r="K489" s="46">
        <v>-5.8861608581286546E-3</v>
      </c>
    </row>
    <row r="490" spans="1:11" x14ac:dyDescent="0.2">
      <c r="A490" s="38" t="s">
        <v>7</v>
      </c>
      <c r="B490" s="38" t="s">
        <v>2340</v>
      </c>
      <c r="C490" s="43" t="s">
        <v>2341</v>
      </c>
      <c r="D490" s="38" t="s">
        <v>12354</v>
      </c>
      <c r="E490" s="44">
        <v>157</v>
      </c>
      <c r="F490" s="45">
        <v>81026</v>
      </c>
      <c r="G490" s="44">
        <v>106</v>
      </c>
      <c r="H490" s="45">
        <v>53585</v>
      </c>
      <c r="I490" s="45">
        <v>516.08917197452229</v>
      </c>
      <c r="J490" s="45">
        <v>505.51886792452831</v>
      </c>
      <c r="K490" s="46">
        <v>-2.0481545872300923E-2</v>
      </c>
    </row>
    <row r="491" spans="1:11" x14ac:dyDescent="0.2">
      <c r="A491" s="38" t="s">
        <v>7</v>
      </c>
      <c r="B491" s="38" t="s">
        <v>2343</v>
      </c>
      <c r="C491" s="43" t="s">
        <v>2344</v>
      </c>
      <c r="D491" s="38" t="s">
        <v>12355</v>
      </c>
      <c r="E491" s="44">
        <v>467</v>
      </c>
      <c r="F491" s="45">
        <v>722450</v>
      </c>
      <c r="G491" s="44">
        <v>389</v>
      </c>
      <c r="H491" s="45">
        <v>567860</v>
      </c>
      <c r="I491" s="45">
        <v>1547.0021413276231</v>
      </c>
      <c r="J491" s="45">
        <v>1459.7943444730076</v>
      </c>
      <c r="K491" s="46">
        <v>-5.6372124203897055E-2</v>
      </c>
    </row>
    <row r="492" spans="1:11" x14ac:dyDescent="0.2">
      <c r="A492" s="38" t="s">
        <v>7</v>
      </c>
      <c r="B492" s="38" t="s">
        <v>2346</v>
      </c>
      <c r="C492" s="43" t="s">
        <v>2347</v>
      </c>
      <c r="D492" s="38" t="s">
        <v>12356</v>
      </c>
      <c r="E492" s="44">
        <v>51</v>
      </c>
      <c r="F492" s="45">
        <v>71925</v>
      </c>
      <c r="G492" s="44">
        <v>46</v>
      </c>
      <c r="H492" s="45">
        <v>70082</v>
      </c>
      <c r="I492" s="45">
        <v>1410.2941176470588</v>
      </c>
      <c r="J492" s="45">
        <v>1523.5217391304348</v>
      </c>
      <c r="K492" s="46">
        <v>8.0286530353175872E-2</v>
      </c>
    </row>
    <row r="493" spans="1:11" x14ac:dyDescent="0.2">
      <c r="A493" s="38" t="s">
        <v>7</v>
      </c>
      <c r="B493" s="38" t="s">
        <v>2349</v>
      </c>
      <c r="C493" s="43" t="s">
        <v>2350</v>
      </c>
      <c r="D493" s="38" t="s">
        <v>12357</v>
      </c>
      <c r="E493" s="44">
        <v>459</v>
      </c>
      <c r="F493" s="45">
        <v>143280</v>
      </c>
      <c r="G493" s="44">
        <v>403</v>
      </c>
      <c r="H493" s="45">
        <v>125027</v>
      </c>
      <c r="I493" s="45">
        <v>312.15686274509807</v>
      </c>
      <c r="J493" s="45">
        <v>310.24069478908189</v>
      </c>
      <c r="K493" s="46">
        <v>-6.1384777485442993E-3</v>
      </c>
    </row>
    <row r="494" spans="1:11" x14ac:dyDescent="0.2">
      <c r="A494" s="38" t="s">
        <v>7</v>
      </c>
      <c r="B494" s="38" t="s">
        <v>2351</v>
      </c>
      <c r="C494" s="43" t="s">
        <v>2352</v>
      </c>
      <c r="D494" s="38" t="s">
        <v>12358</v>
      </c>
      <c r="E494" s="44">
        <v>1210</v>
      </c>
      <c r="F494" s="45">
        <v>277618</v>
      </c>
      <c r="G494" s="44">
        <v>1058</v>
      </c>
      <c r="H494" s="45">
        <v>308079</v>
      </c>
      <c r="I494" s="45">
        <v>229.43636363636364</v>
      </c>
      <c r="J494" s="45">
        <v>291.1899810964083</v>
      </c>
      <c r="K494" s="46">
        <v>0.269153574792175</v>
      </c>
    </row>
    <row r="495" spans="1:11" x14ac:dyDescent="0.2">
      <c r="A495" s="38" t="s">
        <v>7</v>
      </c>
      <c r="B495" s="38" t="s">
        <v>2354</v>
      </c>
      <c r="C495" s="43" t="s">
        <v>2355</v>
      </c>
      <c r="D495" s="38" t="s">
        <v>12359</v>
      </c>
      <c r="E495" s="44">
        <v>27</v>
      </c>
      <c r="F495" s="45">
        <v>6155</v>
      </c>
      <c r="G495" s="44">
        <v>64</v>
      </c>
      <c r="H495" s="45">
        <v>20592</v>
      </c>
      <c r="I495" s="45">
        <v>227.96296296296296</v>
      </c>
      <c r="J495" s="45">
        <v>321.75</v>
      </c>
      <c r="K495" s="46">
        <v>0.41141348497156782</v>
      </c>
    </row>
    <row r="496" spans="1:11" x14ac:dyDescent="0.2">
      <c r="A496" s="38" t="s">
        <v>7</v>
      </c>
      <c r="B496" s="38" t="s">
        <v>2357</v>
      </c>
      <c r="C496" s="43" t="s">
        <v>2358</v>
      </c>
      <c r="D496" s="38" t="s">
        <v>12360</v>
      </c>
      <c r="E496" s="44">
        <v>266</v>
      </c>
      <c r="F496" s="45">
        <v>198094</v>
      </c>
      <c r="G496" s="44">
        <v>183</v>
      </c>
      <c r="H496" s="45">
        <v>142602</v>
      </c>
      <c r="I496" s="45">
        <v>744.71428571428567</v>
      </c>
      <c r="J496" s="45">
        <v>779.24590163934431</v>
      </c>
      <c r="K496" s="46">
        <v>4.6368945228354219E-2</v>
      </c>
    </row>
    <row r="497" spans="1:11" x14ac:dyDescent="0.2">
      <c r="A497" s="38" t="s">
        <v>7</v>
      </c>
      <c r="B497" s="38" t="s">
        <v>2360</v>
      </c>
      <c r="C497" s="43" t="s">
        <v>2361</v>
      </c>
      <c r="D497" s="38" t="s">
        <v>12361</v>
      </c>
      <c r="E497" s="44">
        <v>40</v>
      </c>
      <c r="F497" s="45">
        <v>10520</v>
      </c>
      <c r="G497" s="44">
        <v>47</v>
      </c>
      <c r="H497" s="45">
        <v>13408</v>
      </c>
      <c r="I497" s="45">
        <v>263</v>
      </c>
      <c r="J497" s="45">
        <v>285.27659574468083</v>
      </c>
      <c r="K497" s="46">
        <v>8.4701884960763626E-2</v>
      </c>
    </row>
    <row r="498" spans="1:11" x14ac:dyDescent="0.2">
      <c r="A498" s="38" t="s">
        <v>7</v>
      </c>
      <c r="B498" s="38" t="s">
        <v>2363</v>
      </c>
      <c r="C498" s="43" t="s">
        <v>2364</v>
      </c>
      <c r="D498" s="38" t="s">
        <v>12362</v>
      </c>
      <c r="E498" s="44">
        <v>61</v>
      </c>
      <c r="F498" s="45">
        <v>32259</v>
      </c>
      <c r="G498" s="44">
        <v>34</v>
      </c>
      <c r="H498" s="45">
        <v>18418</v>
      </c>
      <c r="I498" s="45">
        <v>528.8360655737705</v>
      </c>
      <c r="J498" s="45">
        <v>541.70588235294122</v>
      </c>
      <c r="K498" s="46">
        <v>2.4336117781996153E-2</v>
      </c>
    </row>
    <row r="499" spans="1:11" x14ac:dyDescent="0.2">
      <c r="A499" s="38" t="s">
        <v>7</v>
      </c>
      <c r="B499" s="38" t="s">
        <v>2369</v>
      </c>
      <c r="C499" s="43" t="s">
        <v>2370</v>
      </c>
      <c r="D499" s="38" t="s">
        <v>12363</v>
      </c>
      <c r="E499" s="44">
        <v>14</v>
      </c>
      <c r="F499" s="45">
        <v>10980</v>
      </c>
      <c r="G499" s="44">
        <v>10</v>
      </c>
      <c r="H499" s="45">
        <v>9016</v>
      </c>
      <c r="I499" s="45">
        <v>784.28571428571433</v>
      </c>
      <c r="J499" s="45">
        <v>901.6</v>
      </c>
      <c r="K499" s="46">
        <v>0.14958105646630232</v>
      </c>
    </row>
    <row r="500" spans="1:11" x14ac:dyDescent="0.2">
      <c r="A500" s="38" t="s">
        <v>7</v>
      </c>
      <c r="B500" s="38" t="s">
        <v>2372</v>
      </c>
      <c r="C500" s="43" t="s">
        <v>2373</v>
      </c>
      <c r="D500" s="38" t="s">
        <v>12364</v>
      </c>
      <c r="E500" s="44">
        <v>453</v>
      </c>
      <c r="F500" s="45">
        <v>94771</v>
      </c>
      <c r="G500" s="44">
        <v>332</v>
      </c>
      <c r="H500" s="45">
        <v>93860</v>
      </c>
      <c r="I500" s="45">
        <v>209.20750551876381</v>
      </c>
      <c r="J500" s="45">
        <v>282.71084337349396</v>
      </c>
      <c r="K500" s="46">
        <v>0.35134178227720247</v>
      </c>
    </row>
    <row r="501" spans="1:11" x14ac:dyDescent="0.2">
      <c r="A501" s="38" t="s">
        <v>7</v>
      </c>
      <c r="B501" s="38" t="s">
        <v>2375</v>
      </c>
      <c r="C501" s="43" t="s">
        <v>2376</v>
      </c>
      <c r="D501" s="38" t="s">
        <v>12365</v>
      </c>
      <c r="E501" s="44">
        <v>786</v>
      </c>
      <c r="F501" s="45">
        <v>598264</v>
      </c>
      <c r="G501" s="44">
        <v>574</v>
      </c>
      <c r="H501" s="45">
        <v>406278</v>
      </c>
      <c r="I501" s="45">
        <v>761.15012722646316</v>
      </c>
      <c r="J501" s="45">
        <v>707.80139372822305</v>
      </c>
      <c r="K501" s="46">
        <v>-7.0089633555782599E-2</v>
      </c>
    </row>
    <row r="502" spans="1:11" x14ac:dyDescent="0.2">
      <c r="A502" s="38" t="s">
        <v>7</v>
      </c>
      <c r="B502" s="38" t="s">
        <v>2384</v>
      </c>
      <c r="C502" s="43" t="s">
        <v>2385</v>
      </c>
      <c r="D502" s="38" t="s">
        <v>12366</v>
      </c>
      <c r="E502" s="44">
        <v>709</v>
      </c>
      <c r="F502" s="45">
        <v>787532</v>
      </c>
      <c r="G502" s="44">
        <v>819</v>
      </c>
      <c r="H502" s="45">
        <v>995436</v>
      </c>
      <c r="I502" s="45">
        <v>1110.7644569816644</v>
      </c>
      <c r="J502" s="45">
        <v>1215.4285714285713</v>
      </c>
      <c r="K502" s="46">
        <v>9.4227100794452859E-2</v>
      </c>
    </row>
    <row r="503" spans="1:11" x14ac:dyDescent="0.2">
      <c r="A503" s="38" t="s">
        <v>7</v>
      </c>
      <c r="B503" s="38" t="s">
        <v>2387</v>
      </c>
      <c r="C503" s="43" t="s">
        <v>2388</v>
      </c>
      <c r="D503" s="38" t="s">
        <v>12367</v>
      </c>
      <c r="E503" s="44">
        <v>97</v>
      </c>
      <c r="F503" s="45">
        <v>27115</v>
      </c>
      <c r="G503" s="44">
        <v>94</v>
      </c>
      <c r="H503" s="45">
        <v>25337</v>
      </c>
      <c r="I503" s="45">
        <v>279.53608247422682</v>
      </c>
      <c r="J503" s="45">
        <v>269.54255319148939</v>
      </c>
      <c r="K503" s="46">
        <v>-3.575040901440274E-2</v>
      </c>
    </row>
    <row r="504" spans="1:11" x14ac:dyDescent="0.2">
      <c r="A504" s="38" t="s">
        <v>7</v>
      </c>
      <c r="B504" s="38" t="s">
        <v>2390</v>
      </c>
      <c r="C504" s="43" t="s">
        <v>2391</v>
      </c>
      <c r="D504" s="38" t="s">
        <v>12368</v>
      </c>
      <c r="E504" s="44">
        <v>113</v>
      </c>
      <c r="F504" s="45">
        <v>182311</v>
      </c>
      <c r="G504" s="44">
        <v>153</v>
      </c>
      <c r="H504" s="45">
        <v>235195</v>
      </c>
      <c r="I504" s="45">
        <v>1613.3716814159293</v>
      </c>
      <c r="J504" s="45">
        <v>1537.2222222222222</v>
      </c>
      <c r="K504" s="46">
        <v>-4.7198956118330235E-2</v>
      </c>
    </row>
    <row r="505" spans="1:11" x14ac:dyDescent="0.2">
      <c r="A505" s="38" t="s">
        <v>7</v>
      </c>
      <c r="B505" s="38" t="s">
        <v>2393</v>
      </c>
      <c r="C505" s="43" t="s">
        <v>2394</v>
      </c>
      <c r="D505" s="38" t="s">
        <v>12369</v>
      </c>
      <c r="G505" s="44">
        <v>13</v>
      </c>
      <c r="H505" s="45">
        <v>4443</v>
      </c>
      <c r="J505" s="45">
        <v>341.76923076923077</v>
      </c>
    </row>
    <row r="506" spans="1:11" x14ac:dyDescent="0.2">
      <c r="A506" s="38" t="s">
        <v>7</v>
      </c>
      <c r="B506" s="38" t="s">
        <v>2402</v>
      </c>
      <c r="C506" s="43" t="s">
        <v>2403</v>
      </c>
      <c r="D506" s="38" t="s">
        <v>12370</v>
      </c>
      <c r="G506" s="44">
        <v>3</v>
      </c>
      <c r="H506" s="45">
        <v>4490</v>
      </c>
      <c r="J506" s="45">
        <v>1496.6666666666667</v>
      </c>
    </row>
    <row r="507" spans="1:11" x14ac:dyDescent="0.2">
      <c r="A507" s="38" t="s">
        <v>7</v>
      </c>
      <c r="B507" s="38" t="s">
        <v>2405</v>
      </c>
      <c r="C507" s="43" t="s">
        <v>2406</v>
      </c>
      <c r="D507" s="38" t="s">
        <v>12371</v>
      </c>
      <c r="E507" s="44">
        <v>10643</v>
      </c>
      <c r="F507" s="45">
        <v>17939795</v>
      </c>
      <c r="G507" s="44">
        <v>10710</v>
      </c>
      <c r="H507" s="45">
        <v>15765270</v>
      </c>
      <c r="I507" s="45">
        <v>1685.5956967020577</v>
      </c>
      <c r="J507" s="45">
        <v>1472.0140056022408</v>
      </c>
      <c r="K507" s="46">
        <v>-0.12670991716323132</v>
      </c>
    </row>
    <row r="508" spans="1:11" x14ac:dyDescent="0.2">
      <c r="A508" s="38" t="s">
        <v>7</v>
      </c>
      <c r="B508" s="38" t="s">
        <v>2408</v>
      </c>
      <c r="C508" s="43" t="s">
        <v>2409</v>
      </c>
      <c r="D508" s="38" t="s">
        <v>12372</v>
      </c>
      <c r="E508" s="44">
        <v>192</v>
      </c>
      <c r="F508" s="45">
        <v>957162</v>
      </c>
      <c r="G508" s="44">
        <v>204</v>
      </c>
      <c r="H508" s="45">
        <v>911256</v>
      </c>
      <c r="I508" s="45">
        <v>4985.21875</v>
      </c>
      <c r="J508" s="45">
        <v>4466.9411764705883</v>
      </c>
      <c r="K508" s="46">
        <v>-0.10396285489566766</v>
      </c>
    </row>
    <row r="509" spans="1:11" x14ac:dyDescent="0.2">
      <c r="A509" s="38" t="s">
        <v>7</v>
      </c>
      <c r="B509" s="38" t="s">
        <v>2429</v>
      </c>
      <c r="C509" s="43" t="s">
        <v>2430</v>
      </c>
      <c r="D509" s="38" t="s">
        <v>12373</v>
      </c>
      <c r="E509" s="44">
        <v>27</v>
      </c>
      <c r="F509" s="45">
        <v>58119</v>
      </c>
      <c r="G509" s="44">
        <v>52</v>
      </c>
      <c r="H509" s="45">
        <v>97884</v>
      </c>
      <c r="I509" s="45">
        <v>2152.5555555555557</v>
      </c>
      <c r="J509" s="45">
        <v>1882.3846153846155</v>
      </c>
      <c r="K509" s="46">
        <v>-0.12551171535324737</v>
      </c>
    </row>
    <row r="510" spans="1:11" x14ac:dyDescent="0.2">
      <c r="A510" s="38" t="s">
        <v>7</v>
      </c>
      <c r="B510" s="38" t="s">
        <v>2435</v>
      </c>
      <c r="C510" s="43" t="s">
        <v>2436</v>
      </c>
      <c r="D510" s="38" t="s">
        <v>12374</v>
      </c>
      <c r="E510" s="44">
        <v>2108</v>
      </c>
      <c r="F510" s="45">
        <v>17718204</v>
      </c>
      <c r="G510" s="44">
        <v>2235</v>
      </c>
      <c r="H510" s="45">
        <v>17302440</v>
      </c>
      <c r="I510" s="45">
        <v>8405.2201138519922</v>
      </c>
      <c r="J510" s="45">
        <v>7741.5838926174492</v>
      </c>
      <c r="K510" s="46">
        <v>-7.8955245935898283E-2</v>
      </c>
    </row>
    <row r="511" spans="1:11" x14ac:dyDescent="0.2">
      <c r="A511" s="38" t="s">
        <v>7</v>
      </c>
      <c r="B511" s="38" t="s">
        <v>2438</v>
      </c>
      <c r="C511" s="43" t="s">
        <v>2439</v>
      </c>
      <c r="D511" s="38" t="s">
        <v>12375</v>
      </c>
      <c r="E511" s="44">
        <v>46</v>
      </c>
      <c r="F511" s="45">
        <v>125575</v>
      </c>
      <c r="G511" s="44">
        <v>46</v>
      </c>
      <c r="H511" s="45">
        <v>147231</v>
      </c>
      <c r="I511" s="45">
        <v>2729.891304347826</v>
      </c>
      <c r="J511" s="45">
        <v>3200.6739130434785</v>
      </c>
      <c r="K511" s="46">
        <v>0.17245470834162863</v>
      </c>
    </row>
    <row r="512" spans="1:11" x14ac:dyDescent="0.2">
      <c r="A512" s="38" t="s">
        <v>7</v>
      </c>
      <c r="B512" s="38" t="s">
        <v>2444</v>
      </c>
      <c r="C512" s="43" t="s">
        <v>2445</v>
      </c>
      <c r="D512" s="38" t="s">
        <v>12376</v>
      </c>
      <c r="E512" s="44">
        <v>19</v>
      </c>
      <c r="F512" s="45">
        <v>113993</v>
      </c>
      <c r="G512" s="44">
        <v>12</v>
      </c>
      <c r="H512" s="45">
        <v>74016</v>
      </c>
      <c r="I512" s="45">
        <v>5999.6315789473683</v>
      </c>
      <c r="J512" s="45">
        <v>6168</v>
      </c>
      <c r="K512" s="46">
        <v>2.8063126683217407E-2</v>
      </c>
    </row>
    <row r="513" spans="1:11" x14ac:dyDescent="0.2">
      <c r="A513" s="38" t="s">
        <v>7</v>
      </c>
      <c r="B513" s="38" t="s">
        <v>2447</v>
      </c>
      <c r="C513" s="43" t="s">
        <v>2448</v>
      </c>
      <c r="D513" s="38" t="s">
        <v>12377</v>
      </c>
      <c r="E513" s="44">
        <v>60</v>
      </c>
      <c r="F513" s="45">
        <v>435112</v>
      </c>
      <c r="G513" s="44">
        <v>65</v>
      </c>
      <c r="H513" s="45">
        <v>460674</v>
      </c>
      <c r="I513" s="45">
        <v>7251.8666666666668</v>
      </c>
      <c r="J513" s="45">
        <v>7087.292307692308</v>
      </c>
      <c r="K513" s="46">
        <v>-2.2694068512156704E-2</v>
      </c>
    </row>
    <row r="514" spans="1:11" x14ac:dyDescent="0.2">
      <c r="A514" s="38" t="s">
        <v>7</v>
      </c>
      <c r="B514" s="38" t="s">
        <v>2465</v>
      </c>
      <c r="C514" s="43" t="s">
        <v>2466</v>
      </c>
      <c r="D514" s="38" t="s">
        <v>12378</v>
      </c>
      <c r="E514" s="44">
        <v>5</v>
      </c>
      <c r="F514" s="45">
        <v>42062.49</v>
      </c>
      <c r="G514" s="44">
        <v>2</v>
      </c>
      <c r="H514" s="45">
        <v>17078</v>
      </c>
      <c r="I514" s="45">
        <v>8412.4979999999996</v>
      </c>
      <c r="J514" s="45">
        <v>8539</v>
      </c>
      <c r="K514" s="46">
        <v>1.5037388418992837E-2</v>
      </c>
    </row>
    <row r="515" spans="1:11" x14ac:dyDescent="0.2">
      <c r="A515" s="38" t="s">
        <v>7</v>
      </c>
      <c r="B515" s="38" t="s">
        <v>2471</v>
      </c>
      <c r="C515" s="43" t="s">
        <v>2472</v>
      </c>
      <c r="G515" s="44">
        <v>1</v>
      </c>
      <c r="H515" s="45">
        <v>4812</v>
      </c>
      <c r="J515" s="45">
        <v>4812</v>
      </c>
    </row>
    <row r="516" spans="1:11" x14ac:dyDescent="0.2">
      <c r="A516" s="38" t="s">
        <v>7</v>
      </c>
      <c r="B516" s="38" t="s">
        <v>2480</v>
      </c>
      <c r="C516" s="43" t="s">
        <v>2481</v>
      </c>
      <c r="G516" s="44">
        <v>3</v>
      </c>
      <c r="H516" s="45">
        <v>116393.07</v>
      </c>
      <c r="J516" s="45">
        <v>38797.69</v>
      </c>
    </row>
    <row r="517" spans="1:11" x14ac:dyDescent="0.2">
      <c r="A517" s="38" t="s">
        <v>7</v>
      </c>
      <c r="B517" s="38" t="s">
        <v>2483</v>
      </c>
      <c r="C517" s="43" t="s">
        <v>2484</v>
      </c>
      <c r="G517" s="44">
        <v>2</v>
      </c>
      <c r="H517" s="45">
        <v>3014</v>
      </c>
      <c r="J517" s="45">
        <v>1507</v>
      </c>
    </row>
    <row r="518" spans="1:11" x14ac:dyDescent="0.2">
      <c r="A518" s="38" t="s">
        <v>7</v>
      </c>
      <c r="B518" s="38" t="s">
        <v>2489</v>
      </c>
      <c r="C518" s="43" t="s">
        <v>2490</v>
      </c>
      <c r="G518" s="44">
        <v>1</v>
      </c>
      <c r="H518" s="45">
        <v>13635</v>
      </c>
      <c r="J518" s="45">
        <v>13635</v>
      </c>
    </row>
    <row r="519" spans="1:11" x14ac:dyDescent="0.2">
      <c r="A519" s="38" t="s">
        <v>7</v>
      </c>
      <c r="B519" s="38" t="s">
        <v>2495</v>
      </c>
      <c r="C519" s="43" t="s">
        <v>2496</v>
      </c>
      <c r="G519" s="44">
        <v>1</v>
      </c>
      <c r="H519" s="45">
        <v>2879</v>
      </c>
      <c r="J519" s="45">
        <v>2879</v>
      </c>
    </row>
    <row r="520" spans="1:11" x14ac:dyDescent="0.2">
      <c r="A520" s="38" t="s">
        <v>7</v>
      </c>
      <c r="B520" s="38" t="s">
        <v>2501</v>
      </c>
      <c r="C520" s="43" t="s">
        <v>2502</v>
      </c>
      <c r="E520" s="44">
        <v>8</v>
      </c>
      <c r="F520" s="45">
        <v>392422</v>
      </c>
      <c r="G520" s="44">
        <v>2</v>
      </c>
      <c r="H520" s="45">
        <v>102868</v>
      </c>
      <c r="I520" s="45">
        <v>49052.75</v>
      </c>
      <c r="J520" s="45">
        <v>51434</v>
      </c>
      <c r="K520" s="46">
        <v>4.8544678942566928E-2</v>
      </c>
    </row>
    <row r="521" spans="1:11" x14ac:dyDescent="0.2">
      <c r="A521" s="38" t="s">
        <v>7</v>
      </c>
      <c r="B521" s="38" t="s">
        <v>2504</v>
      </c>
      <c r="C521" s="43" t="s">
        <v>2505</v>
      </c>
      <c r="G521" s="44">
        <v>1</v>
      </c>
      <c r="H521" s="45">
        <v>20721</v>
      </c>
      <c r="J521" s="45">
        <v>20721</v>
      </c>
    </row>
    <row r="522" spans="1:11" x14ac:dyDescent="0.2">
      <c r="A522" s="38" t="s">
        <v>7</v>
      </c>
      <c r="B522" s="38" t="s">
        <v>2507</v>
      </c>
      <c r="C522" s="43" t="s">
        <v>2508</v>
      </c>
      <c r="G522" s="44">
        <v>3</v>
      </c>
      <c r="H522" s="45">
        <v>318933</v>
      </c>
      <c r="J522" s="45">
        <v>106311</v>
      </c>
    </row>
    <row r="523" spans="1:11" x14ac:dyDescent="0.2">
      <c r="A523" s="38" t="s">
        <v>7</v>
      </c>
      <c r="B523" s="38" t="s">
        <v>2510</v>
      </c>
      <c r="C523" s="43" t="s">
        <v>2511</v>
      </c>
      <c r="E523" s="44">
        <v>1</v>
      </c>
      <c r="F523" s="45">
        <v>4536</v>
      </c>
      <c r="G523" s="44">
        <v>0</v>
      </c>
      <c r="H523" s="45">
        <v>0</v>
      </c>
      <c r="I523" s="45">
        <v>4536</v>
      </c>
    </row>
    <row r="524" spans="1:11" x14ac:dyDescent="0.2">
      <c r="A524" s="38" t="s">
        <v>7</v>
      </c>
      <c r="B524" s="38" t="s">
        <v>2513</v>
      </c>
      <c r="C524" s="43" t="s">
        <v>2514</v>
      </c>
      <c r="G524" s="44">
        <v>2</v>
      </c>
      <c r="H524" s="45">
        <v>60214</v>
      </c>
      <c r="J524" s="45">
        <v>30107</v>
      </c>
    </row>
    <row r="525" spans="1:11" x14ac:dyDescent="0.2">
      <c r="A525" s="38" t="s">
        <v>7</v>
      </c>
      <c r="B525" s="38" t="s">
        <v>2516</v>
      </c>
      <c r="C525" s="43" t="s">
        <v>2517</v>
      </c>
      <c r="E525" s="44">
        <v>16</v>
      </c>
      <c r="F525" s="45">
        <v>803894</v>
      </c>
      <c r="G525" s="44">
        <v>11</v>
      </c>
      <c r="H525" s="45">
        <v>565774</v>
      </c>
      <c r="I525" s="45">
        <v>50243.375</v>
      </c>
      <c r="J525" s="45">
        <v>51434</v>
      </c>
      <c r="K525" s="46">
        <v>2.3697154102406536E-2</v>
      </c>
    </row>
    <row r="526" spans="1:11" x14ac:dyDescent="0.2">
      <c r="A526" s="38" t="s">
        <v>7</v>
      </c>
      <c r="B526" s="38" t="s">
        <v>2519</v>
      </c>
      <c r="C526" s="43" t="s">
        <v>2520</v>
      </c>
      <c r="G526" s="44">
        <v>5</v>
      </c>
      <c r="H526" s="45">
        <v>433952</v>
      </c>
      <c r="J526" s="45">
        <v>86790.399999999994</v>
      </c>
    </row>
    <row r="527" spans="1:11" x14ac:dyDescent="0.2">
      <c r="A527" s="38" t="s">
        <v>7</v>
      </c>
      <c r="B527" s="38" t="s">
        <v>2522</v>
      </c>
      <c r="C527" s="43" t="s">
        <v>2523</v>
      </c>
      <c r="E527" s="44">
        <v>24</v>
      </c>
      <c r="F527" s="45">
        <v>2464839</v>
      </c>
      <c r="G527" s="44">
        <v>17</v>
      </c>
      <c r="H527" s="45">
        <v>1807287</v>
      </c>
      <c r="I527" s="45">
        <v>102701.625</v>
      </c>
      <c r="J527" s="45">
        <v>106311</v>
      </c>
      <c r="K527" s="46">
        <v>3.5144283257446021E-2</v>
      </c>
    </row>
    <row r="528" spans="1:11" x14ac:dyDescent="0.2">
      <c r="A528" s="38" t="s">
        <v>7</v>
      </c>
      <c r="B528" s="38" t="s">
        <v>2525</v>
      </c>
      <c r="C528" s="43" t="s">
        <v>2526</v>
      </c>
      <c r="G528" s="44">
        <v>2</v>
      </c>
      <c r="H528" s="45">
        <v>324078</v>
      </c>
      <c r="J528" s="45">
        <v>162039</v>
      </c>
    </row>
    <row r="529" spans="1:11" x14ac:dyDescent="0.2">
      <c r="A529" s="38" t="s">
        <v>7</v>
      </c>
      <c r="B529" s="38" t="s">
        <v>2528</v>
      </c>
      <c r="C529" s="43" t="s">
        <v>2529</v>
      </c>
      <c r="E529" s="44">
        <v>17</v>
      </c>
      <c r="F529" s="45">
        <v>1728537</v>
      </c>
      <c r="G529" s="44">
        <v>13</v>
      </c>
      <c r="H529" s="45">
        <v>1285104</v>
      </c>
      <c r="I529" s="45">
        <v>101678.64705882352</v>
      </c>
      <c r="J529" s="45">
        <v>98854.153846153844</v>
      </c>
      <c r="K529" s="46">
        <v>-2.7778627021223478E-2</v>
      </c>
    </row>
    <row r="530" spans="1:11" x14ac:dyDescent="0.2">
      <c r="A530" s="38" t="s">
        <v>7</v>
      </c>
      <c r="B530" s="38" t="s">
        <v>2531</v>
      </c>
      <c r="C530" s="43" t="s">
        <v>2532</v>
      </c>
      <c r="E530" s="44">
        <v>6</v>
      </c>
      <c r="F530" s="45">
        <v>140936</v>
      </c>
      <c r="G530" s="44">
        <v>0</v>
      </c>
      <c r="H530" s="45">
        <v>0</v>
      </c>
      <c r="I530" s="45">
        <v>23489.333333333332</v>
      </c>
    </row>
    <row r="531" spans="1:11" x14ac:dyDescent="0.2">
      <c r="A531" s="38" t="s">
        <v>7</v>
      </c>
      <c r="B531" s="38" t="s">
        <v>2534</v>
      </c>
      <c r="C531" s="43" t="s">
        <v>2535</v>
      </c>
      <c r="E531" s="44">
        <v>28</v>
      </c>
      <c r="F531" s="45">
        <v>4049099</v>
      </c>
      <c r="G531" s="44">
        <v>20</v>
      </c>
      <c r="H531" s="45">
        <v>2995220</v>
      </c>
      <c r="I531" s="45">
        <v>144610.67857142858</v>
      </c>
      <c r="J531" s="45">
        <v>149761</v>
      </c>
      <c r="K531" s="46">
        <v>3.5615083750730657E-2</v>
      </c>
    </row>
    <row r="532" spans="1:11" x14ac:dyDescent="0.2">
      <c r="A532" s="38" t="s">
        <v>7</v>
      </c>
      <c r="B532" s="38" t="s">
        <v>2537</v>
      </c>
      <c r="C532" s="43" t="s">
        <v>2538</v>
      </c>
      <c r="E532" s="44">
        <v>1</v>
      </c>
      <c r="F532" s="45">
        <v>40132</v>
      </c>
      <c r="G532" s="44">
        <v>1</v>
      </c>
      <c r="H532" s="45">
        <v>40132</v>
      </c>
      <c r="I532" s="45">
        <v>40132</v>
      </c>
      <c r="J532" s="45">
        <v>40132</v>
      </c>
      <c r="K532" s="46">
        <v>0</v>
      </c>
    </row>
    <row r="533" spans="1:11" x14ac:dyDescent="0.2">
      <c r="A533" s="38" t="s">
        <v>7</v>
      </c>
      <c r="B533" s="38" t="s">
        <v>2540</v>
      </c>
      <c r="C533" s="43" t="s">
        <v>2541</v>
      </c>
      <c r="G533" s="44">
        <v>1</v>
      </c>
      <c r="H533" s="45">
        <v>162043</v>
      </c>
      <c r="J533" s="45">
        <v>162043</v>
      </c>
    </row>
    <row r="534" spans="1:11" x14ac:dyDescent="0.2">
      <c r="A534" s="38" t="s">
        <v>7</v>
      </c>
      <c r="B534" s="38" t="s">
        <v>2552</v>
      </c>
      <c r="C534" s="43" t="s">
        <v>2553</v>
      </c>
      <c r="D534" s="38" t="s">
        <v>12379</v>
      </c>
      <c r="E534" s="44">
        <v>80</v>
      </c>
      <c r="F534" s="45">
        <v>203324</v>
      </c>
      <c r="G534" s="44">
        <v>52</v>
      </c>
      <c r="H534" s="45">
        <v>139768</v>
      </c>
      <c r="I534" s="45">
        <v>2541.5500000000002</v>
      </c>
      <c r="J534" s="45">
        <v>2687.8461538461538</v>
      </c>
      <c r="K534" s="46">
        <v>5.7561784677127588E-2</v>
      </c>
    </row>
    <row r="535" spans="1:11" x14ac:dyDescent="0.2">
      <c r="A535" s="38" t="s">
        <v>7</v>
      </c>
      <c r="B535" s="38" t="s">
        <v>2558</v>
      </c>
      <c r="C535" s="43" t="s">
        <v>2559</v>
      </c>
      <c r="G535" s="44">
        <v>1</v>
      </c>
      <c r="H535" s="45">
        <v>320019</v>
      </c>
      <c r="J535" s="45">
        <v>320019</v>
      </c>
    </row>
    <row r="536" spans="1:11" x14ac:dyDescent="0.2">
      <c r="A536" s="38" t="s">
        <v>7</v>
      </c>
      <c r="B536" s="38" t="s">
        <v>2561</v>
      </c>
      <c r="C536" s="43" t="s">
        <v>2562</v>
      </c>
      <c r="G536" s="44">
        <v>1</v>
      </c>
      <c r="H536" s="45">
        <v>76186</v>
      </c>
      <c r="J536" s="45">
        <v>76186</v>
      </c>
    </row>
    <row r="537" spans="1:11" x14ac:dyDescent="0.2">
      <c r="A537" s="38" t="s">
        <v>7</v>
      </c>
      <c r="B537" s="38" t="s">
        <v>2579</v>
      </c>
      <c r="C537" s="43" t="s">
        <v>2580</v>
      </c>
      <c r="G537" s="44">
        <v>1</v>
      </c>
      <c r="H537" s="45">
        <v>6332</v>
      </c>
      <c r="J537" s="45">
        <v>6332</v>
      </c>
    </row>
    <row r="538" spans="1:11" x14ac:dyDescent="0.2">
      <c r="A538" s="38" t="s">
        <v>7</v>
      </c>
      <c r="B538" s="38" t="s">
        <v>2585</v>
      </c>
      <c r="C538" s="43" t="s">
        <v>2586</v>
      </c>
      <c r="E538" s="44">
        <v>21</v>
      </c>
      <c r="F538" s="45">
        <v>281946</v>
      </c>
      <c r="G538" s="44">
        <v>23</v>
      </c>
      <c r="H538" s="45">
        <v>284545</v>
      </c>
      <c r="I538" s="45">
        <v>13426</v>
      </c>
      <c r="J538" s="45">
        <v>12371.521739130434</v>
      </c>
      <c r="K538" s="46">
        <v>-7.8540016450883807E-2</v>
      </c>
    </row>
    <row r="539" spans="1:11" x14ac:dyDescent="0.2">
      <c r="A539" s="38" t="s">
        <v>7</v>
      </c>
      <c r="B539" s="38" t="s">
        <v>2588</v>
      </c>
      <c r="C539" s="43" t="s">
        <v>2589</v>
      </c>
      <c r="G539" s="44">
        <v>5</v>
      </c>
      <c r="H539" s="45">
        <v>18135</v>
      </c>
      <c r="J539" s="45">
        <v>3627</v>
      </c>
    </row>
    <row r="540" spans="1:11" x14ac:dyDescent="0.2">
      <c r="A540" s="38" t="s">
        <v>7</v>
      </c>
      <c r="B540" s="38" t="s">
        <v>2638</v>
      </c>
      <c r="C540" s="43" t="s">
        <v>2639</v>
      </c>
      <c r="D540" s="38" t="s">
        <v>12380</v>
      </c>
      <c r="G540" s="44">
        <v>5</v>
      </c>
      <c r="H540" s="45">
        <v>34620</v>
      </c>
      <c r="J540" s="45">
        <v>6924</v>
      </c>
    </row>
    <row r="541" spans="1:11" x14ac:dyDescent="0.2">
      <c r="A541" s="38" t="s">
        <v>7</v>
      </c>
      <c r="B541" s="38" t="s">
        <v>2674</v>
      </c>
      <c r="C541" s="43" t="s">
        <v>2675</v>
      </c>
      <c r="D541" s="38" t="s">
        <v>12381</v>
      </c>
      <c r="E541" s="44">
        <v>38</v>
      </c>
      <c r="F541" s="45">
        <v>245128</v>
      </c>
      <c r="G541" s="44">
        <v>41</v>
      </c>
      <c r="H541" s="45">
        <v>240662</v>
      </c>
      <c r="I541" s="45">
        <v>6450.7368421052633</v>
      </c>
      <c r="J541" s="45">
        <v>5869.8048780487807</v>
      </c>
      <c r="K541" s="46">
        <v>-9.0056683178365349E-2</v>
      </c>
    </row>
    <row r="542" spans="1:11" x14ac:dyDescent="0.2">
      <c r="A542" s="38" t="s">
        <v>7</v>
      </c>
      <c r="B542" s="38" t="s">
        <v>2692</v>
      </c>
      <c r="C542" s="43" t="s">
        <v>2693</v>
      </c>
      <c r="G542" s="44">
        <v>2</v>
      </c>
      <c r="H542" s="45">
        <v>11440</v>
      </c>
      <c r="J542" s="45">
        <v>5720</v>
      </c>
    </row>
    <row r="543" spans="1:11" x14ac:dyDescent="0.2">
      <c r="A543" s="38" t="s">
        <v>7</v>
      </c>
      <c r="B543" s="38" t="s">
        <v>2701</v>
      </c>
      <c r="C543" s="43" t="s">
        <v>2702</v>
      </c>
      <c r="E543" s="44">
        <v>2</v>
      </c>
      <c r="F543" s="45">
        <v>75171</v>
      </c>
      <c r="G543" s="44">
        <v>6</v>
      </c>
      <c r="H543" s="45">
        <v>234186</v>
      </c>
      <c r="I543" s="45">
        <v>37585.5</v>
      </c>
      <c r="J543" s="45">
        <v>39031</v>
      </c>
      <c r="K543" s="46">
        <v>3.8458980191829299E-2</v>
      </c>
    </row>
    <row r="544" spans="1:11" x14ac:dyDescent="0.2">
      <c r="A544" s="38" t="s">
        <v>7</v>
      </c>
      <c r="B544" s="38" t="s">
        <v>2707</v>
      </c>
      <c r="C544" s="43" t="s">
        <v>2708</v>
      </c>
      <c r="G544" s="44">
        <v>2</v>
      </c>
      <c r="H544" s="45">
        <v>22650</v>
      </c>
      <c r="J544" s="45">
        <v>11325</v>
      </c>
    </row>
    <row r="545" spans="1:11" x14ac:dyDescent="0.2">
      <c r="A545" s="38" t="s">
        <v>7</v>
      </c>
      <c r="B545" s="38" t="s">
        <v>2713</v>
      </c>
      <c r="C545" s="43" t="s">
        <v>2714</v>
      </c>
      <c r="G545" s="44">
        <v>2</v>
      </c>
      <c r="H545" s="45">
        <v>6564</v>
      </c>
      <c r="J545" s="45">
        <v>3282</v>
      </c>
    </row>
    <row r="546" spans="1:11" x14ac:dyDescent="0.2">
      <c r="A546" s="38" t="s">
        <v>7</v>
      </c>
      <c r="B546" s="38" t="s">
        <v>2716</v>
      </c>
      <c r="C546" s="43" t="s">
        <v>2717</v>
      </c>
      <c r="G546" s="44">
        <v>1</v>
      </c>
      <c r="H546" s="45">
        <v>14679</v>
      </c>
      <c r="J546" s="45">
        <v>14679</v>
      </c>
    </row>
    <row r="547" spans="1:11" x14ac:dyDescent="0.2">
      <c r="A547" s="38" t="s">
        <v>7</v>
      </c>
      <c r="B547" s="38" t="s">
        <v>2719</v>
      </c>
      <c r="C547" s="43" t="s">
        <v>2720</v>
      </c>
      <c r="G547" s="44">
        <v>1</v>
      </c>
      <c r="H547" s="45">
        <v>76186</v>
      </c>
      <c r="J547" s="45">
        <v>76186</v>
      </c>
    </row>
    <row r="548" spans="1:11" x14ac:dyDescent="0.2">
      <c r="A548" s="38" t="s">
        <v>7</v>
      </c>
      <c r="B548" s="38" t="s">
        <v>2722</v>
      </c>
      <c r="C548" s="43" t="s">
        <v>2723</v>
      </c>
      <c r="G548" s="44">
        <v>1</v>
      </c>
      <c r="H548" s="45">
        <v>100754</v>
      </c>
      <c r="J548" s="45">
        <v>100754</v>
      </c>
    </row>
    <row r="549" spans="1:11" x14ac:dyDescent="0.2">
      <c r="A549" s="38" t="s">
        <v>7</v>
      </c>
      <c r="B549" s="38" t="s">
        <v>2734</v>
      </c>
      <c r="C549" s="43" t="s">
        <v>2735</v>
      </c>
      <c r="E549" s="44">
        <v>90</v>
      </c>
      <c r="F549" s="45">
        <v>386470</v>
      </c>
      <c r="G549" s="44">
        <v>112</v>
      </c>
      <c r="H549" s="45">
        <v>449964</v>
      </c>
      <c r="I549" s="45">
        <v>4294.1111111111113</v>
      </c>
      <c r="J549" s="45">
        <v>4017.5357142857142</v>
      </c>
      <c r="K549" s="46">
        <v>-6.4408067157310372E-2</v>
      </c>
    </row>
    <row r="550" spans="1:11" x14ac:dyDescent="0.2">
      <c r="A550" s="38" t="s">
        <v>7</v>
      </c>
      <c r="B550" s="38" t="s">
        <v>2740</v>
      </c>
      <c r="C550" s="43" t="s">
        <v>2741</v>
      </c>
      <c r="E550" s="44">
        <v>7</v>
      </c>
      <c r="F550" s="45">
        <v>48435</v>
      </c>
      <c r="G550" s="44">
        <v>3</v>
      </c>
      <c r="H550" s="45">
        <v>27136</v>
      </c>
      <c r="I550" s="45">
        <v>6919.2857142857147</v>
      </c>
      <c r="J550" s="45">
        <v>9045.3333333333339</v>
      </c>
      <c r="K550" s="46">
        <v>0.30726403083169884</v>
      </c>
    </row>
    <row r="551" spans="1:11" x14ac:dyDescent="0.2">
      <c r="A551" s="38" t="s">
        <v>7</v>
      </c>
      <c r="B551" s="38" t="s">
        <v>2743</v>
      </c>
      <c r="C551" s="43" t="s">
        <v>2744</v>
      </c>
      <c r="D551" s="38" t="s">
        <v>12382</v>
      </c>
      <c r="E551" s="44">
        <v>4</v>
      </c>
      <c r="F551" s="45">
        <v>206264</v>
      </c>
      <c r="G551" s="44">
        <v>1</v>
      </c>
      <c r="H551" s="45">
        <v>52539</v>
      </c>
      <c r="I551" s="45">
        <v>51566</v>
      </c>
      <c r="J551" s="45">
        <v>52539</v>
      </c>
      <c r="K551" s="46">
        <v>1.886902222394601E-2</v>
      </c>
    </row>
    <row r="552" spans="1:11" x14ac:dyDescent="0.2">
      <c r="A552" s="38" t="s">
        <v>7</v>
      </c>
      <c r="B552" s="38" t="s">
        <v>2749</v>
      </c>
      <c r="C552" s="43" t="s">
        <v>2750</v>
      </c>
      <c r="D552" s="38" t="s">
        <v>12383</v>
      </c>
      <c r="G552" s="44">
        <v>1</v>
      </c>
      <c r="H552" s="45">
        <v>23157</v>
      </c>
      <c r="J552" s="45">
        <v>23157</v>
      </c>
    </row>
    <row r="553" spans="1:11" x14ac:dyDescent="0.2">
      <c r="A553" s="38" t="s">
        <v>7</v>
      </c>
      <c r="B553" s="38" t="s">
        <v>2776</v>
      </c>
      <c r="C553" s="43" t="s">
        <v>2777</v>
      </c>
      <c r="D553" s="38" t="s">
        <v>12384</v>
      </c>
      <c r="G553" s="44">
        <v>1</v>
      </c>
      <c r="H553" s="45">
        <v>7942</v>
      </c>
      <c r="J553" s="45">
        <v>7942</v>
      </c>
    </row>
    <row r="554" spans="1:11" x14ac:dyDescent="0.2">
      <c r="A554" s="38" t="s">
        <v>7</v>
      </c>
      <c r="B554" s="38" t="s">
        <v>2782</v>
      </c>
      <c r="C554" s="43" t="s">
        <v>2783</v>
      </c>
      <c r="G554" s="44">
        <v>2</v>
      </c>
      <c r="H554" s="45">
        <v>11402.32</v>
      </c>
      <c r="J554" s="45">
        <v>5701.16</v>
      </c>
    </row>
    <row r="555" spans="1:11" x14ac:dyDescent="0.2">
      <c r="A555" s="38" t="s">
        <v>7</v>
      </c>
      <c r="B555" s="38" t="s">
        <v>2785</v>
      </c>
      <c r="C555" s="43" t="s">
        <v>2786</v>
      </c>
      <c r="E555" s="44">
        <v>1</v>
      </c>
      <c r="F555" s="45">
        <v>6582</v>
      </c>
      <c r="G555" s="44">
        <v>1</v>
      </c>
      <c r="H555" s="45">
        <v>6582</v>
      </c>
      <c r="I555" s="45">
        <v>6582</v>
      </c>
      <c r="J555" s="45">
        <v>6582</v>
      </c>
      <c r="K555" s="46">
        <v>0</v>
      </c>
    </row>
    <row r="556" spans="1:11" x14ac:dyDescent="0.2">
      <c r="A556" s="38" t="s">
        <v>7</v>
      </c>
      <c r="B556" s="38" t="s">
        <v>2791</v>
      </c>
      <c r="C556" s="43" t="s">
        <v>2792</v>
      </c>
      <c r="G556" s="44">
        <v>1</v>
      </c>
      <c r="H556" s="45">
        <v>5176</v>
      </c>
      <c r="J556" s="45">
        <v>5176</v>
      </c>
    </row>
    <row r="557" spans="1:11" x14ac:dyDescent="0.2">
      <c r="A557" s="38" t="s">
        <v>7</v>
      </c>
      <c r="B557" s="38" t="s">
        <v>2797</v>
      </c>
      <c r="C557" s="43" t="s">
        <v>2798</v>
      </c>
      <c r="G557" s="44">
        <v>5</v>
      </c>
      <c r="H557" s="45">
        <v>503770</v>
      </c>
      <c r="J557" s="45">
        <v>100754</v>
      </c>
    </row>
    <row r="558" spans="1:11" x14ac:dyDescent="0.2">
      <c r="A558" s="38" t="s">
        <v>7</v>
      </c>
      <c r="B558" s="38" t="s">
        <v>2800</v>
      </c>
      <c r="C558" s="43" t="s">
        <v>2801</v>
      </c>
      <c r="E558" s="44">
        <v>25</v>
      </c>
      <c r="F558" s="45">
        <v>2466609</v>
      </c>
      <c r="G558" s="44">
        <v>24</v>
      </c>
      <c r="H558" s="45">
        <v>2418096</v>
      </c>
      <c r="I558" s="45">
        <v>98664.36</v>
      </c>
      <c r="J558" s="45">
        <v>100754</v>
      </c>
      <c r="K558" s="46">
        <v>2.1179278920980173E-2</v>
      </c>
    </row>
    <row r="559" spans="1:11" x14ac:dyDescent="0.2">
      <c r="A559" s="38" t="s">
        <v>7</v>
      </c>
      <c r="B559" s="38" t="s">
        <v>2802</v>
      </c>
      <c r="C559" s="43" t="s">
        <v>2803</v>
      </c>
      <c r="G559" s="44">
        <v>4</v>
      </c>
      <c r="H559" s="45">
        <v>304744</v>
      </c>
      <c r="J559" s="45">
        <v>76186</v>
      </c>
    </row>
    <row r="560" spans="1:11" x14ac:dyDescent="0.2">
      <c r="A560" s="38" t="s">
        <v>7</v>
      </c>
      <c r="B560" s="38" t="s">
        <v>2808</v>
      </c>
      <c r="C560" s="43" t="s">
        <v>2809</v>
      </c>
      <c r="G560" s="44">
        <v>2</v>
      </c>
      <c r="H560" s="45">
        <v>50430</v>
      </c>
      <c r="J560" s="45">
        <v>25215</v>
      </c>
    </row>
    <row r="561" spans="1:11" x14ac:dyDescent="0.2">
      <c r="A561" s="38" t="s">
        <v>7</v>
      </c>
      <c r="B561" s="38" t="s">
        <v>2817</v>
      </c>
      <c r="C561" s="43" t="s">
        <v>2818</v>
      </c>
      <c r="G561" s="44">
        <v>1</v>
      </c>
      <c r="H561" s="45">
        <v>92435</v>
      </c>
      <c r="J561" s="45">
        <v>92435</v>
      </c>
    </row>
    <row r="562" spans="1:11" x14ac:dyDescent="0.2">
      <c r="A562" s="38" t="s">
        <v>7</v>
      </c>
      <c r="B562" s="38" t="s">
        <v>2820</v>
      </c>
      <c r="C562" s="43" t="s">
        <v>2821</v>
      </c>
      <c r="G562" s="44">
        <v>4</v>
      </c>
      <c r="H562" s="45">
        <v>63456</v>
      </c>
      <c r="J562" s="45">
        <v>15864</v>
      </c>
    </row>
    <row r="563" spans="1:11" x14ac:dyDescent="0.2">
      <c r="A563" s="38" t="s">
        <v>7</v>
      </c>
      <c r="B563" s="38" t="s">
        <v>2826</v>
      </c>
      <c r="C563" s="43" t="s">
        <v>2827</v>
      </c>
      <c r="G563" s="44">
        <v>1</v>
      </c>
      <c r="H563" s="45">
        <v>50044</v>
      </c>
      <c r="J563" s="45">
        <v>50044</v>
      </c>
    </row>
    <row r="564" spans="1:11" x14ac:dyDescent="0.2">
      <c r="A564" s="38" t="s">
        <v>7</v>
      </c>
      <c r="B564" s="38" t="s">
        <v>2831</v>
      </c>
      <c r="C564" s="43" t="s">
        <v>2832</v>
      </c>
      <c r="E564" s="44">
        <v>2</v>
      </c>
      <c r="F564" s="45">
        <v>152372</v>
      </c>
      <c r="G564" s="44">
        <v>1</v>
      </c>
      <c r="H564" s="45">
        <v>76186</v>
      </c>
      <c r="I564" s="45">
        <v>76186</v>
      </c>
      <c r="J564" s="45">
        <v>76186</v>
      </c>
      <c r="K564" s="46">
        <v>0</v>
      </c>
    </row>
    <row r="565" spans="1:11" x14ac:dyDescent="0.2">
      <c r="A565" s="38" t="s">
        <v>7</v>
      </c>
      <c r="B565" s="38" t="s">
        <v>2834</v>
      </c>
      <c r="C565" s="43" t="s">
        <v>2835</v>
      </c>
      <c r="G565" s="44">
        <v>4</v>
      </c>
      <c r="H565" s="45">
        <v>308893</v>
      </c>
      <c r="J565" s="45">
        <v>77223.25</v>
      </c>
    </row>
    <row r="566" spans="1:11" x14ac:dyDescent="0.2">
      <c r="A566" s="38" t="s">
        <v>7</v>
      </c>
      <c r="B566" s="38" t="s">
        <v>2837</v>
      </c>
      <c r="C566" s="43" t="s">
        <v>2838</v>
      </c>
      <c r="G566" s="44">
        <v>1</v>
      </c>
      <c r="H566" s="45">
        <v>181763</v>
      </c>
      <c r="J566" s="45">
        <v>181763</v>
      </c>
    </row>
    <row r="567" spans="1:11" x14ac:dyDescent="0.2">
      <c r="A567" s="38" t="s">
        <v>7</v>
      </c>
      <c r="B567" s="38" t="s">
        <v>2855</v>
      </c>
      <c r="C567" s="43" t="s">
        <v>2856</v>
      </c>
      <c r="E567" s="44">
        <v>3</v>
      </c>
      <c r="F567" s="45">
        <v>960057</v>
      </c>
      <c r="G567" s="44">
        <v>4</v>
      </c>
      <c r="H567" s="45">
        <v>968145</v>
      </c>
      <c r="I567" s="45">
        <v>320019</v>
      </c>
      <c r="J567" s="45">
        <v>242036.25</v>
      </c>
      <c r="K567" s="46">
        <v>-0.2436816251535065</v>
      </c>
    </row>
    <row r="568" spans="1:11" x14ac:dyDescent="0.2">
      <c r="A568" s="38" t="s">
        <v>7</v>
      </c>
      <c r="B568" s="38" t="s">
        <v>2858</v>
      </c>
      <c r="C568" s="43" t="s">
        <v>2859</v>
      </c>
      <c r="E568" s="44">
        <v>1</v>
      </c>
      <c r="F568" s="45">
        <v>228532</v>
      </c>
      <c r="G568" s="44">
        <v>3</v>
      </c>
      <c r="H568" s="45">
        <v>685596</v>
      </c>
      <c r="I568" s="45">
        <v>228532</v>
      </c>
      <c r="J568" s="45">
        <v>228532</v>
      </c>
      <c r="K568" s="46">
        <v>0</v>
      </c>
    </row>
    <row r="569" spans="1:11" x14ac:dyDescent="0.2">
      <c r="A569" s="38" t="s">
        <v>7</v>
      </c>
      <c r="B569" s="38" t="s">
        <v>2861</v>
      </c>
      <c r="C569" s="43" t="s">
        <v>2862</v>
      </c>
      <c r="G569" s="44">
        <v>4</v>
      </c>
      <c r="H569" s="45">
        <v>304744</v>
      </c>
      <c r="J569" s="45">
        <v>76186</v>
      </c>
    </row>
    <row r="570" spans="1:11" x14ac:dyDescent="0.2">
      <c r="A570" s="38" t="s">
        <v>7</v>
      </c>
      <c r="B570" s="38" t="s">
        <v>2873</v>
      </c>
      <c r="C570" s="43" t="s">
        <v>2874</v>
      </c>
      <c r="D570" s="38" t="s">
        <v>12385</v>
      </c>
      <c r="G570" s="44">
        <v>2</v>
      </c>
      <c r="H570" s="45">
        <v>58142</v>
      </c>
      <c r="J570" s="45">
        <v>29071</v>
      </c>
    </row>
    <row r="571" spans="1:11" x14ac:dyDescent="0.2">
      <c r="A571" s="38" t="s">
        <v>7</v>
      </c>
      <c r="B571" s="38" t="s">
        <v>2879</v>
      </c>
      <c r="C571" s="43" t="s">
        <v>2880</v>
      </c>
      <c r="D571" s="38" t="s">
        <v>12386</v>
      </c>
      <c r="G571" s="44">
        <v>1</v>
      </c>
      <c r="H571" s="45">
        <v>29071</v>
      </c>
      <c r="J571" s="45">
        <v>29071</v>
      </c>
    </row>
    <row r="572" spans="1:11" x14ac:dyDescent="0.2">
      <c r="A572" s="38" t="s">
        <v>7</v>
      </c>
      <c r="B572" s="38" t="s">
        <v>2882</v>
      </c>
      <c r="C572" s="43" t="s">
        <v>2883</v>
      </c>
      <c r="D572" s="38" t="s">
        <v>12387</v>
      </c>
      <c r="E572" s="44">
        <v>30</v>
      </c>
      <c r="F572" s="45">
        <v>850600</v>
      </c>
      <c r="G572" s="44">
        <v>15</v>
      </c>
      <c r="H572" s="45">
        <v>302301</v>
      </c>
      <c r="I572" s="45">
        <v>28353.333333333332</v>
      </c>
      <c r="J572" s="45">
        <v>20153.400000000001</v>
      </c>
      <c r="K572" s="46">
        <v>-0.28920526687044429</v>
      </c>
    </row>
    <row r="573" spans="1:11" x14ac:dyDescent="0.2">
      <c r="A573" s="38" t="s">
        <v>7</v>
      </c>
      <c r="B573" s="38" t="s">
        <v>2885</v>
      </c>
      <c r="C573" s="43" t="s">
        <v>2886</v>
      </c>
      <c r="D573" s="38" t="s">
        <v>12388</v>
      </c>
      <c r="G573" s="44">
        <v>2</v>
      </c>
      <c r="H573" s="45">
        <v>58142</v>
      </c>
      <c r="J573" s="45">
        <v>29071</v>
      </c>
    </row>
    <row r="574" spans="1:11" x14ac:dyDescent="0.2">
      <c r="A574" s="38" t="s">
        <v>7</v>
      </c>
      <c r="B574" s="38" t="s">
        <v>2888</v>
      </c>
      <c r="C574" s="43" t="s">
        <v>2889</v>
      </c>
      <c r="D574" s="38" t="s">
        <v>12389</v>
      </c>
      <c r="G574" s="44">
        <v>2</v>
      </c>
      <c r="H574" s="45">
        <v>58142</v>
      </c>
      <c r="J574" s="45">
        <v>29071</v>
      </c>
    </row>
    <row r="575" spans="1:11" x14ac:dyDescent="0.2">
      <c r="A575" s="38" t="s">
        <v>7</v>
      </c>
      <c r="B575" s="38" t="s">
        <v>2894</v>
      </c>
      <c r="C575" s="43" t="s">
        <v>2895</v>
      </c>
      <c r="D575" s="38" t="s">
        <v>12390</v>
      </c>
      <c r="E575" s="44">
        <v>142</v>
      </c>
      <c r="F575" s="45">
        <v>4003208</v>
      </c>
      <c r="G575" s="44">
        <v>139</v>
      </c>
      <c r="H575" s="45">
        <v>3617454</v>
      </c>
      <c r="I575" s="45">
        <v>28191.605633802817</v>
      </c>
      <c r="J575" s="45">
        <v>26024.848920863311</v>
      </c>
      <c r="K575" s="46">
        <v>-7.6858223014494853E-2</v>
      </c>
    </row>
    <row r="576" spans="1:11" x14ac:dyDescent="0.2">
      <c r="A576" s="38" t="s">
        <v>7</v>
      </c>
      <c r="B576" s="38" t="s">
        <v>2897</v>
      </c>
      <c r="C576" s="43" t="s">
        <v>2898</v>
      </c>
      <c r="D576" s="38" t="s">
        <v>12391</v>
      </c>
      <c r="G576" s="44">
        <v>8</v>
      </c>
      <c r="H576" s="45">
        <v>187688</v>
      </c>
      <c r="J576" s="45">
        <v>23461</v>
      </c>
    </row>
    <row r="577" spans="1:11" x14ac:dyDescent="0.2">
      <c r="A577" s="38" t="s">
        <v>7</v>
      </c>
      <c r="B577" s="38" t="s">
        <v>2900</v>
      </c>
      <c r="C577" s="43" t="s">
        <v>2901</v>
      </c>
      <c r="D577" s="38" t="s">
        <v>12392</v>
      </c>
      <c r="E577" s="44">
        <v>49</v>
      </c>
      <c r="F577" s="45">
        <v>1387878</v>
      </c>
      <c r="G577" s="44">
        <v>47</v>
      </c>
      <c r="H577" s="45">
        <v>1172243</v>
      </c>
      <c r="I577" s="45">
        <v>28324.040816326531</v>
      </c>
      <c r="J577" s="45">
        <v>24941.340425531915</v>
      </c>
      <c r="K577" s="46">
        <v>-0.11942859469559731</v>
      </c>
    </row>
    <row r="578" spans="1:11" x14ac:dyDescent="0.2">
      <c r="A578" s="38" t="s">
        <v>7</v>
      </c>
      <c r="B578" s="38" t="s">
        <v>2903</v>
      </c>
      <c r="C578" s="43" t="s">
        <v>2904</v>
      </c>
      <c r="D578" s="38" t="s">
        <v>12393</v>
      </c>
      <c r="G578" s="44">
        <v>1</v>
      </c>
      <c r="H578" s="45">
        <v>29071</v>
      </c>
      <c r="J578" s="45">
        <v>29071</v>
      </c>
    </row>
    <row r="579" spans="1:11" x14ac:dyDescent="0.2">
      <c r="A579" s="38" t="s">
        <v>7</v>
      </c>
      <c r="B579" s="38" t="s">
        <v>2909</v>
      </c>
      <c r="C579" s="43" t="s">
        <v>2910</v>
      </c>
      <c r="D579" s="38" t="s">
        <v>12394</v>
      </c>
      <c r="G579" s="44">
        <v>1</v>
      </c>
      <c r="H579" s="45">
        <v>10160</v>
      </c>
      <c r="J579" s="45">
        <v>10160</v>
      </c>
    </row>
    <row r="580" spans="1:11" x14ac:dyDescent="0.2">
      <c r="A580" s="38" t="s">
        <v>7</v>
      </c>
      <c r="B580" s="38" t="s">
        <v>2921</v>
      </c>
      <c r="C580" s="43" t="s">
        <v>2922</v>
      </c>
      <c r="D580" s="38" t="s">
        <v>12395</v>
      </c>
      <c r="E580" s="44">
        <v>18</v>
      </c>
      <c r="F580" s="45">
        <v>83439</v>
      </c>
      <c r="G580" s="44">
        <v>10</v>
      </c>
      <c r="H580" s="45">
        <v>39170</v>
      </c>
      <c r="I580" s="45">
        <v>4635.5</v>
      </c>
      <c r="J580" s="45">
        <v>3917</v>
      </c>
      <c r="K580" s="46">
        <v>-0.15499946068385287</v>
      </c>
    </row>
    <row r="581" spans="1:11" x14ac:dyDescent="0.2">
      <c r="A581" s="38" t="s">
        <v>7</v>
      </c>
      <c r="B581" s="38" t="s">
        <v>2927</v>
      </c>
      <c r="C581" s="43" t="s">
        <v>2928</v>
      </c>
      <c r="D581" s="38" t="s">
        <v>12396</v>
      </c>
      <c r="E581" s="44">
        <v>80</v>
      </c>
      <c r="F581" s="45">
        <v>16640</v>
      </c>
      <c r="G581" s="44">
        <v>13</v>
      </c>
      <c r="H581" s="45">
        <v>2782</v>
      </c>
      <c r="I581" s="45">
        <v>208</v>
      </c>
      <c r="J581" s="45">
        <v>214</v>
      </c>
      <c r="K581" s="46">
        <v>2.8846153846153848E-2</v>
      </c>
    </row>
    <row r="582" spans="1:11" x14ac:dyDescent="0.2">
      <c r="A582" s="38" t="s">
        <v>7</v>
      </c>
      <c r="B582" s="38" t="s">
        <v>2930</v>
      </c>
      <c r="C582" s="43" t="s">
        <v>2931</v>
      </c>
      <c r="G582" s="44">
        <v>8</v>
      </c>
      <c r="H582" s="45">
        <v>609488</v>
      </c>
      <c r="J582" s="45">
        <v>76186</v>
      </c>
    </row>
    <row r="583" spans="1:11" x14ac:dyDescent="0.2">
      <c r="A583" s="38" t="s">
        <v>7</v>
      </c>
      <c r="B583" s="38" t="s">
        <v>2965</v>
      </c>
      <c r="C583" s="43" t="s">
        <v>2966</v>
      </c>
      <c r="G583" s="44">
        <v>2</v>
      </c>
      <c r="H583" s="45">
        <v>23926</v>
      </c>
      <c r="J583" s="45">
        <v>11963</v>
      </c>
    </row>
    <row r="584" spans="1:11" x14ac:dyDescent="0.2">
      <c r="A584" s="38" t="s">
        <v>7</v>
      </c>
      <c r="B584" s="38" t="s">
        <v>2974</v>
      </c>
      <c r="C584" s="43" t="s">
        <v>2975</v>
      </c>
      <c r="E584" s="44">
        <v>6</v>
      </c>
      <c r="F584" s="45">
        <v>59506</v>
      </c>
      <c r="G584" s="44">
        <v>8</v>
      </c>
      <c r="H584" s="45">
        <v>83464</v>
      </c>
      <c r="I584" s="45">
        <v>9917.6666666666661</v>
      </c>
      <c r="J584" s="45">
        <v>10433</v>
      </c>
      <c r="K584" s="46">
        <v>5.196114677511518E-2</v>
      </c>
    </row>
    <row r="585" spans="1:11" x14ac:dyDescent="0.2">
      <c r="A585" s="38" t="s">
        <v>7</v>
      </c>
      <c r="B585" s="38" t="s">
        <v>2994</v>
      </c>
      <c r="C585" s="43" t="s">
        <v>2995</v>
      </c>
      <c r="D585" s="38" t="s">
        <v>12397</v>
      </c>
      <c r="G585" s="44">
        <v>1</v>
      </c>
      <c r="H585" s="45">
        <v>1793</v>
      </c>
      <c r="J585" s="45">
        <v>1793</v>
      </c>
    </row>
    <row r="586" spans="1:11" x14ac:dyDescent="0.2">
      <c r="A586" s="38" t="s">
        <v>7</v>
      </c>
      <c r="B586" s="38" t="s">
        <v>3009</v>
      </c>
      <c r="C586" s="43" t="s">
        <v>3010</v>
      </c>
      <c r="G586" s="44">
        <v>1</v>
      </c>
      <c r="H586" s="45">
        <v>26757</v>
      </c>
      <c r="J586" s="45">
        <v>26757</v>
      </c>
    </row>
    <row r="587" spans="1:11" x14ac:dyDescent="0.2">
      <c r="A587" s="38" t="s">
        <v>7</v>
      </c>
      <c r="B587" s="38" t="s">
        <v>3012</v>
      </c>
      <c r="C587" s="43" t="s">
        <v>3013</v>
      </c>
      <c r="G587" s="44">
        <v>1</v>
      </c>
      <c r="H587" s="45">
        <v>26757</v>
      </c>
      <c r="J587" s="45">
        <v>26757</v>
      </c>
    </row>
    <row r="588" spans="1:11" x14ac:dyDescent="0.2">
      <c r="A588" s="38" t="s">
        <v>7</v>
      </c>
      <c r="B588" s="38" t="s">
        <v>3028</v>
      </c>
      <c r="C588" s="43" t="s">
        <v>3029</v>
      </c>
      <c r="G588" s="44">
        <v>1</v>
      </c>
      <c r="H588" s="45">
        <v>3535</v>
      </c>
      <c r="J588" s="45">
        <v>3535</v>
      </c>
    </row>
    <row r="589" spans="1:11" x14ac:dyDescent="0.2">
      <c r="A589" s="38" t="s">
        <v>7</v>
      </c>
      <c r="B589" s="38" t="s">
        <v>3031</v>
      </c>
      <c r="C589" s="43" t="s">
        <v>3032</v>
      </c>
      <c r="G589" s="44">
        <v>1</v>
      </c>
      <c r="H589" s="45">
        <v>2256</v>
      </c>
      <c r="J589" s="45">
        <v>2256</v>
      </c>
    </row>
    <row r="590" spans="1:11" x14ac:dyDescent="0.2">
      <c r="A590" s="38" t="s">
        <v>7</v>
      </c>
      <c r="B590" s="38" t="s">
        <v>3034</v>
      </c>
      <c r="C590" s="43" t="s">
        <v>3035</v>
      </c>
      <c r="G590" s="44">
        <v>1</v>
      </c>
      <c r="H590" s="45">
        <v>4418</v>
      </c>
      <c r="J590" s="45">
        <v>4418</v>
      </c>
    </row>
    <row r="591" spans="1:11" x14ac:dyDescent="0.2">
      <c r="A591" s="38" t="s">
        <v>7</v>
      </c>
      <c r="B591" s="38" t="s">
        <v>3049</v>
      </c>
      <c r="C591" s="43" t="s">
        <v>3050</v>
      </c>
      <c r="G591" s="44">
        <v>1</v>
      </c>
      <c r="H591" s="45">
        <v>8134.37</v>
      </c>
      <c r="J591" s="45">
        <v>8134.37</v>
      </c>
    </row>
    <row r="592" spans="1:11" x14ac:dyDescent="0.2">
      <c r="A592" s="38" t="s">
        <v>7</v>
      </c>
      <c r="B592" s="38" t="s">
        <v>3052</v>
      </c>
      <c r="C592" s="43" t="s">
        <v>3053</v>
      </c>
      <c r="G592" s="44">
        <v>2</v>
      </c>
      <c r="H592" s="45">
        <v>6099.3</v>
      </c>
      <c r="J592" s="45">
        <v>3049.65</v>
      </c>
    </row>
    <row r="593" spans="1:11" x14ac:dyDescent="0.2">
      <c r="A593" s="38" t="s">
        <v>7</v>
      </c>
      <c r="B593" s="38" t="s">
        <v>3066</v>
      </c>
      <c r="C593" s="43" t="s">
        <v>3067</v>
      </c>
      <c r="E593" s="44">
        <v>5</v>
      </c>
      <c r="F593" s="45">
        <v>155541.07999999999</v>
      </c>
      <c r="G593" s="44">
        <v>2</v>
      </c>
      <c r="H593" s="45">
        <v>64116</v>
      </c>
      <c r="I593" s="45">
        <v>31108.215999999997</v>
      </c>
      <c r="J593" s="45">
        <v>32058</v>
      </c>
      <c r="K593" s="46">
        <v>3.0531612613208144E-2</v>
      </c>
    </row>
    <row r="594" spans="1:11" x14ac:dyDescent="0.2">
      <c r="A594" s="38" t="s">
        <v>7</v>
      </c>
      <c r="B594" s="38" t="s">
        <v>3078</v>
      </c>
      <c r="C594" s="43" t="s">
        <v>3079</v>
      </c>
      <c r="G594" s="44">
        <v>4</v>
      </c>
      <c r="H594" s="45">
        <v>49896</v>
      </c>
      <c r="J594" s="45">
        <v>12474</v>
      </c>
    </row>
    <row r="595" spans="1:11" x14ac:dyDescent="0.2">
      <c r="A595" s="38" t="s">
        <v>7</v>
      </c>
      <c r="B595" s="38" t="s">
        <v>3102</v>
      </c>
      <c r="C595" s="43" t="s">
        <v>3103</v>
      </c>
      <c r="D595" s="38" t="s">
        <v>12398</v>
      </c>
      <c r="E595" s="44">
        <v>65</v>
      </c>
      <c r="F595" s="45">
        <v>1609203</v>
      </c>
      <c r="G595" s="44">
        <v>47</v>
      </c>
      <c r="H595" s="45">
        <v>1147290</v>
      </c>
      <c r="I595" s="45">
        <v>24756.969230769231</v>
      </c>
      <c r="J595" s="45">
        <v>24410.425531914894</v>
      </c>
      <c r="K595" s="46">
        <v>-1.3997824031854218E-2</v>
      </c>
    </row>
    <row r="596" spans="1:11" x14ac:dyDescent="0.2">
      <c r="A596" s="38" t="s">
        <v>7</v>
      </c>
      <c r="B596" s="38" t="s">
        <v>3111</v>
      </c>
      <c r="C596" s="43" t="s">
        <v>3112</v>
      </c>
      <c r="D596" s="38" t="s">
        <v>12399</v>
      </c>
      <c r="E596" s="44">
        <v>57</v>
      </c>
      <c r="F596" s="45">
        <v>1416519</v>
      </c>
      <c r="G596" s="44">
        <v>46</v>
      </c>
      <c r="H596" s="45">
        <v>1121682</v>
      </c>
      <c r="I596" s="45">
        <v>24851.21052631579</v>
      </c>
      <c r="J596" s="45">
        <v>24384.391304347828</v>
      </c>
      <c r="K596" s="46">
        <v>-1.8784566710488067E-2</v>
      </c>
    </row>
    <row r="597" spans="1:11" x14ac:dyDescent="0.2">
      <c r="A597" s="38" t="s">
        <v>7</v>
      </c>
      <c r="B597" s="38" t="s">
        <v>3114</v>
      </c>
      <c r="C597" s="43" t="s">
        <v>3115</v>
      </c>
      <c r="D597" s="38" t="s">
        <v>12400</v>
      </c>
      <c r="E597" s="44">
        <v>19</v>
      </c>
      <c r="F597" s="45">
        <v>466449</v>
      </c>
      <c r="G597" s="44">
        <v>9</v>
      </c>
      <c r="H597" s="45">
        <v>211781</v>
      </c>
      <c r="I597" s="45">
        <v>24549.947368421053</v>
      </c>
      <c r="J597" s="45">
        <v>23531.222222222223</v>
      </c>
      <c r="K597" s="46">
        <v>-4.1496021596740019E-2</v>
      </c>
    </row>
    <row r="598" spans="1:11" x14ac:dyDescent="0.2">
      <c r="A598" s="38" t="s">
        <v>7</v>
      </c>
      <c r="B598" s="38" t="s">
        <v>3126</v>
      </c>
      <c r="C598" s="43" t="s">
        <v>3127</v>
      </c>
      <c r="D598" s="38" t="s">
        <v>12401</v>
      </c>
      <c r="E598" s="44">
        <v>2</v>
      </c>
      <c r="F598" s="45">
        <v>50430</v>
      </c>
      <c r="G598" s="44">
        <v>0</v>
      </c>
      <c r="H598" s="45">
        <v>0</v>
      </c>
      <c r="I598" s="45">
        <v>25215</v>
      </c>
    </row>
    <row r="599" spans="1:11" x14ac:dyDescent="0.2">
      <c r="A599" s="38" t="s">
        <v>7</v>
      </c>
      <c r="B599" s="38" t="s">
        <v>3129</v>
      </c>
      <c r="C599" s="43" t="s">
        <v>3130</v>
      </c>
      <c r="D599" s="38" t="s">
        <v>12402</v>
      </c>
      <c r="E599" s="44">
        <v>3</v>
      </c>
      <c r="F599" s="45">
        <v>77265</v>
      </c>
      <c r="G599" s="44">
        <v>5</v>
      </c>
      <c r="H599" s="45">
        <v>128775</v>
      </c>
      <c r="I599" s="45">
        <v>25755</v>
      </c>
      <c r="J599" s="45">
        <v>25755</v>
      </c>
      <c r="K599" s="46">
        <v>0</v>
      </c>
    </row>
    <row r="600" spans="1:11" x14ac:dyDescent="0.2">
      <c r="A600" s="38" t="s">
        <v>7</v>
      </c>
      <c r="B600" s="38" t="s">
        <v>3135</v>
      </c>
      <c r="C600" s="43" t="s">
        <v>3136</v>
      </c>
      <c r="D600" s="38" t="s">
        <v>12403</v>
      </c>
      <c r="G600" s="44">
        <v>8</v>
      </c>
      <c r="H600" s="45">
        <v>17720</v>
      </c>
      <c r="J600" s="45">
        <v>2215</v>
      </c>
    </row>
    <row r="601" spans="1:11" x14ac:dyDescent="0.2">
      <c r="A601" s="38" t="s">
        <v>7</v>
      </c>
      <c r="B601" s="38" t="s">
        <v>3141</v>
      </c>
      <c r="C601" s="43" t="s">
        <v>3142</v>
      </c>
      <c r="D601" s="38" t="s">
        <v>12404</v>
      </c>
      <c r="G601" s="44">
        <v>3</v>
      </c>
      <c r="H601" s="45">
        <v>13878</v>
      </c>
      <c r="J601" s="45">
        <v>4626</v>
      </c>
    </row>
    <row r="602" spans="1:11" x14ac:dyDescent="0.2">
      <c r="A602" s="38" t="s">
        <v>7</v>
      </c>
      <c r="B602" s="38" t="s">
        <v>3170</v>
      </c>
      <c r="C602" s="43" t="s">
        <v>3171</v>
      </c>
      <c r="E602" s="44">
        <v>36</v>
      </c>
      <c r="F602" s="45">
        <v>365890</v>
      </c>
      <c r="G602" s="44">
        <v>21</v>
      </c>
      <c r="H602" s="45">
        <v>219765</v>
      </c>
      <c r="I602" s="45">
        <v>10163.611111111111</v>
      </c>
      <c r="J602" s="45">
        <v>10465</v>
      </c>
      <c r="K602" s="46">
        <v>2.9653721063707651E-2</v>
      </c>
    </row>
    <row r="603" spans="1:11" x14ac:dyDescent="0.2">
      <c r="A603" s="38" t="s">
        <v>7</v>
      </c>
      <c r="B603" s="38" t="s">
        <v>3176</v>
      </c>
      <c r="C603" s="43" t="s">
        <v>3177</v>
      </c>
      <c r="D603" s="38" t="s">
        <v>12405</v>
      </c>
      <c r="G603" s="44">
        <v>1</v>
      </c>
      <c r="H603" s="45">
        <v>2091</v>
      </c>
      <c r="J603" s="45">
        <v>2091</v>
      </c>
    </row>
    <row r="604" spans="1:11" x14ac:dyDescent="0.2">
      <c r="A604" s="38" t="s">
        <v>7</v>
      </c>
      <c r="B604" s="38" t="s">
        <v>3179</v>
      </c>
      <c r="C604" s="43" t="s">
        <v>3180</v>
      </c>
      <c r="D604" s="38" t="s">
        <v>12406</v>
      </c>
      <c r="E604" s="44">
        <v>2</v>
      </c>
      <c r="F604" s="45">
        <v>8658</v>
      </c>
      <c r="G604" s="44">
        <v>1</v>
      </c>
      <c r="H604" s="45">
        <v>4329</v>
      </c>
      <c r="I604" s="45">
        <v>4329</v>
      </c>
      <c r="J604" s="45">
        <v>4329</v>
      </c>
      <c r="K604" s="46">
        <v>0</v>
      </c>
    </row>
    <row r="605" spans="1:11" x14ac:dyDescent="0.2">
      <c r="A605" s="38" t="s">
        <v>7</v>
      </c>
      <c r="B605" s="38" t="s">
        <v>3182</v>
      </c>
      <c r="C605" s="43" t="s">
        <v>3183</v>
      </c>
      <c r="D605" s="38" t="s">
        <v>12407</v>
      </c>
      <c r="E605" s="44">
        <v>89</v>
      </c>
      <c r="F605" s="45">
        <v>145530</v>
      </c>
      <c r="G605" s="44">
        <v>96</v>
      </c>
      <c r="H605" s="45">
        <v>167624</v>
      </c>
      <c r="I605" s="45">
        <v>1635.1685393258426</v>
      </c>
      <c r="J605" s="45">
        <v>1746.0833333333333</v>
      </c>
      <c r="K605" s="46">
        <v>6.7830802354611877E-2</v>
      </c>
    </row>
    <row r="606" spans="1:11" x14ac:dyDescent="0.2">
      <c r="A606" s="38" t="s">
        <v>7</v>
      </c>
      <c r="B606" s="38" t="s">
        <v>3191</v>
      </c>
      <c r="C606" s="43" t="s">
        <v>3192</v>
      </c>
      <c r="D606" s="38" t="s">
        <v>12408</v>
      </c>
      <c r="G606" s="44">
        <v>4</v>
      </c>
      <c r="H606" s="45">
        <v>7456</v>
      </c>
      <c r="J606" s="45">
        <v>1864</v>
      </c>
    </row>
    <row r="607" spans="1:11" x14ac:dyDescent="0.2">
      <c r="A607" s="38" t="s">
        <v>7</v>
      </c>
      <c r="B607" s="38" t="s">
        <v>3194</v>
      </c>
      <c r="C607" s="43" t="s">
        <v>3195</v>
      </c>
      <c r="D607" s="38" t="s">
        <v>12409</v>
      </c>
      <c r="G607" s="44">
        <v>3</v>
      </c>
      <c r="H607" s="45">
        <v>31311</v>
      </c>
      <c r="J607" s="45">
        <v>10437</v>
      </c>
    </row>
    <row r="608" spans="1:11" x14ac:dyDescent="0.2">
      <c r="A608" s="38" t="s">
        <v>7</v>
      </c>
      <c r="B608" s="38" t="s">
        <v>3197</v>
      </c>
      <c r="C608" s="43" t="s">
        <v>3198</v>
      </c>
      <c r="D608" s="38" t="s">
        <v>12410</v>
      </c>
      <c r="G608" s="44">
        <v>3</v>
      </c>
      <c r="H608" s="45">
        <v>4101</v>
      </c>
      <c r="J608" s="45">
        <v>1367</v>
      </c>
    </row>
    <row r="609" spans="1:11" x14ac:dyDescent="0.2">
      <c r="A609" s="38" t="s">
        <v>7</v>
      </c>
      <c r="B609" s="38" t="s">
        <v>3205</v>
      </c>
      <c r="C609" s="43" t="s">
        <v>3206</v>
      </c>
      <c r="E609" s="44">
        <v>3</v>
      </c>
      <c r="F609" s="45">
        <v>10386</v>
      </c>
      <c r="G609" s="44">
        <v>0</v>
      </c>
      <c r="H609" s="45">
        <v>0</v>
      </c>
      <c r="I609" s="45">
        <v>3462</v>
      </c>
    </row>
    <row r="610" spans="1:11" x14ac:dyDescent="0.2">
      <c r="A610" s="38" t="s">
        <v>7</v>
      </c>
      <c r="B610" s="38" t="s">
        <v>3214</v>
      </c>
      <c r="C610" s="43" t="s">
        <v>3215</v>
      </c>
      <c r="G610" s="44">
        <v>1</v>
      </c>
      <c r="H610" s="45">
        <v>7523</v>
      </c>
      <c r="J610" s="45">
        <v>7523</v>
      </c>
    </row>
    <row r="611" spans="1:11" x14ac:dyDescent="0.2">
      <c r="A611" s="38" t="s">
        <v>7</v>
      </c>
      <c r="B611" s="38" t="s">
        <v>3217</v>
      </c>
      <c r="C611" s="43" t="s">
        <v>3218</v>
      </c>
      <c r="G611" s="44">
        <v>2</v>
      </c>
      <c r="H611" s="45">
        <v>86276</v>
      </c>
      <c r="J611" s="45">
        <v>43138</v>
      </c>
    </row>
    <row r="612" spans="1:11" x14ac:dyDescent="0.2">
      <c r="A612" s="38" t="s">
        <v>7</v>
      </c>
      <c r="B612" s="38" t="s">
        <v>3242</v>
      </c>
      <c r="C612" s="43" t="s">
        <v>3243</v>
      </c>
      <c r="G612" s="44">
        <v>5</v>
      </c>
      <c r="H612" s="45">
        <v>479579</v>
      </c>
      <c r="J612" s="45">
        <v>95915.8</v>
      </c>
    </row>
    <row r="613" spans="1:11" x14ac:dyDescent="0.2">
      <c r="A613" s="38" t="s">
        <v>7</v>
      </c>
      <c r="B613" s="38" t="s">
        <v>3245</v>
      </c>
      <c r="C613" s="43" t="s">
        <v>3246</v>
      </c>
      <c r="E613" s="44">
        <v>8</v>
      </c>
      <c r="F613" s="45">
        <v>2536447</v>
      </c>
      <c r="G613" s="44">
        <v>2</v>
      </c>
      <c r="H613" s="45">
        <v>640038</v>
      </c>
      <c r="I613" s="45">
        <v>317055.875</v>
      </c>
      <c r="J613" s="45">
        <v>320019</v>
      </c>
      <c r="K613" s="46">
        <v>9.3457501773149612E-3</v>
      </c>
    </row>
    <row r="614" spans="1:11" x14ac:dyDescent="0.2">
      <c r="A614" s="38" t="s">
        <v>7</v>
      </c>
      <c r="B614" s="38" t="s">
        <v>3253</v>
      </c>
      <c r="C614" s="43" t="s">
        <v>3254</v>
      </c>
      <c r="E614" s="44">
        <v>318</v>
      </c>
      <c r="F614" s="45">
        <v>128575</v>
      </c>
      <c r="G614" s="44">
        <v>269</v>
      </c>
      <c r="H614" s="45">
        <v>102851</v>
      </c>
      <c r="I614" s="45">
        <v>404.32389937106916</v>
      </c>
      <c r="J614" s="45">
        <v>382.34572490706319</v>
      </c>
      <c r="K614" s="46">
        <v>-5.4357841567597903E-2</v>
      </c>
    </row>
    <row r="615" spans="1:11" x14ac:dyDescent="0.2">
      <c r="A615" s="38" t="s">
        <v>7</v>
      </c>
      <c r="B615" s="38" t="s">
        <v>3276</v>
      </c>
      <c r="C615" s="43" t="s">
        <v>3277</v>
      </c>
      <c r="E615" s="44">
        <v>44</v>
      </c>
      <c r="F615" s="45">
        <v>94152</v>
      </c>
      <c r="G615" s="44">
        <v>37</v>
      </c>
      <c r="H615" s="45">
        <v>96803</v>
      </c>
      <c r="I615" s="45">
        <v>2139.818181818182</v>
      </c>
      <c r="J615" s="45">
        <v>2616.2972972972975</v>
      </c>
      <c r="K615" s="46">
        <v>0.22267271094699084</v>
      </c>
    </row>
    <row r="616" spans="1:11" x14ac:dyDescent="0.2">
      <c r="A616" s="38" t="s">
        <v>7</v>
      </c>
      <c r="B616" s="38" t="s">
        <v>3279</v>
      </c>
      <c r="C616" s="43" t="s">
        <v>3280</v>
      </c>
      <c r="E616" s="44">
        <v>12</v>
      </c>
      <c r="F616" s="45">
        <v>301524</v>
      </c>
      <c r="G616" s="44">
        <v>20</v>
      </c>
      <c r="H616" s="45">
        <v>453349</v>
      </c>
      <c r="I616" s="45">
        <v>25127</v>
      </c>
      <c r="J616" s="45">
        <v>22667.45</v>
      </c>
      <c r="K616" s="46">
        <v>-9.7884745492896053E-2</v>
      </c>
    </row>
    <row r="617" spans="1:11" x14ac:dyDescent="0.2">
      <c r="A617" s="38" t="s">
        <v>7</v>
      </c>
      <c r="B617" s="38" t="s">
        <v>3281</v>
      </c>
      <c r="C617" s="43" t="s">
        <v>3282</v>
      </c>
      <c r="E617" s="44">
        <v>15</v>
      </c>
      <c r="F617" s="45">
        <v>133332</v>
      </c>
      <c r="G617" s="44">
        <v>23</v>
      </c>
      <c r="H617" s="45">
        <v>203606</v>
      </c>
      <c r="I617" s="45">
        <v>8888.7999999999993</v>
      </c>
      <c r="J617" s="45">
        <v>8852.434782608696</v>
      </c>
      <c r="K617" s="46">
        <v>-4.0911278678003003E-3</v>
      </c>
    </row>
    <row r="618" spans="1:11" x14ac:dyDescent="0.2">
      <c r="A618" s="38" t="s">
        <v>7</v>
      </c>
      <c r="B618" s="38" t="s">
        <v>3286</v>
      </c>
      <c r="C618" s="43" t="s">
        <v>3287</v>
      </c>
      <c r="E618" s="44">
        <v>81</v>
      </c>
      <c r="F618" s="45">
        <v>173421</v>
      </c>
      <c r="G618" s="44">
        <v>70</v>
      </c>
      <c r="H618" s="45">
        <v>160218</v>
      </c>
      <c r="I618" s="45">
        <v>2141</v>
      </c>
      <c r="J618" s="45">
        <v>2288.8285714285716</v>
      </c>
      <c r="K618" s="46">
        <v>6.9046506972709781E-2</v>
      </c>
    </row>
    <row r="619" spans="1:11" x14ac:dyDescent="0.2">
      <c r="A619" s="38" t="s">
        <v>7</v>
      </c>
      <c r="B619" s="38" t="s">
        <v>3291</v>
      </c>
      <c r="C619" s="43" t="s">
        <v>3292</v>
      </c>
      <c r="E619" s="44">
        <v>4</v>
      </c>
      <c r="F619" s="45">
        <v>16840</v>
      </c>
      <c r="G619" s="44">
        <v>5</v>
      </c>
      <c r="H619" s="45">
        <v>21860</v>
      </c>
      <c r="I619" s="45">
        <v>4210</v>
      </c>
      <c r="J619" s="45">
        <v>4372</v>
      </c>
      <c r="K619" s="46">
        <v>3.8479809976247031E-2</v>
      </c>
    </row>
    <row r="620" spans="1:11" x14ac:dyDescent="0.2">
      <c r="A620" s="38" t="s">
        <v>7</v>
      </c>
      <c r="B620" s="38" t="s">
        <v>3303</v>
      </c>
      <c r="C620" s="43" t="s">
        <v>3304</v>
      </c>
      <c r="E620" s="44">
        <v>19</v>
      </c>
      <c r="F620" s="45">
        <v>524202</v>
      </c>
      <c r="G620" s="44">
        <v>15</v>
      </c>
      <c r="H620" s="45">
        <v>377102</v>
      </c>
      <c r="I620" s="45">
        <v>27589.57894736842</v>
      </c>
      <c r="J620" s="45">
        <v>25140.133333333335</v>
      </c>
      <c r="K620" s="46">
        <v>-8.8781551132324207E-2</v>
      </c>
    </row>
    <row r="621" spans="1:11" x14ac:dyDescent="0.2">
      <c r="A621" s="38" t="s">
        <v>7</v>
      </c>
      <c r="B621" s="38" t="s">
        <v>3305</v>
      </c>
      <c r="C621" s="43" t="s">
        <v>3306</v>
      </c>
      <c r="G621" s="44">
        <v>1</v>
      </c>
      <c r="H621" s="45">
        <v>25215</v>
      </c>
      <c r="J621" s="45">
        <v>25215</v>
      </c>
    </row>
    <row r="622" spans="1:11" x14ac:dyDescent="0.2">
      <c r="A622" s="38" t="s">
        <v>7</v>
      </c>
      <c r="B622" s="38" t="s">
        <v>3313</v>
      </c>
      <c r="C622" s="43" t="s">
        <v>3314</v>
      </c>
      <c r="E622" s="44">
        <v>1</v>
      </c>
      <c r="F622" s="45">
        <v>7388</v>
      </c>
      <c r="G622" s="44">
        <v>2</v>
      </c>
      <c r="H622" s="45">
        <v>14776</v>
      </c>
      <c r="I622" s="45">
        <v>7388</v>
      </c>
      <c r="J622" s="45">
        <v>7388</v>
      </c>
      <c r="K622" s="46">
        <v>0</v>
      </c>
    </row>
    <row r="623" spans="1:11" x14ac:dyDescent="0.2">
      <c r="A623" s="38" t="s">
        <v>7</v>
      </c>
      <c r="B623" s="38" t="s">
        <v>3316</v>
      </c>
      <c r="C623" s="43" t="s">
        <v>3317</v>
      </c>
      <c r="G623" s="44">
        <v>5</v>
      </c>
      <c r="H623" s="45">
        <v>45567</v>
      </c>
      <c r="J623" s="45">
        <v>9113.4</v>
      </c>
    </row>
    <row r="624" spans="1:11" x14ac:dyDescent="0.2">
      <c r="A624" s="38" t="s">
        <v>7</v>
      </c>
      <c r="B624" s="38" t="s">
        <v>3325</v>
      </c>
      <c r="C624" s="43" t="s">
        <v>3326</v>
      </c>
      <c r="G624" s="44">
        <v>7</v>
      </c>
      <c r="H624" s="45">
        <v>36193</v>
      </c>
      <c r="J624" s="45">
        <v>5170.4285714285716</v>
      </c>
    </row>
    <row r="625" spans="1:11" x14ac:dyDescent="0.2">
      <c r="A625" s="38" t="s">
        <v>7</v>
      </c>
      <c r="B625" s="38" t="s">
        <v>3328</v>
      </c>
      <c r="C625" s="43" t="s">
        <v>3329</v>
      </c>
      <c r="G625" s="44">
        <v>3</v>
      </c>
      <c r="H625" s="45">
        <v>99489</v>
      </c>
      <c r="J625" s="45">
        <v>33163</v>
      </c>
    </row>
    <row r="626" spans="1:11" x14ac:dyDescent="0.2">
      <c r="A626" s="38" t="s">
        <v>7</v>
      </c>
      <c r="B626" s="38" t="s">
        <v>3340</v>
      </c>
      <c r="C626" s="43" t="s">
        <v>3341</v>
      </c>
      <c r="G626" s="44">
        <v>1</v>
      </c>
      <c r="H626" s="45">
        <v>149761</v>
      </c>
      <c r="J626" s="45">
        <v>149761</v>
      </c>
    </row>
    <row r="627" spans="1:11" x14ac:dyDescent="0.2">
      <c r="A627" s="38" t="s">
        <v>7</v>
      </c>
      <c r="B627" s="38" t="s">
        <v>3352</v>
      </c>
      <c r="C627" s="43" t="s">
        <v>3353</v>
      </c>
      <c r="D627" s="38" t="s">
        <v>12411</v>
      </c>
      <c r="E627" s="44">
        <v>190</v>
      </c>
      <c r="F627" s="45">
        <v>256098</v>
      </c>
      <c r="G627" s="44">
        <v>170</v>
      </c>
      <c r="H627" s="45">
        <v>225182</v>
      </c>
      <c r="I627" s="45">
        <v>1347.8842105263159</v>
      </c>
      <c r="J627" s="45">
        <v>1324.6</v>
      </c>
      <c r="K627" s="46">
        <v>-1.7274637053003281E-2</v>
      </c>
    </row>
    <row r="628" spans="1:11" x14ac:dyDescent="0.2">
      <c r="A628" s="38" t="s">
        <v>7</v>
      </c>
      <c r="B628" s="38" t="s">
        <v>3355</v>
      </c>
      <c r="C628" s="43" t="s">
        <v>3356</v>
      </c>
      <c r="D628" s="38" t="s">
        <v>12412</v>
      </c>
      <c r="E628" s="44">
        <v>6</v>
      </c>
      <c r="F628" s="45">
        <v>24288</v>
      </c>
      <c r="G628" s="44">
        <v>27</v>
      </c>
      <c r="H628" s="45">
        <v>102450</v>
      </c>
      <c r="I628" s="45">
        <v>4048</v>
      </c>
      <c r="J628" s="45">
        <v>3794.4444444444443</v>
      </c>
      <c r="K628" s="46">
        <v>-6.2637241985068093E-2</v>
      </c>
    </row>
    <row r="629" spans="1:11" x14ac:dyDescent="0.2">
      <c r="A629" s="38" t="s">
        <v>7</v>
      </c>
      <c r="B629" s="38" t="s">
        <v>3358</v>
      </c>
      <c r="C629" s="43" t="s">
        <v>3359</v>
      </c>
      <c r="E629" s="44">
        <v>1</v>
      </c>
      <c r="F629" s="45">
        <v>2733</v>
      </c>
      <c r="G629" s="44">
        <v>1</v>
      </c>
      <c r="H629" s="45">
        <v>2733</v>
      </c>
      <c r="I629" s="45">
        <v>2733</v>
      </c>
      <c r="J629" s="45">
        <v>2733</v>
      </c>
      <c r="K629" s="46">
        <v>0</v>
      </c>
    </row>
    <row r="630" spans="1:11" x14ac:dyDescent="0.2">
      <c r="A630" s="38" t="s">
        <v>7</v>
      </c>
      <c r="B630" s="38" t="s">
        <v>3367</v>
      </c>
      <c r="C630" s="43" t="s">
        <v>3368</v>
      </c>
      <c r="E630" s="44">
        <v>9</v>
      </c>
      <c r="F630" s="45">
        <v>451476</v>
      </c>
      <c r="G630" s="44">
        <v>9</v>
      </c>
      <c r="H630" s="45">
        <v>462906</v>
      </c>
      <c r="I630" s="45">
        <v>50164</v>
      </c>
      <c r="J630" s="45">
        <v>51434</v>
      </c>
      <c r="K630" s="46">
        <v>2.5316960369986444E-2</v>
      </c>
    </row>
    <row r="631" spans="1:11" x14ac:dyDescent="0.2">
      <c r="A631" s="38" t="s">
        <v>7</v>
      </c>
      <c r="B631" s="38" t="s">
        <v>3370</v>
      </c>
      <c r="C631" s="43" t="s">
        <v>3371</v>
      </c>
      <c r="G631" s="44">
        <v>3</v>
      </c>
      <c r="H631" s="45">
        <v>38829</v>
      </c>
      <c r="J631" s="45">
        <v>12943</v>
      </c>
    </row>
    <row r="632" spans="1:11" x14ac:dyDescent="0.2">
      <c r="A632" s="38" t="s">
        <v>7</v>
      </c>
      <c r="B632" s="38" t="s">
        <v>3376</v>
      </c>
      <c r="C632" s="43" t="s">
        <v>3377</v>
      </c>
      <c r="E632" s="44">
        <v>8</v>
      </c>
      <c r="F632" s="45">
        <v>411472</v>
      </c>
      <c r="G632" s="44">
        <v>10</v>
      </c>
      <c r="H632" s="45">
        <v>514340</v>
      </c>
      <c r="I632" s="45">
        <v>51434</v>
      </c>
      <c r="J632" s="45">
        <v>51434</v>
      </c>
      <c r="K632" s="46">
        <v>0</v>
      </c>
    </row>
    <row r="633" spans="1:11" x14ac:dyDescent="0.2">
      <c r="A633" s="38" t="s">
        <v>7</v>
      </c>
      <c r="B633" s="38" t="s">
        <v>3385</v>
      </c>
      <c r="C633" s="43" t="s">
        <v>3386</v>
      </c>
      <c r="G633" s="44">
        <v>4</v>
      </c>
      <c r="H633" s="45">
        <v>101722</v>
      </c>
      <c r="J633" s="45">
        <v>25430.5</v>
      </c>
    </row>
    <row r="634" spans="1:11" x14ac:dyDescent="0.2">
      <c r="A634" s="38" t="s">
        <v>7</v>
      </c>
      <c r="B634" s="38" t="s">
        <v>3388</v>
      </c>
      <c r="C634" s="43" t="s">
        <v>3389</v>
      </c>
      <c r="G634" s="44">
        <v>3</v>
      </c>
      <c r="H634" s="45">
        <v>77289</v>
      </c>
      <c r="J634" s="45">
        <v>25763</v>
      </c>
    </row>
    <row r="635" spans="1:11" x14ac:dyDescent="0.2">
      <c r="A635" s="38" t="s">
        <v>7</v>
      </c>
      <c r="B635" s="38" t="s">
        <v>3399</v>
      </c>
      <c r="C635" s="43" t="s">
        <v>3400</v>
      </c>
      <c r="G635" s="44">
        <v>4</v>
      </c>
      <c r="H635" s="45">
        <v>172680</v>
      </c>
      <c r="J635" s="45">
        <v>43170</v>
      </c>
    </row>
    <row r="636" spans="1:11" x14ac:dyDescent="0.2">
      <c r="A636" s="38" t="s">
        <v>7</v>
      </c>
      <c r="B636" s="38" t="s">
        <v>3406</v>
      </c>
      <c r="C636" s="43" t="s">
        <v>3407</v>
      </c>
      <c r="G636" s="44">
        <v>4</v>
      </c>
      <c r="H636" s="45">
        <v>39776</v>
      </c>
      <c r="J636" s="45">
        <v>9944</v>
      </c>
    </row>
    <row r="637" spans="1:11" x14ac:dyDescent="0.2">
      <c r="A637" s="38" t="s">
        <v>7</v>
      </c>
      <c r="B637" s="38" t="s">
        <v>3409</v>
      </c>
      <c r="C637" s="43" t="s">
        <v>3410</v>
      </c>
      <c r="E637" s="44">
        <v>11</v>
      </c>
      <c r="F637" s="45">
        <v>315260</v>
      </c>
      <c r="G637" s="44">
        <v>11</v>
      </c>
      <c r="H637" s="45">
        <v>337689</v>
      </c>
      <c r="I637" s="45">
        <v>28660</v>
      </c>
      <c r="J637" s="45">
        <v>30699</v>
      </c>
      <c r="K637" s="46">
        <v>7.1144452198185631E-2</v>
      </c>
    </row>
    <row r="638" spans="1:11" x14ac:dyDescent="0.2">
      <c r="A638" s="38" t="s">
        <v>7</v>
      </c>
      <c r="B638" s="38" t="s">
        <v>3432</v>
      </c>
      <c r="C638" s="43" t="s">
        <v>3433</v>
      </c>
      <c r="G638" s="44">
        <v>1</v>
      </c>
      <c r="H638" s="45">
        <v>106298</v>
      </c>
      <c r="J638" s="45">
        <v>106298</v>
      </c>
    </row>
    <row r="639" spans="1:11" x14ac:dyDescent="0.2">
      <c r="A639" s="38" t="s">
        <v>7</v>
      </c>
      <c r="B639" s="38" t="s">
        <v>3435</v>
      </c>
      <c r="C639" s="43" t="s">
        <v>3436</v>
      </c>
      <c r="G639" s="44">
        <v>1</v>
      </c>
      <c r="H639" s="45">
        <v>106298</v>
      </c>
      <c r="J639" s="45">
        <v>106298</v>
      </c>
    </row>
    <row r="640" spans="1:11" x14ac:dyDescent="0.2">
      <c r="A640" s="38" t="s">
        <v>7</v>
      </c>
      <c r="B640" s="38" t="s">
        <v>3444</v>
      </c>
      <c r="C640" s="43" t="s">
        <v>3445</v>
      </c>
      <c r="G640" s="44">
        <v>1</v>
      </c>
      <c r="H640" s="45">
        <v>51434</v>
      </c>
      <c r="J640" s="45">
        <v>51434</v>
      </c>
    </row>
    <row r="641" spans="1:11" x14ac:dyDescent="0.2">
      <c r="A641" s="38" t="s">
        <v>7</v>
      </c>
      <c r="B641" s="38" t="s">
        <v>3449</v>
      </c>
      <c r="C641" s="43" t="s">
        <v>3450</v>
      </c>
      <c r="E641" s="44">
        <v>13</v>
      </c>
      <c r="F641" s="45">
        <v>108563</v>
      </c>
      <c r="G641" s="44">
        <v>14</v>
      </c>
      <c r="H641" s="45">
        <v>120344</v>
      </c>
      <c r="I641" s="45">
        <v>8351</v>
      </c>
      <c r="J641" s="45">
        <v>8596</v>
      </c>
      <c r="K641" s="46">
        <v>2.9337803855825649E-2</v>
      </c>
    </row>
    <row r="642" spans="1:11" x14ac:dyDescent="0.2">
      <c r="A642" s="38" t="s">
        <v>7</v>
      </c>
      <c r="B642" s="38" t="s">
        <v>3452</v>
      </c>
      <c r="C642" s="43" t="s">
        <v>3453</v>
      </c>
      <c r="G642" s="44">
        <v>3</v>
      </c>
      <c r="H642" s="45">
        <v>49503</v>
      </c>
      <c r="J642" s="45">
        <v>16501</v>
      </c>
    </row>
    <row r="643" spans="1:11" x14ac:dyDescent="0.2">
      <c r="A643" s="38" t="s">
        <v>7</v>
      </c>
      <c r="B643" s="38" t="s">
        <v>3455</v>
      </c>
      <c r="C643" s="43" t="s">
        <v>3456</v>
      </c>
      <c r="G643" s="44">
        <v>3</v>
      </c>
      <c r="H643" s="45">
        <v>14622</v>
      </c>
      <c r="J643" s="45">
        <v>4874</v>
      </c>
    </row>
    <row r="644" spans="1:11" x14ac:dyDescent="0.2">
      <c r="A644" s="38" t="s">
        <v>7</v>
      </c>
      <c r="B644" s="38" t="s">
        <v>3461</v>
      </c>
      <c r="C644" s="43" t="s">
        <v>3462</v>
      </c>
      <c r="G644" s="44">
        <v>12</v>
      </c>
      <c r="H644" s="45">
        <v>122253</v>
      </c>
      <c r="J644" s="45">
        <v>10187.75</v>
      </c>
    </row>
    <row r="645" spans="1:11" x14ac:dyDescent="0.2">
      <c r="A645" s="38" t="s">
        <v>7</v>
      </c>
      <c r="B645" s="38" t="s">
        <v>3464</v>
      </c>
      <c r="C645" s="43" t="s">
        <v>3465</v>
      </c>
      <c r="G645" s="44">
        <v>2</v>
      </c>
      <c r="H645" s="45">
        <v>7646</v>
      </c>
      <c r="J645" s="45">
        <v>3823</v>
      </c>
    </row>
    <row r="646" spans="1:11" x14ac:dyDescent="0.2">
      <c r="A646" s="38" t="s">
        <v>7</v>
      </c>
      <c r="B646" s="38" t="s">
        <v>3485</v>
      </c>
      <c r="C646" s="43" t="s">
        <v>3486</v>
      </c>
      <c r="G646" s="44">
        <v>5</v>
      </c>
      <c r="H646" s="45">
        <v>103420</v>
      </c>
      <c r="J646" s="45">
        <v>20684</v>
      </c>
    </row>
    <row r="647" spans="1:11" x14ac:dyDescent="0.2">
      <c r="A647" s="38" t="s">
        <v>7</v>
      </c>
      <c r="B647" s="38" t="s">
        <v>3488</v>
      </c>
      <c r="C647" s="43" t="s">
        <v>3489</v>
      </c>
      <c r="G647" s="44">
        <v>1</v>
      </c>
      <c r="H647" s="45">
        <v>4821</v>
      </c>
      <c r="J647" s="45">
        <v>4821</v>
      </c>
    </row>
    <row r="648" spans="1:11" x14ac:dyDescent="0.2">
      <c r="A648" s="38" t="s">
        <v>7</v>
      </c>
      <c r="B648" s="38" t="s">
        <v>3493</v>
      </c>
      <c r="C648" s="43" t="s">
        <v>3494</v>
      </c>
      <c r="G648" s="44">
        <v>1</v>
      </c>
      <c r="H648" s="45">
        <v>441</v>
      </c>
      <c r="J648" s="45">
        <v>441</v>
      </c>
    </row>
    <row r="649" spans="1:11" x14ac:dyDescent="0.2">
      <c r="A649" s="38" t="s">
        <v>7</v>
      </c>
      <c r="B649" s="38" t="s">
        <v>3498</v>
      </c>
      <c r="C649" s="43" t="s">
        <v>3499</v>
      </c>
      <c r="E649" s="44">
        <v>17</v>
      </c>
      <c r="F649" s="45">
        <v>71865</v>
      </c>
      <c r="G649" s="44">
        <v>3</v>
      </c>
      <c r="H649" s="45">
        <v>10521</v>
      </c>
      <c r="I649" s="45">
        <v>4227.3529411764703</v>
      </c>
      <c r="J649" s="45">
        <v>3507</v>
      </c>
      <c r="K649" s="46">
        <v>-0.17040283865581293</v>
      </c>
    </row>
    <row r="650" spans="1:11" x14ac:dyDescent="0.2">
      <c r="A650" s="38" t="s">
        <v>7</v>
      </c>
      <c r="B650" s="38" t="s">
        <v>3524</v>
      </c>
      <c r="C650" s="43" t="s">
        <v>3525</v>
      </c>
      <c r="G650" s="44">
        <v>3</v>
      </c>
      <c r="H650" s="45">
        <v>24141</v>
      </c>
      <c r="J650" s="45">
        <v>8047</v>
      </c>
    </row>
    <row r="651" spans="1:11" x14ac:dyDescent="0.2">
      <c r="A651" s="38" t="s">
        <v>7</v>
      </c>
      <c r="B651" s="38" t="s">
        <v>3526</v>
      </c>
      <c r="C651" s="43" t="s">
        <v>3527</v>
      </c>
      <c r="G651" s="44">
        <v>1</v>
      </c>
      <c r="H651" s="45">
        <v>8097</v>
      </c>
      <c r="J651" s="45">
        <v>8097</v>
      </c>
    </row>
    <row r="652" spans="1:11" x14ac:dyDescent="0.2">
      <c r="A652" s="38" t="s">
        <v>7</v>
      </c>
      <c r="B652" s="38" t="s">
        <v>3528</v>
      </c>
      <c r="C652" s="43" t="s">
        <v>3529</v>
      </c>
      <c r="G652" s="44">
        <v>1</v>
      </c>
      <c r="H652" s="45">
        <v>9601</v>
      </c>
      <c r="J652" s="45">
        <v>9601</v>
      </c>
    </row>
    <row r="653" spans="1:11" x14ac:dyDescent="0.2">
      <c r="A653" s="38" t="s">
        <v>7</v>
      </c>
      <c r="B653" s="38" t="s">
        <v>3568</v>
      </c>
      <c r="C653" s="43" t="s">
        <v>3569</v>
      </c>
      <c r="E653" s="44">
        <v>98</v>
      </c>
      <c r="F653" s="45">
        <v>512169</v>
      </c>
      <c r="G653" s="44">
        <v>208</v>
      </c>
      <c r="H653" s="45">
        <v>1022492</v>
      </c>
      <c r="I653" s="45">
        <v>5226.2142857142853</v>
      </c>
      <c r="J653" s="45">
        <v>4915.8269230769229</v>
      </c>
      <c r="K653" s="46">
        <v>-5.9390477632307932E-2</v>
      </c>
    </row>
    <row r="654" spans="1:11" x14ac:dyDescent="0.2">
      <c r="A654" s="38" t="s">
        <v>7</v>
      </c>
      <c r="B654" s="38" t="s">
        <v>3573</v>
      </c>
      <c r="C654" s="43" t="s">
        <v>3574</v>
      </c>
      <c r="D654" s="38" t="s">
        <v>12413</v>
      </c>
      <c r="E654" s="44">
        <v>506</v>
      </c>
      <c r="F654" s="45">
        <v>213588</v>
      </c>
      <c r="G654" s="44">
        <v>539</v>
      </c>
      <c r="H654" s="45">
        <v>212758</v>
      </c>
      <c r="I654" s="45">
        <v>422.11067193675888</v>
      </c>
      <c r="J654" s="45">
        <v>394.72727272727275</v>
      </c>
      <c r="K654" s="46">
        <v>-6.4872558383429701E-2</v>
      </c>
    </row>
    <row r="655" spans="1:11" x14ac:dyDescent="0.2">
      <c r="A655" s="38" t="s">
        <v>7</v>
      </c>
      <c r="B655" s="38" t="s">
        <v>3576</v>
      </c>
      <c r="C655" s="43" t="s">
        <v>3577</v>
      </c>
      <c r="D655" s="38" t="s">
        <v>12414</v>
      </c>
      <c r="E655" s="44">
        <v>665</v>
      </c>
      <c r="F655" s="45">
        <v>255655</v>
      </c>
      <c r="G655" s="44">
        <v>667</v>
      </c>
      <c r="H655" s="45">
        <v>239754</v>
      </c>
      <c r="I655" s="45">
        <v>384.44360902255642</v>
      </c>
      <c r="J655" s="45">
        <v>359.45127436281859</v>
      </c>
      <c r="K655" s="46">
        <v>-6.5009104256617906E-2</v>
      </c>
    </row>
    <row r="656" spans="1:11" x14ac:dyDescent="0.2">
      <c r="A656" s="38" t="s">
        <v>7</v>
      </c>
      <c r="B656" s="38" t="s">
        <v>3589</v>
      </c>
      <c r="C656" s="43" t="s">
        <v>3590</v>
      </c>
      <c r="G656" s="44">
        <v>6</v>
      </c>
      <c r="H656" s="45">
        <v>68946</v>
      </c>
      <c r="J656" s="45">
        <v>11491</v>
      </c>
    </row>
    <row r="657" spans="1:11" x14ac:dyDescent="0.2">
      <c r="A657" s="38" t="s">
        <v>7</v>
      </c>
      <c r="B657" s="38" t="s">
        <v>3598</v>
      </c>
      <c r="C657" s="43" t="s">
        <v>3599</v>
      </c>
      <c r="G657" s="44">
        <v>5</v>
      </c>
      <c r="H657" s="45">
        <v>110075</v>
      </c>
      <c r="J657" s="45">
        <v>22015</v>
      </c>
    </row>
    <row r="658" spans="1:11" x14ac:dyDescent="0.2">
      <c r="A658" s="38" t="s">
        <v>7</v>
      </c>
      <c r="B658" s="38" t="s">
        <v>3606</v>
      </c>
      <c r="C658" s="43" t="s">
        <v>3607</v>
      </c>
      <c r="G658" s="44">
        <v>2</v>
      </c>
      <c r="H658" s="45">
        <v>3946</v>
      </c>
      <c r="J658" s="45">
        <v>1973</v>
      </c>
    </row>
    <row r="659" spans="1:11" x14ac:dyDescent="0.2">
      <c r="A659" s="38" t="s">
        <v>7</v>
      </c>
      <c r="B659" s="38" t="s">
        <v>3612</v>
      </c>
      <c r="C659" s="43" t="s">
        <v>3613</v>
      </c>
      <c r="G659" s="44">
        <v>1</v>
      </c>
      <c r="H659" s="45">
        <v>14439</v>
      </c>
      <c r="J659" s="45">
        <v>14439</v>
      </c>
    </row>
    <row r="660" spans="1:11" x14ac:dyDescent="0.2">
      <c r="A660" s="38" t="s">
        <v>7</v>
      </c>
      <c r="B660" s="38" t="s">
        <v>3639</v>
      </c>
      <c r="C660" s="43" t="s">
        <v>3640</v>
      </c>
      <c r="D660" s="38" t="s">
        <v>12415</v>
      </c>
      <c r="E660" s="44">
        <v>61</v>
      </c>
      <c r="F660" s="45">
        <v>6439405</v>
      </c>
      <c r="G660" s="44">
        <v>41</v>
      </c>
      <c r="H660" s="45">
        <v>3650733</v>
      </c>
      <c r="I660" s="45">
        <v>105564.01639344262</v>
      </c>
      <c r="J660" s="45">
        <v>89042.268292682929</v>
      </c>
      <c r="K660" s="46">
        <v>-0.15650927906325837</v>
      </c>
    </row>
    <row r="661" spans="1:11" x14ac:dyDescent="0.2">
      <c r="A661" s="38" t="s">
        <v>7</v>
      </c>
      <c r="B661" s="38" t="s">
        <v>3642</v>
      </c>
      <c r="C661" s="43" t="s">
        <v>3643</v>
      </c>
      <c r="D661" s="38" t="s">
        <v>12416</v>
      </c>
      <c r="E661" s="44">
        <v>8</v>
      </c>
      <c r="F661" s="45">
        <v>322522</v>
      </c>
      <c r="G661" s="44">
        <v>4</v>
      </c>
      <c r="H661" s="45">
        <v>130455</v>
      </c>
      <c r="I661" s="45">
        <v>40315.25</v>
      </c>
      <c r="J661" s="45">
        <v>32613.75</v>
      </c>
      <c r="K661" s="46">
        <v>-0.19103192960480214</v>
      </c>
    </row>
    <row r="662" spans="1:11" x14ac:dyDescent="0.2">
      <c r="A662" s="38" t="s">
        <v>7</v>
      </c>
      <c r="B662" s="38" t="s">
        <v>3657</v>
      </c>
      <c r="C662" s="43" t="s">
        <v>3658</v>
      </c>
      <c r="E662" s="44">
        <v>1</v>
      </c>
      <c r="F662" s="45">
        <v>56706</v>
      </c>
      <c r="G662" s="44">
        <v>0</v>
      </c>
      <c r="H662" s="45">
        <v>0</v>
      </c>
      <c r="I662" s="45">
        <v>56706</v>
      </c>
    </row>
    <row r="663" spans="1:11" x14ac:dyDescent="0.2">
      <c r="A663" s="38" t="s">
        <v>7</v>
      </c>
      <c r="B663" s="38" t="s">
        <v>3660</v>
      </c>
      <c r="C663" s="43" t="s">
        <v>3661</v>
      </c>
      <c r="E663" s="44">
        <v>1</v>
      </c>
      <c r="F663" s="45">
        <v>16870</v>
      </c>
      <c r="G663" s="44">
        <v>0</v>
      </c>
      <c r="H663" s="45">
        <v>0</v>
      </c>
      <c r="I663" s="45">
        <v>16870</v>
      </c>
    </row>
    <row r="664" spans="1:11" x14ac:dyDescent="0.2">
      <c r="A664" s="38" t="s">
        <v>7</v>
      </c>
      <c r="B664" s="38" t="s">
        <v>3663</v>
      </c>
      <c r="C664" s="43" t="s">
        <v>3664</v>
      </c>
      <c r="G664" s="44">
        <v>3</v>
      </c>
      <c r="H664" s="45">
        <v>170118</v>
      </c>
      <c r="J664" s="45">
        <v>56706</v>
      </c>
    </row>
    <row r="665" spans="1:11" x14ac:dyDescent="0.2">
      <c r="A665" s="38" t="s">
        <v>7</v>
      </c>
      <c r="B665" s="38" t="s">
        <v>3666</v>
      </c>
      <c r="C665" s="43" t="s">
        <v>3667</v>
      </c>
      <c r="G665" s="44">
        <v>1</v>
      </c>
      <c r="H665" s="45">
        <v>45512.18</v>
      </c>
      <c r="J665" s="45">
        <v>45512.18</v>
      </c>
    </row>
    <row r="666" spans="1:11" x14ac:dyDescent="0.2">
      <c r="A666" s="38" t="s">
        <v>7</v>
      </c>
      <c r="B666" s="38" t="s">
        <v>3669</v>
      </c>
      <c r="C666" s="43" t="s">
        <v>3670</v>
      </c>
      <c r="D666" s="38" t="s">
        <v>12417</v>
      </c>
      <c r="G666" s="44">
        <v>2</v>
      </c>
      <c r="H666" s="45">
        <v>1401</v>
      </c>
      <c r="J666" s="45">
        <v>700.5</v>
      </c>
    </row>
    <row r="667" spans="1:11" x14ac:dyDescent="0.2">
      <c r="A667" s="38" t="s">
        <v>7</v>
      </c>
      <c r="B667" s="38" t="s">
        <v>3671</v>
      </c>
      <c r="C667" s="43" t="s">
        <v>3672</v>
      </c>
      <c r="D667" s="38" t="s">
        <v>12418</v>
      </c>
      <c r="E667" s="44">
        <v>13</v>
      </c>
      <c r="F667" s="45">
        <v>16541</v>
      </c>
      <c r="G667" s="44">
        <v>16</v>
      </c>
      <c r="H667" s="45">
        <v>18750</v>
      </c>
      <c r="I667" s="45">
        <v>1272.3846153846155</v>
      </c>
      <c r="J667" s="45">
        <v>1171.875</v>
      </c>
      <c r="K667" s="46">
        <v>-7.8993108034580803E-2</v>
      </c>
    </row>
    <row r="668" spans="1:11" x14ac:dyDescent="0.2">
      <c r="A668" s="38" t="s">
        <v>7</v>
      </c>
      <c r="B668" s="38" t="s">
        <v>3674</v>
      </c>
      <c r="C668" s="43" t="s">
        <v>3675</v>
      </c>
      <c r="D668" s="38" t="s">
        <v>12419</v>
      </c>
      <c r="G668" s="44">
        <v>19</v>
      </c>
      <c r="H668" s="45">
        <v>36328</v>
      </c>
      <c r="J668" s="45">
        <v>1912</v>
      </c>
    </row>
    <row r="669" spans="1:11" x14ac:dyDescent="0.2">
      <c r="A669" s="38" t="s">
        <v>7</v>
      </c>
      <c r="B669" s="38" t="s">
        <v>3677</v>
      </c>
      <c r="C669" s="43" t="s">
        <v>3678</v>
      </c>
      <c r="D669" s="38" t="s">
        <v>12420</v>
      </c>
      <c r="G669" s="44">
        <v>10</v>
      </c>
      <c r="H669" s="45">
        <v>7348</v>
      </c>
      <c r="J669" s="45">
        <v>734.8</v>
      </c>
    </row>
    <row r="670" spans="1:11" x14ac:dyDescent="0.2">
      <c r="A670" s="38" t="s">
        <v>7</v>
      </c>
      <c r="B670" s="38" t="s">
        <v>3695</v>
      </c>
      <c r="C670" s="43" t="s">
        <v>3696</v>
      </c>
      <c r="D670" s="38" t="s">
        <v>12421</v>
      </c>
      <c r="E670" s="44">
        <v>2</v>
      </c>
      <c r="F670" s="45">
        <v>1628</v>
      </c>
      <c r="G670" s="44">
        <v>1</v>
      </c>
      <c r="H670" s="45">
        <v>814</v>
      </c>
      <c r="I670" s="45">
        <v>814</v>
      </c>
      <c r="J670" s="45">
        <v>814</v>
      </c>
      <c r="K670" s="46">
        <v>0</v>
      </c>
    </row>
    <row r="671" spans="1:11" x14ac:dyDescent="0.2">
      <c r="A671" s="38" t="s">
        <v>7</v>
      </c>
      <c r="B671" s="38" t="s">
        <v>3698</v>
      </c>
      <c r="C671" s="43" t="s">
        <v>3699</v>
      </c>
      <c r="D671" s="38" t="s">
        <v>12422</v>
      </c>
      <c r="E671" s="44">
        <v>298</v>
      </c>
      <c r="F671" s="45">
        <v>99424</v>
      </c>
      <c r="G671" s="44">
        <v>449</v>
      </c>
      <c r="H671" s="45">
        <v>144706</v>
      </c>
      <c r="I671" s="45">
        <v>333.63758389261744</v>
      </c>
      <c r="J671" s="45">
        <v>322.28507795100222</v>
      </c>
      <c r="K671" s="46">
        <v>-3.4026460116283151E-2</v>
      </c>
    </row>
    <row r="672" spans="1:11" x14ac:dyDescent="0.2">
      <c r="A672" s="38" t="s">
        <v>7</v>
      </c>
      <c r="B672" s="38" t="s">
        <v>3701</v>
      </c>
      <c r="C672" s="43" t="s">
        <v>3702</v>
      </c>
      <c r="D672" s="38" t="s">
        <v>12423</v>
      </c>
      <c r="E672" s="44">
        <v>17</v>
      </c>
      <c r="F672" s="45">
        <v>97438</v>
      </c>
      <c r="G672" s="44">
        <v>28</v>
      </c>
      <c r="H672" s="45">
        <v>153970</v>
      </c>
      <c r="I672" s="45">
        <v>5731.6470588235297</v>
      </c>
      <c r="J672" s="45">
        <v>5498.9285714285716</v>
      </c>
      <c r="K672" s="46">
        <v>-4.0602375723170513E-2</v>
      </c>
    </row>
    <row r="673" spans="1:11" x14ac:dyDescent="0.2">
      <c r="A673" s="38" t="s">
        <v>7</v>
      </c>
      <c r="B673" s="38" t="s">
        <v>3704</v>
      </c>
      <c r="C673" s="43" t="s">
        <v>3705</v>
      </c>
      <c r="D673" s="38" t="s">
        <v>12424</v>
      </c>
      <c r="E673" s="44">
        <v>10</v>
      </c>
      <c r="F673" s="45">
        <v>76866</v>
      </c>
      <c r="G673" s="44">
        <v>7</v>
      </c>
      <c r="H673" s="45">
        <v>54208</v>
      </c>
      <c r="I673" s="45">
        <v>7686.6</v>
      </c>
      <c r="J673" s="45">
        <v>7744</v>
      </c>
      <c r="K673" s="46">
        <v>7.4675409153591487E-3</v>
      </c>
    </row>
    <row r="674" spans="1:11" x14ac:dyDescent="0.2">
      <c r="A674" s="38" t="s">
        <v>7</v>
      </c>
      <c r="B674" s="38" t="s">
        <v>3713</v>
      </c>
      <c r="C674" s="43" t="s">
        <v>3714</v>
      </c>
      <c r="D674" s="38" t="s">
        <v>12425</v>
      </c>
      <c r="E674" s="44">
        <v>110</v>
      </c>
      <c r="F674" s="45">
        <v>102629</v>
      </c>
      <c r="G674" s="44">
        <v>109</v>
      </c>
      <c r="H674" s="45">
        <v>119492</v>
      </c>
      <c r="I674" s="45">
        <v>932.9909090909091</v>
      </c>
      <c r="J674" s="45">
        <v>1096.2568807339449</v>
      </c>
      <c r="K674" s="46">
        <v>0.17499202838119765</v>
      </c>
    </row>
    <row r="675" spans="1:11" x14ac:dyDescent="0.2">
      <c r="A675" s="38" t="s">
        <v>7</v>
      </c>
      <c r="B675" s="38" t="s">
        <v>3716</v>
      </c>
      <c r="C675" s="43" t="s">
        <v>3717</v>
      </c>
      <c r="D675" s="38" t="s">
        <v>12426</v>
      </c>
      <c r="G675" s="44">
        <v>12</v>
      </c>
      <c r="H675" s="45">
        <v>15060</v>
      </c>
      <c r="J675" s="45">
        <v>1255</v>
      </c>
    </row>
    <row r="676" spans="1:11" x14ac:dyDescent="0.2">
      <c r="A676" s="38" t="s">
        <v>7</v>
      </c>
      <c r="B676" s="38" t="s">
        <v>3718</v>
      </c>
      <c r="C676" s="43" t="s">
        <v>3719</v>
      </c>
      <c r="D676" s="38" t="s">
        <v>12427</v>
      </c>
      <c r="E676" s="44">
        <v>11</v>
      </c>
      <c r="F676" s="45">
        <v>14705</v>
      </c>
      <c r="G676" s="44">
        <v>18</v>
      </c>
      <c r="H676" s="45">
        <v>24390</v>
      </c>
      <c r="I676" s="45">
        <v>1336.8181818181818</v>
      </c>
      <c r="J676" s="45">
        <v>1355</v>
      </c>
      <c r="K676" s="46">
        <v>1.3600816048962985E-2</v>
      </c>
    </row>
    <row r="677" spans="1:11" x14ac:dyDescent="0.2">
      <c r="A677" s="38" t="s">
        <v>7</v>
      </c>
      <c r="B677" s="38" t="s">
        <v>3724</v>
      </c>
      <c r="C677" s="43" t="s">
        <v>3725</v>
      </c>
      <c r="D677" s="38" t="s">
        <v>12428</v>
      </c>
      <c r="G677" s="44">
        <v>4</v>
      </c>
      <c r="H677" s="45">
        <v>5352</v>
      </c>
      <c r="J677" s="45">
        <v>1338</v>
      </c>
    </row>
    <row r="678" spans="1:11" x14ac:dyDescent="0.2">
      <c r="A678" s="38" t="s">
        <v>7</v>
      </c>
      <c r="B678" s="38" t="s">
        <v>3730</v>
      </c>
      <c r="C678" s="43" t="s">
        <v>3731</v>
      </c>
      <c r="D678" s="38" t="s">
        <v>12429</v>
      </c>
      <c r="G678" s="44">
        <v>1</v>
      </c>
      <c r="H678" s="45">
        <v>1890</v>
      </c>
      <c r="J678" s="45">
        <v>1890</v>
      </c>
    </row>
    <row r="679" spans="1:11" x14ac:dyDescent="0.2">
      <c r="A679" s="38" t="s">
        <v>7</v>
      </c>
      <c r="B679" s="38" t="s">
        <v>3733</v>
      </c>
      <c r="C679" s="43" t="s">
        <v>3734</v>
      </c>
      <c r="D679" s="38" t="s">
        <v>12430</v>
      </c>
      <c r="E679" s="44">
        <v>3</v>
      </c>
      <c r="F679" s="45">
        <v>5196</v>
      </c>
      <c r="G679" s="44">
        <v>2</v>
      </c>
      <c r="H679" s="45">
        <v>3464</v>
      </c>
      <c r="I679" s="45">
        <v>1732</v>
      </c>
      <c r="J679" s="45">
        <v>1732</v>
      </c>
      <c r="K679" s="46">
        <v>0</v>
      </c>
    </row>
    <row r="680" spans="1:11" x14ac:dyDescent="0.2">
      <c r="A680" s="38" t="s">
        <v>7</v>
      </c>
      <c r="B680" s="38" t="s">
        <v>3736</v>
      </c>
      <c r="C680" s="43" t="s">
        <v>3737</v>
      </c>
      <c r="D680" s="38" t="s">
        <v>12431</v>
      </c>
      <c r="E680" s="44">
        <v>11</v>
      </c>
      <c r="F680" s="45">
        <v>21345</v>
      </c>
      <c r="G680" s="44">
        <v>14</v>
      </c>
      <c r="H680" s="45">
        <v>23278</v>
      </c>
      <c r="I680" s="45">
        <v>1940.4545454545455</v>
      </c>
      <c r="J680" s="45">
        <v>1662.7142857142858</v>
      </c>
      <c r="K680" s="46">
        <v>-0.14313154636415351</v>
      </c>
    </row>
    <row r="681" spans="1:11" x14ac:dyDescent="0.2">
      <c r="A681" s="38" t="s">
        <v>7</v>
      </c>
      <c r="B681" s="38" t="s">
        <v>3742</v>
      </c>
      <c r="C681" s="43" t="s">
        <v>3743</v>
      </c>
      <c r="D681" s="38" t="s">
        <v>12432</v>
      </c>
      <c r="E681" s="44">
        <v>2</v>
      </c>
      <c r="F681" s="45">
        <v>3052</v>
      </c>
      <c r="G681" s="44">
        <v>2</v>
      </c>
      <c r="H681" s="45">
        <v>3052</v>
      </c>
      <c r="I681" s="45">
        <v>1526</v>
      </c>
      <c r="J681" s="45">
        <v>1526</v>
      </c>
      <c r="K681" s="46">
        <v>0</v>
      </c>
    </row>
    <row r="682" spans="1:11" x14ac:dyDescent="0.2">
      <c r="A682" s="38" t="s">
        <v>7</v>
      </c>
      <c r="B682" s="38" t="s">
        <v>3745</v>
      </c>
      <c r="C682" s="43" t="s">
        <v>3746</v>
      </c>
      <c r="D682" s="38" t="s">
        <v>12433</v>
      </c>
      <c r="G682" s="44">
        <v>1</v>
      </c>
      <c r="H682" s="45">
        <v>1310</v>
      </c>
      <c r="J682" s="45">
        <v>1310</v>
      </c>
    </row>
    <row r="683" spans="1:11" x14ac:dyDescent="0.2">
      <c r="A683" s="38" t="s">
        <v>7</v>
      </c>
      <c r="B683" s="38" t="s">
        <v>3747</v>
      </c>
      <c r="C683" s="43" t="s">
        <v>3748</v>
      </c>
      <c r="D683" s="38" t="s">
        <v>12434</v>
      </c>
      <c r="E683" s="44">
        <v>39</v>
      </c>
      <c r="F683" s="45">
        <v>44885</v>
      </c>
      <c r="G683" s="44">
        <v>33</v>
      </c>
      <c r="H683" s="45">
        <v>41145</v>
      </c>
      <c r="I683" s="45">
        <v>1150.8974358974358</v>
      </c>
      <c r="J683" s="45">
        <v>1246.8181818181818</v>
      </c>
      <c r="K683" s="46">
        <v>8.334430413075844E-2</v>
      </c>
    </row>
    <row r="684" spans="1:11" x14ac:dyDescent="0.2">
      <c r="A684" s="38" t="s">
        <v>7</v>
      </c>
      <c r="B684" s="38" t="s">
        <v>3750</v>
      </c>
      <c r="C684" s="43" t="s">
        <v>2622</v>
      </c>
      <c r="G684" s="44">
        <v>12</v>
      </c>
      <c r="H684" s="45">
        <v>27810</v>
      </c>
      <c r="J684" s="45">
        <v>2317.5</v>
      </c>
    </row>
    <row r="685" spans="1:11" x14ac:dyDescent="0.2">
      <c r="A685" s="38" t="s">
        <v>7</v>
      </c>
      <c r="B685" s="38" t="s">
        <v>3752</v>
      </c>
      <c r="C685" s="43" t="s">
        <v>3753</v>
      </c>
      <c r="D685" s="38" t="s">
        <v>12435</v>
      </c>
      <c r="E685" s="44">
        <v>10019</v>
      </c>
      <c r="F685" s="45">
        <v>11771706</v>
      </c>
      <c r="G685" s="44">
        <v>10607</v>
      </c>
      <c r="H685" s="45">
        <v>11535609</v>
      </c>
      <c r="I685" s="45">
        <v>1174.9382173869649</v>
      </c>
      <c r="J685" s="45">
        <v>1087.5468087112283</v>
      </c>
      <c r="K685" s="46">
        <v>-7.437957790673709E-2</v>
      </c>
    </row>
    <row r="686" spans="1:11" x14ac:dyDescent="0.2">
      <c r="A686" s="38" t="s">
        <v>7</v>
      </c>
      <c r="B686" s="38" t="s">
        <v>3754</v>
      </c>
      <c r="C686" s="43" t="s">
        <v>3755</v>
      </c>
      <c r="D686" s="38" t="s">
        <v>12112</v>
      </c>
      <c r="E686" s="44">
        <v>347</v>
      </c>
      <c r="F686" s="45">
        <v>584330</v>
      </c>
      <c r="G686" s="44">
        <v>203</v>
      </c>
      <c r="H686" s="45">
        <v>331370</v>
      </c>
      <c r="I686" s="45">
        <v>1683.9481268011527</v>
      </c>
      <c r="J686" s="45">
        <v>1632.3645320197045</v>
      </c>
      <c r="K686" s="46">
        <v>-3.0632531941133512E-2</v>
      </c>
    </row>
    <row r="687" spans="1:11" x14ac:dyDescent="0.2">
      <c r="A687" s="38" t="s">
        <v>7</v>
      </c>
      <c r="B687" s="38" t="s">
        <v>3756</v>
      </c>
      <c r="C687" s="43" t="s">
        <v>3757</v>
      </c>
      <c r="D687" s="38" t="s">
        <v>12436</v>
      </c>
      <c r="G687" s="44">
        <v>11</v>
      </c>
      <c r="H687" s="45">
        <v>13314</v>
      </c>
      <c r="J687" s="45">
        <v>1210.3636363636363</v>
      </c>
    </row>
    <row r="688" spans="1:11" x14ac:dyDescent="0.2">
      <c r="A688" s="38" t="s">
        <v>7</v>
      </c>
      <c r="B688" s="38" t="s">
        <v>3759</v>
      </c>
      <c r="C688" s="43" t="s">
        <v>3760</v>
      </c>
      <c r="D688" s="38" t="s">
        <v>12437</v>
      </c>
      <c r="E688" s="44">
        <v>134</v>
      </c>
      <c r="F688" s="45">
        <v>224664</v>
      </c>
      <c r="G688" s="44">
        <v>87</v>
      </c>
      <c r="H688" s="45">
        <v>151581</v>
      </c>
      <c r="I688" s="45">
        <v>1676.5970149253731</v>
      </c>
      <c r="J688" s="45">
        <v>1742.3103448275863</v>
      </c>
      <c r="K688" s="46">
        <v>3.9194469104514171E-2</v>
      </c>
    </row>
    <row r="689" spans="1:11" x14ac:dyDescent="0.2">
      <c r="A689" s="38" t="s">
        <v>7</v>
      </c>
      <c r="B689" s="38" t="s">
        <v>3762</v>
      </c>
      <c r="C689" s="43" t="s">
        <v>3763</v>
      </c>
      <c r="D689" s="38" t="s">
        <v>12438</v>
      </c>
      <c r="E689" s="44">
        <v>1</v>
      </c>
      <c r="F689" s="45">
        <v>1271</v>
      </c>
      <c r="G689" s="44">
        <v>0</v>
      </c>
      <c r="H689" s="45">
        <v>0</v>
      </c>
      <c r="I689" s="45">
        <v>1271</v>
      </c>
    </row>
    <row r="690" spans="1:11" x14ac:dyDescent="0.2">
      <c r="A690" s="38" t="s">
        <v>7</v>
      </c>
      <c r="B690" s="38" t="s">
        <v>3765</v>
      </c>
      <c r="C690" s="43" t="s">
        <v>3766</v>
      </c>
      <c r="D690" s="38" t="s">
        <v>12439</v>
      </c>
      <c r="E690" s="44">
        <v>8</v>
      </c>
      <c r="F690" s="45">
        <v>12364</v>
      </c>
      <c r="G690" s="44">
        <v>5</v>
      </c>
      <c r="H690" s="45">
        <v>8025</v>
      </c>
      <c r="I690" s="45">
        <v>1545.5</v>
      </c>
      <c r="J690" s="45">
        <v>1605</v>
      </c>
      <c r="K690" s="46">
        <v>3.8498867680362342E-2</v>
      </c>
    </row>
    <row r="691" spans="1:11" x14ac:dyDescent="0.2">
      <c r="A691" s="38" t="s">
        <v>7</v>
      </c>
      <c r="B691" s="38" t="s">
        <v>3768</v>
      </c>
      <c r="C691" s="43" t="s">
        <v>3769</v>
      </c>
      <c r="D691" s="38" t="s">
        <v>12440</v>
      </c>
      <c r="E691" s="44">
        <v>7</v>
      </c>
      <c r="F691" s="45">
        <v>7168</v>
      </c>
      <c r="G691" s="44">
        <v>4</v>
      </c>
      <c r="H691" s="45">
        <v>4096</v>
      </c>
      <c r="I691" s="45">
        <v>1024</v>
      </c>
      <c r="J691" s="45">
        <v>1024</v>
      </c>
      <c r="K691" s="46">
        <v>0</v>
      </c>
    </row>
    <row r="692" spans="1:11" x14ac:dyDescent="0.2">
      <c r="A692" s="38" t="s">
        <v>7</v>
      </c>
      <c r="B692" s="38" t="s">
        <v>3771</v>
      </c>
      <c r="C692" s="43" t="s">
        <v>3772</v>
      </c>
      <c r="D692" s="38" t="s">
        <v>12441</v>
      </c>
      <c r="E692" s="44">
        <v>10</v>
      </c>
      <c r="F692" s="45">
        <v>8522</v>
      </c>
      <c r="G692" s="44">
        <v>3</v>
      </c>
      <c r="H692" s="45">
        <v>2595</v>
      </c>
      <c r="I692" s="45">
        <v>852.2</v>
      </c>
      <c r="J692" s="45">
        <v>865</v>
      </c>
      <c r="K692" s="46">
        <v>1.5019948368927427E-2</v>
      </c>
    </row>
    <row r="693" spans="1:11" x14ac:dyDescent="0.2">
      <c r="A693" s="38" t="s">
        <v>7</v>
      </c>
      <c r="B693" s="38" t="s">
        <v>3774</v>
      </c>
      <c r="C693" s="43" t="s">
        <v>3775</v>
      </c>
      <c r="D693" s="38" t="s">
        <v>12442</v>
      </c>
      <c r="E693" s="44">
        <v>9</v>
      </c>
      <c r="F693" s="45">
        <v>13499</v>
      </c>
      <c r="G693" s="44">
        <v>4</v>
      </c>
      <c r="H693" s="45">
        <v>6100</v>
      </c>
      <c r="I693" s="45">
        <v>1499.8888888888889</v>
      </c>
      <c r="J693" s="45">
        <v>1525</v>
      </c>
      <c r="K693" s="46">
        <v>1.674198088747313E-2</v>
      </c>
    </row>
    <row r="694" spans="1:11" x14ac:dyDescent="0.2">
      <c r="A694" s="38" t="s">
        <v>7</v>
      </c>
      <c r="B694" s="38" t="s">
        <v>3777</v>
      </c>
      <c r="C694" s="43" t="s">
        <v>3778</v>
      </c>
      <c r="D694" s="38" t="s">
        <v>12442</v>
      </c>
      <c r="E694" s="44">
        <v>99</v>
      </c>
      <c r="F694" s="45">
        <v>147472</v>
      </c>
      <c r="G694" s="44">
        <v>87</v>
      </c>
      <c r="H694" s="45">
        <v>124758</v>
      </c>
      <c r="I694" s="45">
        <v>1489.6161616161617</v>
      </c>
      <c r="J694" s="45">
        <v>1434</v>
      </c>
      <c r="K694" s="46">
        <v>-3.7335901052403198E-2</v>
      </c>
    </row>
    <row r="695" spans="1:11" x14ac:dyDescent="0.2">
      <c r="A695" s="38" t="s">
        <v>7</v>
      </c>
      <c r="B695" s="38" t="s">
        <v>3780</v>
      </c>
      <c r="C695" s="43" t="s">
        <v>3781</v>
      </c>
      <c r="D695" s="38" t="s">
        <v>12443</v>
      </c>
      <c r="E695" s="44">
        <v>18</v>
      </c>
      <c r="F695" s="45">
        <v>42418</v>
      </c>
      <c r="G695" s="44">
        <v>19</v>
      </c>
      <c r="H695" s="45">
        <v>35157</v>
      </c>
      <c r="I695" s="45">
        <v>2356.5555555555557</v>
      </c>
      <c r="J695" s="45">
        <v>1850.3684210526317</v>
      </c>
      <c r="K695" s="46">
        <v>-0.21479957614815953</v>
      </c>
    </row>
    <row r="696" spans="1:11" x14ac:dyDescent="0.2">
      <c r="A696" s="38" t="s">
        <v>7</v>
      </c>
      <c r="B696" s="38" t="s">
        <v>3783</v>
      </c>
      <c r="C696" s="43" t="s">
        <v>3784</v>
      </c>
      <c r="D696" s="38" t="s">
        <v>12444</v>
      </c>
      <c r="G696" s="44">
        <v>2</v>
      </c>
      <c r="H696" s="45">
        <v>4402</v>
      </c>
      <c r="J696" s="45">
        <v>2201</v>
      </c>
    </row>
    <row r="697" spans="1:11" x14ac:dyDescent="0.2">
      <c r="A697" s="38" t="s">
        <v>7</v>
      </c>
      <c r="B697" s="38" t="s">
        <v>3786</v>
      </c>
      <c r="C697" s="43" t="s">
        <v>3787</v>
      </c>
      <c r="D697" s="38" t="s">
        <v>12445</v>
      </c>
      <c r="E697" s="44">
        <v>58</v>
      </c>
      <c r="F697" s="45">
        <v>81168</v>
      </c>
      <c r="G697" s="44">
        <v>54</v>
      </c>
      <c r="H697" s="45">
        <v>72042</v>
      </c>
      <c r="I697" s="45">
        <v>1399.4482758620691</v>
      </c>
      <c r="J697" s="45">
        <v>1334.1111111111111</v>
      </c>
      <c r="K697" s="46">
        <v>-4.6687802527542413E-2</v>
      </c>
    </row>
    <row r="698" spans="1:11" x14ac:dyDescent="0.2">
      <c r="A698" s="38" t="s">
        <v>7</v>
      </c>
      <c r="B698" s="38" t="s">
        <v>3789</v>
      </c>
      <c r="C698" s="43" t="s">
        <v>3790</v>
      </c>
      <c r="D698" s="38" t="s">
        <v>12446</v>
      </c>
      <c r="E698" s="44">
        <v>74</v>
      </c>
      <c r="F698" s="45">
        <v>99577</v>
      </c>
      <c r="G698" s="44">
        <v>32</v>
      </c>
      <c r="H698" s="45">
        <v>43260</v>
      </c>
      <c r="I698" s="45">
        <v>1345.6351351351352</v>
      </c>
      <c r="J698" s="45">
        <v>1351.875</v>
      </c>
      <c r="K698" s="46">
        <v>4.6371149964348603E-3</v>
      </c>
    </row>
    <row r="699" spans="1:11" x14ac:dyDescent="0.2">
      <c r="A699" s="38" t="s">
        <v>7</v>
      </c>
      <c r="B699" s="38" t="s">
        <v>3795</v>
      </c>
      <c r="C699" s="43" t="s">
        <v>3796</v>
      </c>
      <c r="D699" s="38" t="s">
        <v>12447</v>
      </c>
      <c r="G699" s="44">
        <v>6</v>
      </c>
      <c r="H699" s="45">
        <v>6453</v>
      </c>
      <c r="J699" s="45">
        <v>1075.5</v>
      </c>
    </row>
    <row r="700" spans="1:11" x14ac:dyDescent="0.2">
      <c r="A700" s="38" t="s">
        <v>7</v>
      </c>
      <c r="B700" s="38" t="s">
        <v>3798</v>
      </c>
      <c r="C700" s="43" t="s">
        <v>3799</v>
      </c>
      <c r="D700" s="38" t="s">
        <v>12448</v>
      </c>
      <c r="G700" s="44">
        <v>1</v>
      </c>
      <c r="H700" s="45">
        <v>2142</v>
      </c>
      <c r="J700" s="45">
        <v>2142</v>
      </c>
    </row>
    <row r="701" spans="1:11" x14ac:dyDescent="0.2">
      <c r="A701" s="38" t="s">
        <v>7</v>
      </c>
      <c r="B701" s="38" t="s">
        <v>3801</v>
      </c>
      <c r="C701" s="43" t="s">
        <v>3802</v>
      </c>
      <c r="D701" s="38" t="s">
        <v>12449</v>
      </c>
      <c r="E701" s="44">
        <v>60</v>
      </c>
      <c r="F701" s="45">
        <v>85771</v>
      </c>
      <c r="G701" s="44">
        <v>77</v>
      </c>
      <c r="H701" s="45">
        <v>102900</v>
      </c>
      <c r="I701" s="45">
        <v>1429.5166666666667</v>
      </c>
      <c r="J701" s="45">
        <v>1336.3636363636363</v>
      </c>
      <c r="K701" s="46">
        <v>-6.5164004362568043E-2</v>
      </c>
    </row>
    <row r="702" spans="1:11" x14ac:dyDescent="0.2">
      <c r="A702" s="38" t="s">
        <v>7</v>
      </c>
      <c r="B702" s="38" t="s">
        <v>3804</v>
      </c>
      <c r="C702" s="43" t="s">
        <v>3805</v>
      </c>
      <c r="D702" s="38" t="s">
        <v>12449</v>
      </c>
      <c r="E702" s="44">
        <v>331</v>
      </c>
      <c r="F702" s="45">
        <v>465960</v>
      </c>
      <c r="G702" s="44">
        <v>292</v>
      </c>
      <c r="H702" s="45">
        <v>391433</v>
      </c>
      <c r="I702" s="45">
        <v>1407.7341389728097</v>
      </c>
      <c r="J702" s="45">
        <v>1340.5239726027398</v>
      </c>
      <c r="K702" s="46">
        <v>-4.7743508173433584E-2</v>
      </c>
    </row>
    <row r="703" spans="1:11" x14ac:dyDescent="0.2">
      <c r="A703" s="38" t="s">
        <v>7</v>
      </c>
      <c r="B703" s="38" t="s">
        <v>3807</v>
      </c>
      <c r="C703" s="43" t="s">
        <v>3808</v>
      </c>
      <c r="D703" s="38" t="s">
        <v>12110</v>
      </c>
      <c r="E703" s="44">
        <v>6</v>
      </c>
      <c r="F703" s="45">
        <v>14700</v>
      </c>
      <c r="G703" s="44">
        <v>0</v>
      </c>
      <c r="H703" s="45">
        <v>0</v>
      </c>
      <c r="I703" s="45">
        <v>2450</v>
      </c>
    </row>
    <row r="704" spans="1:11" x14ac:dyDescent="0.2">
      <c r="A704" s="38" t="s">
        <v>7</v>
      </c>
      <c r="B704" s="38" t="s">
        <v>3810</v>
      </c>
      <c r="C704" s="43" t="s">
        <v>3811</v>
      </c>
      <c r="D704" s="38" t="s">
        <v>12450</v>
      </c>
      <c r="E704" s="44">
        <v>332</v>
      </c>
      <c r="F704" s="45">
        <v>385596</v>
      </c>
      <c r="G704" s="44">
        <v>311</v>
      </c>
      <c r="H704" s="45">
        <v>359232</v>
      </c>
      <c r="I704" s="45">
        <v>1161.433734939759</v>
      </c>
      <c r="J704" s="45">
        <v>1155.0868167202573</v>
      </c>
      <c r="K704" s="46">
        <v>-5.4647269392695324E-3</v>
      </c>
    </row>
    <row r="705" spans="1:11" x14ac:dyDescent="0.2">
      <c r="A705" s="38" t="s">
        <v>7</v>
      </c>
      <c r="B705" s="38" t="s">
        <v>3812</v>
      </c>
      <c r="C705" s="43" t="s">
        <v>3813</v>
      </c>
      <c r="D705" s="38" t="s">
        <v>12450</v>
      </c>
      <c r="E705" s="44">
        <v>6</v>
      </c>
      <c r="F705" s="45">
        <v>7046</v>
      </c>
      <c r="G705" s="44">
        <v>17</v>
      </c>
      <c r="H705" s="45">
        <v>19616</v>
      </c>
      <c r="I705" s="45">
        <v>1174.3333333333333</v>
      </c>
      <c r="J705" s="45">
        <v>1153.8823529411766</v>
      </c>
      <c r="K705" s="46">
        <v>-1.741497052979564E-2</v>
      </c>
    </row>
    <row r="706" spans="1:11" x14ac:dyDescent="0.2">
      <c r="A706" s="38" t="s">
        <v>7</v>
      </c>
      <c r="B706" s="38" t="s">
        <v>3817</v>
      </c>
      <c r="C706" s="43" t="s">
        <v>3818</v>
      </c>
      <c r="D706" s="38" t="s">
        <v>12451</v>
      </c>
      <c r="E706" s="44">
        <v>37</v>
      </c>
      <c r="F706" s="45">
        <v>37257</v>
      </c>
      <c r="G706" s="44">
        <v>38</v>
      </c>
      <c r="H706" s="45">
        <v>43905</v>
      </c>
      <c r="I706" s="45">
        <v>1006.9459459459459</v>
      </c>
      <c r="J706" s="45">
        <v>1155.3947368421052</v>
      </c>
      <c r="K706" s="46">
        <v>0.14742478629943079</v>
      </c>
    </row>
    <row r="707" spans="1:11" x14ac:dyDescent="0.2">
      <c r="A707" s="38" t="s">
        <v>7</v>
      </c>
      <c r="B707" s="38" t="s">
        <v>3820</v>
      </c>
      <c r="C707" s="43" t="s">
        <v>3821</v>
      </c>
      <c r="D707" s="38" t="s">
        <v>12452</v>
      </c>
      <c r="E707" s="44">
        <v>3</v>
      </c>
      <c r="F707" s="45">
        <v>5495</v>
      </c>
      <c r="G707" s="44">
        <v>0</v>
      </c>
      <c r="H707" s="45">
        <v>0</v>
      </c>
      <c r="I707" s="45">
        <v>1831.6666666666667</v>
      </c>
    </row>
    <row r="708" spans="1:11" x14ac:dyDescent="0.2">
      <c r="A708" s="38" t="s">
        <v>7</v>
      </c>
      <c r="B708" s="38" t="s">
        <v>3825</v>
      </c>
      <c r="C708" s="43" t="s">
        <v>2714</v>
      </c>
      <c r="E708" s="44">
        <v>17</v>
      </c>
      <c r="F708" s="45">
        <v>35595</v>
      </c>
      <c r="G708" s="44">
        <v>4</v>
      </c>
      <c r="H708" s="45">
        <v>6840</v>
      </c>
      <c r="I708" s="45">
        <v>2093.8235294117649</v>
      </c>
      <c r="J708" s="45">
        <v>1710</v>
      </c>
      <c r="K708" s="46">
        <v>-0.18331226295828071</v>
      </c>
    </row>
    <row r="709" spans="1:11" x14ac:dyDescent="0.2">
      <c r="A709" s="38" t="s">
        <v>7</v>
      </c>
      <c r="B709" s="38" t="s">
        <v>3826</v>
      </c>
      <c r="C709" s="43" t="s">
        <v>3827</v>
      </c>
      <c r="D709" s="38" t="s">
        <v>12453</v>
      </c>
      <c r="E709" s="44">
        <v>47</v>
      </c>
      <c r="F709" s="45">
        <v>43551</v>
      </c>
      <c r="G709" s="44">
        <v>44</v>
      </c>
      <c r="H709" s="45">
        <v>42440</v>
      </c>
      <c r="I709" s="45">
        <v>926.61702127659578</v>
      </c>
      <c r="J709" s="45">
        <v>964.5454545454545</v>
      </c>
      <c r="K709" s="46">
        <v>4.0932156865200797E-2</v>
      </c>
    </row>
    <row r="710" spans="1:11" x14ac:dyDescent="0.2">
      <c r="A710" s="38" t="s">
        <v>7</v>
      </c>
      <c r="B710" s="38" t="s">
        <v>3829</v>
      </c>
      <c r="C710" s="43" t="s">
        <v>3830</v>
      </c>
      <c r="D710" s="38" t="s">
        <v>12454</v>
      </c>
      <c r="G710" s="44">
        <v>4</v>
      </c>
      <c r="H710" s="45">
        <v>3788</v>
      </c>
      <c r="J710" s="45">
        <v>947</v>
      </c>
    </row>
    <row r="711" spans="1:11" x14ac:dyDescent="0.2">
      <c r="A711" s="38" t="s">
        <v>7</v>
      </c>
      <c r="B711" s="38" t="s">
        <v>3832</v>
      </c>
      <c r="C711" s="43" t="s">
        <v>3833</v>
      </c>
      <c r="D711" s="38" t="s">
        <v>12455</v>
      </c>
      <c r="E711" s="44">
        <v>70</v>
      </c>
      <c r="F711" s="45">
        <v>57110</v>
      </c>
      <c r="G711" s="44">
        <v>59</v>
      </c>
      <c r="H711" s="45">
        <v>52207</v>
      </c>
      <c r="I711" s="45">
        <v>815.85714285714289</v>
      </c>
      <c r="J711" s="45">
        <v>884.86440677966107</v>
      </c>
      <c r="K711" s="46">
        <v>8.4582533261710252E-2</v>
      </c>
    </row>
    <row r="712" spans="1:11" x14ac:dyDescent="0.2">
      <c r="A712" s="38" t="s">
        <v>7</v>
      </c>
      <c r="B712" s="38" t="s">
        <v>3835</v>
      </c>
      <c r="C712" s="43" t="s">
        <v>3836</v>
      </c>
      <c r="D712" s="38" t="s">
        <v>12456</v>
      </c>
      <c r="E712" s="44">
        <v>661</v>
      </c>
      <c r="F712" s="45">
        <v>974601</v>
      </c>
      <c r="G712" s="44">
        <v>710</v>
      </c>
      <c r="H712" s="45">
        <v>1080540</v>
      </c>
      <c r="I712" s="45">
        <v>1474.4341906202724</v>
      </c>
      <c r="J712" s="45">
        <v>1521.8873239436621</v>
      </c>
      <c r="K712" s="46">
        <v>3.2183961566590417E-2</v>
      </c>
    </row>
    <row r="713" spans="1:11" x14ac:dyDescent="0.2">
      <c r="A713" s="38" t="s">
        <v>7</v>
      </c>
      <c r="B713" s="38" t="s">
        <v>3838</v>
      </c>
      <c r="C713" s="43" t="s">
        <v>3839</v>
      </c>
      <c r="D713" s="38" t="s">
        <v>12457</v>
      </c>
      <c r="E713" s="44">
        <v>20</v>
      </c>
      <c r="F713" s="45">
        <v>33940</v>
      </c>
      <c r="G713" s="44">
        <v>16</v>
      </c>
      <c r="H713" s="45">
        <v>28753</v>
      </c>
      <c r="I713" s="45">
        <v>1697</v>
      </c>
      <c r="J713" s="45">
        <v>1797.0625</v>
      </c>
      <c r="K713" s="46">
        <v>5.8964348850913374E-2</v>
      </c>
    </row>
    <row r="714" spans="1:11" x14ac:dyDescent="0.2">
      <c r="A714" s="38" t="s">
        <v>7</v>
      </c>
      <c r="B714" s="38" t="s">
        <v>3841</v>
      </c>
      <c r="C714" s="43" t="s">
        <v>3842</v>
      </c>
      <c r="D714" s="38" t="s">
        <v>12458</v>
      </c>
      <c r="E714" s="44">
        <v>114</v>
      </c>
      <c r="F714" s="45">
        <v>144587</v>
      </c>
      <c r="G714" s="44">
        <v>132</v>
      </c>
      <c r="H714" s="45">
        <v>167184</v>
      </c>
      <c r="I714" s="45">
        <v>1268.3070175438597</v>
      </c>
      <c r="J714" s="45">
        <v>1266.5454545454545</v>
      </c>
      <c r="K714" s="46">
        <v>-1.3889089739616675E-3</v>
      </c>
    </row>
    <row r="715" spans="1:11" x14ac:dyDescent="0.2">
      <c r="A715" s="38" t="s">
        <v>7</v>
      </c>
      <c r="B715" s="38" t="s">
        <v>3844</v>
      </c>
      <c r="C715" s="43" t="s">
        <v>3845</v>
      </c>
      <c r="D715" s="38" t="s">
        <v>12459</v>
      </c>
      <c r="E715" s="44">
        <v>47</v>
      </c>
      <c r="F715" s="45">
        <v>64861</v>
      </c>
      <c r="G715" s="44">
        <v>63</v>
      </c>
      <c r="H715" s="45">
        <v>83174</v>
      </c>
      <c r="I715" s="45">
        <v>1380.0212765957447</v>
      </c>
      <c r="J715" s="45">
        <v>1320.2222222222222</v>
      </c>
      <c r="K715" s="46">
        <v>-4.3331980011957219E-2</v>
      </c>
    </row>
    <row r="716" spans="1:11" x14ac:dyDescent="0.2">
      <c r="A716" s="38" t="s">
        <v>7</v>
      </c>
      <c r="B716" s="38" t="s">
        <v>3846</v>
      </c>
      <c r="C716" s="43" t="s">
        <v>3847</v>
      </c>
      <c r="D716" s="38" t="s">
        <v>12460</v>
      </c>
      <c r="E716" s="44">
        <v>267</v>
      </c>
      <c r="F716" s="45">
        <v>386390</v>
      </c>
      <c r="G716" s="44">
        <v>266</v>
      </c>
      <c r="H716" s="45">
        <v>363088</v>
      </c>
      <c r="I716" s="45">
        <v>1447.1535580524344</v>
      </c>
      <c r="J716" s="45">
        <v>1364.9924812030076</v>
      </c>
      <c r="K716" s="46">
        <v>-5.6774263098933582E-2</v>
      </c>
    </row>
    <row r="717" spans="1:11" x14ac:dyDescent="0.2">
      <c r="A717" s="38" t="s">
        <v>7</v>
      </c>
      <c r="B717" s="38" t="s">
        <v>3849</v>
      </c>
      <c r="C717" s="43" t="s">
        <v>3850</v>
      </c>
      <c r="D717" s="38" t="s">
        <v>12461</v>
      </c>
      <c r="G717" s="44">
        <v>2</v>
      </c>
      <c r="H717" s="45">
        <v>1803</v>
      </c>
      <c r="J717" s="45">
        <v>901.5</v>
      </c>
    </row>
    <row r="718" spans="1:11" x14ac:dyDescent="0.2">
      <c r="A718" s="38" t="s">
        <v>7</v>
      </c>
      <c r="B718" s="38" t="s">
        <v>3852</v>
      </c>
      <c r="C718" s="43" t="s">
        <v>3853</v>
      </c>
      <c r="D718" s="38" t="s">
        <v>12462</v>
      </c>
      <c r="E718" s="44">
        <v>178</v>
      </c>
      <c r="F718" s="45">
        <v>211496</v>
      </c>
      <c r="G718" s="44">
        <v>165</v>
      </c>
      <c r="H718" s="45">
        <v>188188</v>
      </c>
      <c r="I718" s="45">
        <v>1188.1797752808989</v>
      </c>
      <c r="J718" s="45">
        <v>1140.5333333333333</v>
      </c>
      <c r="K718" s="46">
        <v>-4.0100364388294202E-2</v>
      </c>
    </row>
    <row r="719" spans="1:11" x14ac:dyDescent="0.2">
      <c r="A719" s="38" t="s">
        <v>7</v>
      </c>
      <c r="B719" s="38" t="s">
        <v>3855</v>
      </c>
      <c r="C719" s="43" t="s">
        <v>3856</v>
      </c>
      <c r="D719" s="38" t="s">
        <v>12463</v>
      </c>
      <c r="E719" s="44">
        <v>56</v>
      </c>
      <c r="F719" s="45">
        <v>66532</v>
      </c>
      <c r="G719" s="44">
        <v>65</v>
      </c>
      <c r="H719" s="45">
        <v>70681</v>
      </c>
      <c r="I719" s="45">
        <v>1188.0714285714287</v>
      </c>
      <c r="J719" s="45">
        <v>1087.4000000000001</v>
      </c>
      <c r="K719" s="46">
        <v>-8.4735165033367407E-2</v>
      </c>
    </row>
    <row r="720" spans="1:11" x14ac:dyDescent="0.2">
      <c r="A720" s="38" t="s">
        <v>7</v>
      </c>
      <c r="B720" s="38" t="s">
        <v>3858</v>
      </c>
      <c r="C720" s="43" t="s">
        <v>3859</v>
      </c>
      <c r="D720" s="38" t="s">
        <v>12464</v>
      </c>
      <c r="E720" s="44">
        <v>389</v>
      </c>
      <c r="F720" s="45">
        <v>566190</v>
      </c>
      <c r="G720" s="44">
        <v>425</v>
      </c>
      <c r="H720" s="45">
        <v>567814</v>
      </c>
      <c r="I720" s="45">
        <v>1455.5012853470437</v>
      </c>
      <c r="J720" s="45">
        <v>1336.0329411764706</v>
      </c>
      <c r="K720" s="46">
        <v>-8.2080548724549965E-2</v>
      </c>
    </row>
    <row r="721" spans="1:11" x14ac:dyDescent="0.2">
      <c r="A721" s="38" t="s">
        <v>7</v>
      </c>
      <c r="B721" s="38" t="s">
        <v>3861</v>
      </c>
      <c r="C721" s="43" t="s">
        <v>3862</v>
      </c>
      <c r="D721" s="38" t="s">
        <v>12465</v>
      </c>
      <c r="E721" s="44">
        <v>2</v>
      </c>
      <c r="F721" s="45">
        <v>1740</v>
      </c>
      <c r="G721" s="44">
        <v>1</v>
      </c>
      <c r="H721" s="45">
        <v>870</v>
      </c>
      <c r="I721" s="45">
        <v>870</v>
      </c>
      <c r="J721" s="45">
        <v>870</v>
      </c>
      <c r="K721" s="46">
        <v>0</v>
      </c>
    </row>
    <row r="722" spans="1:11" x14ac:dyDescent="0.2">
      <c r="A722" s="38" t="s">
        <v>7</v>
      </c>
      <c r="B722" s="38" t="s">
        <v>3864</v>
      </c>
      <c r="C722" s="43" t="s">
        <v>3865</v>
      </c>
      <c r="D722" s="38" t="s">
        <v>12466</v>
      </c>
      <c r="E722" s="44">
        <v>41</v>
      </c>
      <c r="F722" s="45">
        <v>27464</v>
      </c>
      <c r="G722" s="44">
        <v>57</v>
      </c>
      <c r="H722" s="45">
        <v>38975</v>
      </c>
      <c r="I722" s="45">
        <v>669.85365853658539</v>
      </c>
      <c r="J722" s="45">
        <v>683.77192982456143</v>
      </c>
      <c r="K722" s="46">
        <v>2.0778077585457969E-2</v>
      </c>
    </row>
    <row r="723" spans="1:11" x14ac:dyDescent="0.2">
      <c r="A723" s="38" t="s">
        <v>7</v>
      </c>
      <c r="B723" s="38" t="s">
        <v>3867</v>
      </c>
      <c r="C723" s="43" t="s">
        <v>3868</v>
      </c>
      <c r="D723" s="38" t="s">
        <v>12467</v>
      </c>
      <c r="E723" s="44">
        <v>424</v>
      </c>
      <c r="F723" s="45">
        <v>476550</v>
      </c>
      <c r="G723" s="44">
        <v>428</v>
      </c>
      <c r="H723" s="45">
        <v>460592</v>
      </c>
      <c r="I723" s="45">
        <v>1123.9386792452831</v>
      </c>
      <c r="J723" s="45">
        <v>1076.1495327102805</v>
      </c>
      <c r="K723" s="46">
        <v>-4.2519353962524604E-2</v>
      </c>
    </row>
    <row r="724" spans="1:11" x14ac:dyDescent="0.2">
      <c r="A724" s="38" t="s">
        <v>7</v>
      </c>
      <c r="B724" s="38" t="s">
        <v>3870</v>
      </c>
      <c r="C724" s="43" t="s">
        <v>3871</v>
      </c>
      <c r="D724" s="38" t="s">
        <v>12468</v>
      </c>
      <c r="E724" s="44">
        <v>242</v>
      </c>
      <c r="F724" s="45">
        <v>243954</v>
      </c>
      <c r="G724" s="44">
        <v>259</v>
      </c>
      <c r="H724" s="45">
        <v>242379</v>
      </c>
      <c r="I724" s="45">
        <v>1008.0743801652893</v>
      </c>
      <c r="J724" s="45">
        <v>935.82625482625485</v>
      </c>
      <c r="K724" s="46">
        <v>-7.1669439041976507E-2</v>
      </c>
    </row>
    <row r="725" spans="1:11" x14ac:dyDescent="0.2">
      <c r="A725" s="38" t="s">
        <v>7</v>
      </c>
      <c r="B725" s="38" t="s">
        <v>3873</v>
      </c>
      <c r="C725" s="43" t="s">
        <v>3874</v>
      </c>
      <c r="D725" s="38" t="s">
        <v>12469</v>
      </c>
      <c r="E725" s="44">
        <v>49</v>
      </c>
      <c r="F725" s="45">
        <v>43913</v>
      </c>
      <c r="G725" s="44">
        <v>42</v>
      </c>
      <c r="H725" s="45">
        <v>42826</v>
      </c>
      <c r="I725" s="45">
        <v>896.18367346938771</v>
      </c>
      <c r="J725" s="45">
        <v>1019.6666666666666</v>
      </c>
      <c r="K725" s="46">
        <v>0.13778759516923617</v>
      </c>
    </row>
    <row r="726" spans="1:11" x14ac:dyDescent="0.2">
      <c r="A726" s="38" t="s">
        <v>7</v>
      </c>
      <c r="B726" s="38" t="s">
        <v>3876</v>
      </c>
      <c r="C726" s="43" t="s">
        <v>3877</v>
      </c>
      <c r="D726" s="38" t="s">
        <v>12470</v>
      </c>
      <c r="E726" s="44">
        <v>108</v>
      </c>
      <c r="F726" s="45">
        <v>154548</v>
      </c>
      <c r="G726" s="44">
        <v>153</v>
      </c>
      <c r="H726" s="45">
        <v>244433</v>
      </c>
      <c r="I726" s="45">
        <v>1431</v>
      </c>
      <c r="J726" s="45">
        <v>1597.6013071895425</v>
      </c>
      <c r="K726" s="46">
        <v>0.11642299593958244</v>
      </c>
    </row>
    <row r="727" spans="1:11" x14ac:dyDescent="0.2">
      <c r="A727" s="38" t="s">
        <v>7</v>
      </c>
      <c r="B727" s="38" t="s">
        <v>3879</v>
      </c>
      <c r="C727" s="43" t="s">
        <v>3880</v>
      </c>
      <c r="D727" s="38" t="s">
        <v>12470</v>
      </c>
      <c r="E727" s="44">
        <v>336</v>
      </c>
      <c r="F727" s="45">
        <v>478224</v>
      </c>
      <c r="G727" s="44">
        <v>364</v>
      </c>
      <c r="H727" s="45">
        <v>583076</v>
      </c>
      <c r="I727" s="45">
        <v>1423.2857142857142</v>
      </c>
      <c r="J727" s="45">
        <v>1601.8571428571429</v>
      </c>
      <c r="K727" s="46">
        <v>0.12546421760513909</v>
      </c>
    </row>
    <row r="728" spans="1:11" x14ac:dyDescent="0.2">
      <c r="A728" s="38" t="s">
        <v>7</v>
      </c>
      <c r="B728" s="38" t="s">
        <v>3882</v>
      </c>
      <c r="C728" s="43" t="s">
        <v>3883</v>
      </c>
      <c r="D728" s="38" t="s">
        <v>12471</v>
      </c>
      <c r="E728" s="44">
        <v>19</v>
      </c>
      <c r="F728" s="45">
        <v>23940</v>
      </c>
      <c r="G728" s="44">
        <v>19</v>
      </c>
      <c r="H728" s="45">
        <v>25667</v>
      </c>
      <c r="I728" s="45">
        <v>1260</v>
      </c>
      <c r="J728" s="45">
        <v>1350.8947368421052</v>
      </c>
      <c r="K728" s="46">
        <v>7.2138680033416822E-2</v>
      </c>
    </row>
    <row r="729" spans="1:11" x14ac:dyDescent="0.2">
      <c r="A729" s="38" t="s">
        <v>7</v>
      </c>
      <c r="B729" s="38" t="s">
        <v>3885</v>
      </c>
      <c r="C729" s="43" t="s">
        <v>3886</v>
      </c>
      <c r="D729" s="38" t="s">
        <v>12472</v>
      </c>
      <c r="G729" s="44">
        <v>2</v>
      </c>
      <c r="H729" s="45">
        <v>3761</v>
      </c>
      <c r="J729" s="45">
        <v>1880.5</v>
      </c>
    </row>
    <row r="730" spans="1:11" x14ac:dyDescent="0.2">
      <c r="A730" s="38" t="s">
        <v>7</v>
      </c>
      <c r="B730" s="38" t="s">
        <v>3891</v>
      </c>
      <c r="C730" s="43" t="s">
        <v>3892</v>
      </c>
      <c r="D730" s="38" t="s">
        <v>12473</v>
      </c>
      <c r="E730" s="44">
        <v>131</v>
      </c>
      <c r="F730" s="45">
        <v>150402</v>
      </c>
      <c r="G730" s="44">
        <v>133</v>
      </c>
      <c r="H730" s="45">
        <v>173368</v>
      </c>
      <c r="I730" s="45">
        <v>1148.1068702290077</v>
      </c>
      <c r="J730" s="45">
        <v>1303.5187969924812</v>
      </c>
      <c r="K730" s="46">
        <v>0.1353636414809313</v>
      </c>
    </row>
    <row r="731" spans="1:11" x14ac:dyDescent="0.2">
      <c r="A731" s="38" t="s">
        <v>7</v>
      </c>
      <c r="B731" s="38" t="s">
        <v>3894</v>
      </c>
      <c r="C731" s="43" t="s">
        <v>3895</v>
      </c>
      <c r="D731" s="38" t="s">
        <v>12474</v>
      </c>
      <c r="E731" s="44">
        <v>288</v>
      </c>
      <c r="F731" s="45">
        <v>207675</v>
      </c>
      <c r="G731" s="44">
        <v>203</v>
      </c>
      <c r="H731" s="45">
        <v>143756</v>
      </c>
      <c r="I731" s="45">
        <v>721.09375</v>
      </c>
      <c r="J731" s="45">
        <v>708.1576354679803</v>
      </c>
      <c r="K731" s="46">
        <v>-1.7939573782215838E-2</v>
      </c>
    </row>
    <row r="732" spans="1:11" x14ac:dyDescent="0.2">
      <c r="A732" s="38" t="s">
        <v>7</v>
      </c>
      <c r="B732" s="38" t="s">
        <v>3897</v>
      </c>
      <c r="C732" s="43" t="s">
        <v>3898</v>
      </c>
      <c r="D732" s="38" t="s">
        <v>12475</v>
      </c>
      <c r="E732" s="44">
        <v>381</v>
      </c>
      <c r="F732" s="45">
        <v>485170</v>
      </c>
      <c r="G732" s="44">
        <v>590</v>
      </c>
      <c r="H732" s="45">
        <v>685455</v>
      </c>
      <c r="I732" s="45">
        <v>1273.4120734908136</v>
      </c>
      <c r="J732" s="45">
        <v>1161.7881355932204</v>
      </c>
      <c r="K732" s="46">
        <v>-8.7657357913685896E-2</v>
      </c>
    </row>
    <row r="733" spans="1:11" x14ac:dyDescent="0.2">
      <c r="A733" s="38" t="s">
        <v>7</v>
      </c>
      <c r="B733" s="38" t="s">
        <v>3900</v>
      </c>
      <c r="C733" s="43" t="s">
        <v>3901</v>
      </c>
      <c r="D733" s="38" t="s">
        <v>12476</v>
      </c>
      <c r="E733" s="44">
        <v>448</v>
      </c>
      <c r="F733" s="45">
        <v>814200</v>
      </c>
      <c r="G733" s="44">
        <v>283</v>
      </c>
      <c r="H733" s="45">
        <v>532737</v>
      </c>
      <c r="I733" s="45">
        <v>1817.4107142857142</v>
      </c>
      <c r="J733" s="45">
        <v>1882.4628975265018</v>
      </c>
      <c r="K733" s="46">
        <v>3.5793881223130493E-2</v>
      </c>
    </row>
    <row r="734" spans="1:11" x14ac:dyDescent="0.2">
      <c r="A734" s="38" t="s">
        <v>7</v>
      </c>
      <c r="B734" s="38" t="s">
        <v>3903</v>
      </c>
      <c r="C734" s="43" t="s">
        <v>3904</v>
      </c>
      <c r="D734" s="38" t="s">
        <v>12477</v>
      </c>
      <c r="G734" s="44">
        <v>1</v>
      </c>
      <c r="H734" s="45">
        <v>1062</v>
      </c>
      <c r="J734" s="45">
        <v>1062</v>
      </c>
    </row>
    <row r="735" spans="1:11" x14ac:dyDescent="0.2">
      <c r="A735" s="38" t="s">
        <v>7</v>
      </c>
      <c r="B735" s="38" t="s">
        <v>3906</v>
      </c>
      <c r="C735" s="43" t="s">
        <v>3907</v>
      </c>
      <c r="D735" s="38" t="s">
        <v>12478</v>
      </c>
      <c r="E735" s="44">
        <v>198</v>
      </c>
      <c r="F735" s="45">
        <v>214277</v>
      </c>
      <c r="G735" s="44">
        <v>230</v>
      </c>
      <c r="H735" s="45">
        <v>251420</v>
      </c>
      <c r="I735" s="45">
        <v>1082.2070707070707</v>
      </c>
      <c r="J735" s="45">
        <v>1093.1304347826087</v>
      </c>
      <c r="K735" s="46">
        <v>1.0093598878818253E-2</v>
      </c>
    </row>
    <row r="736" spans="1:11" x14ac:dyDescent="0.2">
      <c r="A736" s="38" t="s">
        <v>7</v>
      </c>
      <c r="B736" s="38" t="s">
        <v>3909</v>
      </c>
      <c r="C736" s="43" t="s">
        <v>3910</v>
      </c>
      <c r="D736" s="38" t="s">
        <v>12479</v>
      </c>
      <c r="E736" s="44">
        <v>1</v>
      </c>
      <c r="F736" s="45">
        <v>916</v>
      </c>
      <c r="G736" s="44">
        <v>2</v>
      </c>
      <c r="H736" s="45">
        <v>2088</v>
      </c>
      <c r="I736" s="45">
        <v>916</v>
      </c>
      <c r="J736" s="45">
        <v>1044</v>
      </c>
      <c r="K736" s="46">
        <v>0.13973799126637554</v>
      </c>
    </row>
    <row r="737" spans="1:11" x14ac:dyDescent="0.2">
      <c r="A737" s="38" t="s">
        <v>7</v>
      </c>
      <c r="B737" s="38" t="s">
        <v>3912</v>
      </c>
      <c r="C737" s="43" t="s">
        <v>3913</v>
      </c>
      <c r="D737" s="38" t="s">
        <v>12480</v>
      </c>
      <c r="E737" s="44">
        <v>47</v>
      </c>
      <c r="F737" s="45">
        <v>52236</v>
      </c>
      <c r="G737" s="44">
        <v>59</v>
      </c>
      <c r="H737" s="45">
        <v>62018</v>
      </c>
      <c r="I737" s="45">
        <v>1111.4042553191489</v>
      </c>
      <c r="J737" s="45">
        <v>1051.1525423728813</v>
      </c>
      <c r="K737" s="46">
        <v>-5.4212238848200055E-2</v>
      </c>
    </row>
    <row r="738" spans="1:11" x14ac:dyDescent="0.2">
      <c r="A738" s="38" t="s">
        <v>7</v>
      </c>
      <c r="B738" s="38" t="s">
        <v>3915</v>
      </c>
      <c r="C738" s="43" t="s">
        <v>3916</v>
      </c>
      <c r="D738" s="38" t="s">
        <v>12481</v>
      </c>
      <c r="E738" s="44">
        <v>516</v>
      </c>
      <c r="F738" s="45">
        <v>878560</v>
      </c>
      <c r="G738" s="44">
        <v>459</v>
      </c>
      <c r="H738" s="45">
        <v>738270</v>
      </c>
      <c r="I738" s="45">
        <v>1702.6356589147288</v>
      </c>
      <c r="J738" s="45">
        <v>1608.4313725490197</v>
      </c>
      <c r="K738" s="46">
        <v>-5.5328505468842069E-2</v>
      </c>
    </row>
    <row r="739" spans="1:11" x14ac:dyDescent="0.2">
      <c r="A739" s="38" t="s">
        <v>7</v>
      </c>
      <c r="B739" s="38" t="s">
        <v>3918</v>
      </c>
      <c r="C739" s="43" t="s">
        <v>3919</v>
      </c>
      <c r="D739" s="38" t="s">
        <v>12482</v>
      </c>
      <c r="E739" s="44">
        <v>174</v>
      </c>
      <c r="F739" s="45">
        <v>142848</v>
      </c>
      <c r="G739" s="44">
        <v>129</v>
      </c>
      <c r="H739" s="45">
        <v>104697</v>
      </c>
      <c r="I739" s="45">
        <v>820.9655172413793</v>
      </c>
      <c r="J739" s="45">
        <v>811.60465116279067</v>
      </c>
      <c r="K739" s="46">
        <v>-1.1402264628657184E-2</v>
      </c>
    </row>
    <row r="740" spans="1:11" x14ac:dyDescent="0.2">
      <c r="A740" s="38" t="s">
        <v>7</v>
      </c>
      <c r="B740" s="38" t="s">
        <v>3921</v>
      </c>
      <c r="C740" s="43" t="s">
        <v>3922</v>
      </c>
      <c r="D740" s="38" t="s">
        <v>12483</v>
      </c>
      <c r="E740" s="44">
        <v>535</v>
      </c>
      <c r="F740" s="45">
        <v>616748</v>
      </c>
      <c r="G740" s="44">
        <v>504</v>
      </c>
      <c r="H740" s="45">
        <v>555822</v>
      </c>
      <c r="I740" s="45">
        <v>1152.8</v>
      </c>
      <c r="J740" s="45">
        <v>1102.8214285714287</v>
      </c>
      <c r="K740" s="46">
        <v>-4.3354069594527485E-2</v>
      </c>
    </row>
    <row r="741" spans="1:11" x14ac:dyDescent="0.2">
      <c r="A741" s="38" t="s">
        <v>7</v>
      </c>
      <c r="B741" s="38" t="s">
        <v>3924</v>
      </c>
      <c r="C741" s="43" t="s">
        <v>3925</v>
      </c>
      <c r="D741" s="38" t="s">
        <v>12484</v>
      </c>
      <c r="E741" s="44">
        <v>6</v>
      </c>
      <c r="F741" s="45">
        <v>4391</v>
      </c>
      <c r="G741" s="44">
        <v>3</v>
      </c>
      <c r="H741" s="45">
        <v>2223</v>
      </c>
      <c r="I741" s="45">
        <v>731.83333333333337</v>
      </c>
      <c r="J741" s="45">
        <v>741</v>
      </c>
      <c r="K741" s="46">
        <v>1.2525620587565423E-2</v>
      </c>
    </row>
    <row r="742" spans="1:11" x14ac:dyDescent="0.2">
      <c r="A742" s="38" t="s">
        <v>7</v>
      </c>
      <c r="B742" s="38" t="s">
        <v>3927</v>
      </c>
      <c r="C742" s="43" t="s">
        <v>3928</v>
      </c>
      <c r="D742" s="38" t="s">
        <v>12485</v>
      </c>
      <c r="E742" s="44">
        <v>91</v>
      </c>
      <c r="F742" s="45">
        <v>91532</v>
      </c>
      <c r="G742" s="44">
        <v>100</v>
      </c>
      <c r="H742" s="45">
        <v>106320</v>
      </c>
      <c r="I742" s="45">
        <v>1005.8461538461538</v>
      </c>
      <c r="J742" s="45">
        <v>1063.2</v>
      </c>
      <c r="K742" s="46">
        <v>5.7020495564392863E-2</v>
      </c>
    </row>
    <row r="743" spans="1:11" x14ac:dyDescent="0.2">
      <c r="A743" s="38" t="s">
        <v>7</v>
      </c>
      <c r="B743" s="38" t="s">
        <v>3930</v>
      </c>
      <c r="C743" s="43" t="s">
        <v>3931</v>
      </c>
      <c r="D743" s="38" t="s">
        <v>12486</v>
      </c>
      <c r="E743" s="44">
        <v>486</v>
      </c>
      <c r="F743" s="45">
        <v>451072</v>
      </c>
      <c r="G743" s="44">
        <v>476</v>
      </c>
      <c r="H743" s="45">
        <v>411034</v>
      </c>
      <c r="I743" s="45">
        <v>928.13168724279831</v>
      </c>
      <c r="J743" s="45">
        <v>863.51680672268913</v>
      </c>
      <c r="K743" s="46">
        <v>-6.9618224879338692E-2</v>
      </c>
    </row>
    <row r="744" spans="1:11" x14ac:dyDescent="0.2">
      <c r="A744" s="38" t="s">
        <v>7</v>
      </c>
      <c r="B744" s="38" t="s">
        <v>3932</v>
      </c>
      <c r="C744" s="43" t="s">
        <v>3933</v>
      </c>
      <c r="D744" s="38" t="s">
        <v>12487</v>
      </c>
      <c r="E744" s="44">
        <v>11</v>
      </c>
      <c r="F744" s="45">
        <v>14717</v>
      </c>
      <c r="G744" s="44">
        <v>7</v>
      </c>
      <c r="H744" s="45">
        <v>9429</v>
      </c>
      <c r="I744" s="45">
        <v>1337.909090909091</v>
      </c>
      <c r="J744" s="45">
        <v>1347</v>
      </c>
      <c r="K744" s="46">
        <v>6.7948630835088049E-3</v>
      </c>
    </row>
    <row r="745" spans="1:11" x14ac:dyDescent="0.2">
      <c r="A745" s="38" t="s">
        <v>7</v>
      </c>
      <c r="B745" s="38" t="s">
        <v>3934</v>
      </c>
      <c r="C745" s="43" t="s">
        <v>3935</v>
      </c>
      <c r="D745" s="38" t="s">
        <v>12488</v>
      </c>
      <c r="E745" s="44">
        <v>25</v>
      </c>
      <c r="F745" s="45">
        <v>45847</v>
      </c>
      <c r="G745" s="44">
        <v>19</v>
      </c>
      <c r="H745" s="45">
        <v>33595</v>
      </c>
      <c r="I745" s="45">
        <v>1833.88</v>
      </c>
      <c r="J745" s="45">
        <v>1768.1578947368421</v>
      </c>
      <c r="K745" s="46">
        <v>-3.5837734891682127E-2</v>
      </c>
    </row>
    <row r="746" spans="1:11" x14ac:dyDescent="0.2">
      <c r="A746" s="38" t="s">
        <v>7</v>
      </c>
      <c r="B746" s="38" t="s">
        <v>3940</v>
      </c>
      <c r="C746" s="43" t="s">
        <v>3941</v>
      </c>
      <c r="D746" s="38" t="s">
        <v>12489</v>
      </c>
      <c r="E746" s="44">
        <v>39</v>
      </c>
      <c r="F746" s="45">
        <v>70427</v>
      </c>
      <c r="G746" s="44">
        <v>27</v>
      </c>
      <c r="H746" s="45">
        <v>50085</v>
      </c>
      <c r="I746" s="45">
        <v>1805.8205128205129</v>
      </c>
      <c r="J746" s="45">
        <v>1855</v>
      </c>
      <c r="K746" s="46">
        <v>2.7233873372428125E-2</v>
      </c>
    </row>
    <row r="747" spans="1:11" x14ac:dyDescent="0.2">
      <c r="A747" s="38" t="s">
        <v>7</v>
      </c>
      <c r="B747" s="38" t="s">
        <v>3943</v>
      </c>
      <c r="C747" s="43" t="s">
        <v>3944</v>
      </c>
      <c r="D747" s="38" t="s">
        <v>12490</v>
      </c>
      <c r="E747" s="44">
        <v>31</v>
      </c>
      <c r="F747" s="45">
        <v>42153</v>
      </c>
      <c r="G747" s="44">
        <v>30</v>
      </c>
      <c r="H747" s="45">
        <v>40930</v>
      </c>
      <c r="I747" s="45">
        <v>1359.7741935483871</v>
      </c>
      <c r="J747" s="45">
        <v>1364.3333333333333</v>
      </c>
      <c r="K747" s="46">
        <v>3.3528653555697499E-3</v>
      </c>
    </row>
    <row r="748" spans="1:11" x14ac:dyDescent="0.2">
      <c r="A748" s="38" t="s">
        <v>7</v>
      </c>
      <c r="B748" s="38" t="s">
        <v>3946</v>
      </c>
      <c r="C748" s="43" t="s">
        <v>3947</v>
      </c>
      <c r="D748" s="38" t="s">
        <v>12491</v>
      </c>
      <c r="G748" s="44">
        <v>2</v>
      </c>
      <c r="H748" s="45">
        <v>1244</v>
      </c>
      <c r="J748" s="45">
        <v>622</v>
      </c>
    </row>
    <row r="749" spans="1:11" x14ac:dyDescent="0.2">
      <c r="A749" s="38" t="s">
        <v>7</v>
      </c>
      <c r="B749" s="38" t="s">
        <v>3949</v>
      </c>
      <c r="C749" s="43" t="s">
        <v>3950</v>
      </c>
      <c r="D749" s="38" t="s">
        <v>12492</v>
      </c>
      <c r="E749" s="44">
        <v>34</v>
      </c>
      <c r="F749" s="45">
        <v>47486</v>
      </c>
      <c r="G749" s="44">
        <v>61</v>
      </c>
      <c r="H749" s="45">
        <v>85111</v>
      </c>
      <c r="I749" s="45">
        <v>1396.6470588235295</v>
      </c>
      <c r="J749" s="45">
        <v>1395.2622950819673</v>
      </c>
      <c r="K749" s="46">
        <v>-9.914915388349228E-4</v>
      </c>
    </row>
    <row r="750" spans="1:11" x14ac:dyDescent="0.2">
      <c r="A750" s="38" t="s">
        <v>7</v>
      </c>
      <c r="B750" s="38" t="s">
        <v>3952</v>
      </c>
      <c r="C750" s="43" t="s">
        <v>3953</v>
      </c>
      <c r="D750" s="38" t="s">
        <v>12493</v>
      </c>
      <c r="E750" s="44">
        <v>24</v>
      </c>
      <c r="F750" s="45">
        <v>54600</v>
      </c>
      <c r="G750" s="44">
        <v>41</v>
      </c>
      <c r="H750" s="45">
        <v>76149</v>
      </c>
      <c r="I750" s="45">
        <v>2275</v>
      </c>
      <c r="J750" s="45">
        <v>1857.2926829268292</v>
      </c>
      <c r="K750" s="46">
        <v>-0.18360761190029484</v>
      </c>
    </row>
    <row r="751" spans="1:11" x14ac:dyDescent="0.2">
      <c r="A751" s="38" t="s">
        <v>7</v>
      </c>
      <c r="B751" s="38" t="s">
        <v>3955</v>
      </c>
      <c r="C751" s="43" t="s">
        <v>3956</v>
      </c>
      <c r="D751" s="38" t="s">
        <v>12494</v>
      </c>
      <c r="G751" s="44">
        <v>8</v>
      </c>
      <c r="H751" s="45">
        <v>23400</v>
      </c>
      <c r="J751" s="45">
        <v>2925</v>
      </c>
    </row>
    <row r="752" spans="1:11" x14ac:dyDescent="0.2">
      <c r="A752" s="38" t="s">
        <v>7</v>
      </c>
      <c r="B752" s="38" t="s">
        <v>3958</v>
      </c>
      <c r="C752" s="43" t="s">
        <v>3959</v>
      </c>
      <c r="D752" s="38" t="s">
        <v>12495</v>
      </c>
      <c r="G752" s="44">
        <v>3</v>
      </c>
      <c r="H752" s="45">
        <v>3365.25</v>
      </c>
      <c r="J752" s="45">
        <v>1121.75</v>
      </c>
    </row>
    <row r="753" spans="1:11" x14ac:dyDescent="0.2">
      <c r="A753" s="38" t="s">
        <v>7</v>
      </c>
      <c r="B753" s="38" t="s">
        <v>3961</v>
      </c>
      <c r="C753" s="43" t="s">
        <v>3962</v>
      </c>
      <c r="D753" s="38" t="s">
        <v>12496</v>
      </c>
      <c r="E753" s="44">
        <v>62</v>
      </c>
      <c r="F753" s="45">
        <v>135496</v>
      </c>
      <c r="G753" s="44">
        <v>81</v>
      </c>
      <c r="H753" s="45">
        <v>161946</v>
      </c>
      <c r="I753" s="45">
        <v>2185.4193548387098</v>
      </c>
      <c r="J753" s="45">
        <v>1999.3333333333333</v>
      </c>
      <c r="K753" s="46">
        <v>-8.5148885083938586E-2</v>
      </c>
    </row>
    <row r="754" spans="1:11" x14ac:dyDescent="0.2">
      <c r="A754" s="38" t="s">
        <v>7</v>
      </c>
      <c r="B754" s="38" t="s">
        <v>3964</v>
      </c>
      <c r="C754" s="43" t="s">
        <v>3965</v>
      </c>
      <c r="D754" s="38" t="s">
        <v>12497</v>
      </c>
      <c r="G754" s="44">
        <v>7</v>
      </c>
      <c r="H754" s="45">
        <v>13693</v>
      </c>
      <c r="J754" s="45">
        <v>1956.1428571428571</v>
      </c>
    </row>
    <row r="755" spans="1:11" x14ac:dyDescent="0.2">
      <c r="A755" s="38" t="s">
        <v>7</v>
      </c>
      <c r="B755" s="38" t="s">
        <v>3967</v>
      </c>
      <c r="C755" s="43" t="s">
        <v>3968</v>
      </c>
      <c r="D755" s="38" t="s">
        <v>12498</v>
      </c>
      <c r="G755" s="44">
        <v>2</v>
      </c>
      <c r="H755" s="45">
        <v>6416</v>
      </c>
      <c r="J755" s="45">
        <v>3208</v>
      </c>
    </row>
    <row r="756" spans="1:11" x14ac:dyDescent="0.2">
      <c r="A756" s="38" t="s">
        <v>7</v>
      </c>
      <c r="B756" s="38" t="s">
        <v>3970</v>
      </c>
      <c r="C756" s="43" t="s">
        <v>3971</v>
      </c>
      <c r="D756" s="38" t="s">
        <v>12499</v>
      </c>
      <c r="G756" s="44">
        <v>1</v>
      </c>
      <c r="H756" s="45">
        <v>1305</v>
      </c>
      <c r="J756" s="45">
        <v>1305</v>
      </c>
    </row>
    <row r="757" spans="1:11" x14ac:dyDescent="0.2">
      <c r="A757" s="38" t="s">
        <v>7</v>
      </c>
      <c r="B757" s="38" t="s">
        <v>3973</v>
      </c>
      <c r="C757" s="43" t="s">
        <v>3974</v>
      </c>
      <c r="D757" s="38" t="s">
        <v>12500</v>
      </c>
      <c r="E757" s="44">
        <v>2</v>
      </c>
      <c r="F757" s="45">
        <v>5238</v>
      </c>
      <c r="G757" s="44">
        <v>0</v>
      </c>
      <c r="H757" s="45">
        <v>0</v>
      </c>
      <c r="I757" s="45">
        <v>2619</v>
      </c>
    </row>
    <row r="758" spans="1:11" x14ac:dyDescent="0.2">
      <c r="A758" s="38" t="s">
        <v>7</v>
      </c>
      <c r="B758" s="38" t="s">
        <v>3979</v>
      </c>
      <c r="C758" s="43" t="s">
        <v>2998</v>
      </c>
      <c r="D758" s="38" t="s">
        <v>12501</v>
      </c>
      <c r="E758" s="44">
        <v>5</v>
      </c>
      <c r="F758" s="45">
        <v>4091</v>
      </c>
      <c r="G758" s="44">
        <v>1</v>
      </c>
      <c r="H758" s="45">
        <v>843</v>
      </c>
      <c r="I758" s="45">
        <v>818.2</v>
      </c>
      <c r="J758" s="45">
        <v>843</v>
      </c>
      <c r="K758" s="46">
        <v>3.0310437545832257E-2</v>
      </c>
    </row>
    <row r="759" spans="1:11" x14ac:dyDescent="0.2">
      <c r="A759" s="38" t="s">
        <v>7</v>
      </c>
      <c r="B759" s="38" t="s">
        <v>3983</v>
      </c>
      <c r="C759" s="43" t="s">
        <v>3984</v>
      </c>
      <c r="D759" s="38" t="s">
        <v>12502</v>
      </c>
      <c r="G759" s="44">
        <v>2</v>
      </c>
      <c r="H759" s="45">
        <v>4724</v>
      </c>
      <c r="J759" s="45">
        <v>2362</v>
      </c>
    </row>
    <row r="760" spans="1:11" x14ac:dyDescent="0.2">
      <c r="A760" s="38" t="s">
        <v>7</v>
      </c>
      <c r="B760" s="38" t="s">
        <v>3987</v>
      </c>
      <c r="C760" s="43" t="s">
        <v>3192</v>
      </c>
      <c r="D760" s="38" t="s">
        <v>12408</v>
      </c>
      <c r="E760" s="44">
        <v>2</v>
      </c>
      <c r="F760" s="45">
        <v>5082</v>
      </c>
      <c r="G760" s="44">
        <v>9</v>
      </c>
      <c r="H760" s="45">
        <v>21515</v>
      </c>
      <c r="I760" s="45">
        <v>2541</v>
      </c>
      <c r="J760" s="45">
        <v>2390.5555555555557</v>
      </c>
      <c r="K760" s="46">
        <v>-5.9206786479513711E-2</v>
      </c>
    </row>
    <row r="761" spans="1:11" x14ac:dyDescent="0.2">
      <c r="A761" s="38" t="s">
        <v>7</v>
      </c>
      <c r="B761" s="38" t="s">
        <v>3988</v>
      </c>
      <c r="C761" s="43" t="s">
        <v>3198</v>
      </c>
      <c r="D761" s="38" t="s">
        <v>12410</v>
      </c>
      <c r="E761" s="44">
        <v>14</v>
      </c>
      <c r="F761" s="45">
        <v>18633</v>
      </c>
      <c r="G761" s="44">
        <v>3</v>
      </c>
      <c r="H761" s="45">
        <v>2277</v>
      </c>
      <c r="I761" s="45">
        <v>1330.9285714285713</v>
      </c>
      <c r="J761" s="45">
        <v>759</v>
      </c>
      <c r="K761" s="46">
        <v>-0.42972146192239569</v>
      </c>
    </row>
    <row r="762" spans="1:11" x14ac:dyDescent="0.2">
      <c r="A762" s="38" t="s">
        <v>7</v>
      </c>
      <c r="B762" s="38" t="s">
        <v>3989</v>
      </c>
      <c r="C762" s="43" t="s">
        <v>3990</v>
      </c>
      <c r="D762" s="38" t="s">
        <v>12503</v>
      </c>
      <c r="E762" s="44">
        <v>1</v>
      </c>
      <c r="F762" s="45">
        <v>1085</v>
      </c>
      <c r="G762" s="44">
        <v>1</v>
      </c>
      <c r="H762" s="45">
        <v>1085</v>
      </c>
      <c r="I762" s="45">
        <v>1085</v>
      </c>
      <c r="J762" s="45">
        <v>1085</v>
      </c>
      <c r="K762" s="46">
        <v>0</v>
      </c>
    </row>
    <row r="763" spans="1:11" x14ac:dyDescent="0.2">
      <c r="A763" s="38" t="s">
        <v>7</v>
      </c>
      <c r="B763" s="38" t="s">
        <v>3992</v>
      </c>
      <c r="C763" s="43" t="s">
        <v>3209</v>
      </c>
      <c r="D763" s="38" t="s">
        <v>12504</v>
      </c>
      <c r="G763" s="44">
        <v>1</v>
      </c>
      <c r="H763" s="45">
        <v>1922</v>
      </c>
      <c r="J763" s="45">
        <v>1922</v>
      </c>
    </row>
    <row r="764" spans="1:11" x14ac:dyDescent="0.2">
      <c r="A764" s="38" t="s">
        <v>7</v>
      </c>
      <c r="B764" s="38" t="s">
        <v>3993</v>
      </c>
      <c r="C764" s="43" t="s">
        <v>3277</v>
      </c>
      <c r="E764" s="44">
        <v>18</v>
      </c>
      <c r="F764" s="45">
        <v>44129</v>
      </c>
      <c r="G764" s="44">
        <v>35</v>
      </c>
      <c r="H764" s="45">
        <v>102005</v>
      </c>
      <c r="I764" s="45">
        <v>2451.6111111111113</v>
      </c>
      <c r="J764" s="45">
        <v>2914.4285714285716</v>
      </c>
      <c r="K764" s="46">
        <v>0.18878094417988814</v>
      </c>
    </row>
    <row r="765" spans="1:11" x14ac:dyDescent="0.2">
      <c r="A765" s="38" t="s">
        <v>7</v>
      </c>
      <c r="B765" s="38" t="s">
        <v>3994</v>
      </c>
      <c r="C765" s="43" t="s">
        <v>3282</v>
      </c>
      <c r="E765" s="44">
        <v>19</v>
      </c>
      <c r="F765" s="45">
        <v>156213</v>
      </c>
      <c r="G765" s="44">
        <v>56</v>
      </c>
      <c r="H765" s="45">
        <v>453754</v>
      </c>
      <c r="I765" s="45">
        <v>8221.7368421052633</v>
      </c>
      <c r="J765" s="45">
        <v>8102.75</v>
      </c>
      <c r="K765" s="46">
        <v>-1.4472227023359154E-2</v>
      </c>
    </row>
    <row r="766" spans="1:11" x14ac:dyDescent="0.2">
      <c r="A766" s="38" t="s">
        <v>7</v>
      </c>
      <c r="B766" s="38" t="s">
        <v>3995</v>
      </c>
      <c r="C766" s="43" t="s">
        <v>3287</v>
      </c>
      <c r="E766" s="44">
        <v>1</v>
      </c>
      <c r="F766" s="45">
        <v>4011</v>
      </c>
      <c r="G766" s="44">
        <v>4</v>
      </c>
      <c r="H766" s="45">
        <v>16044</v>
      </c>
      <c r="I766" s="45">
        <v>4011</v>
      </c>
      <c r="J766" s="45">
        <v>4011</v>
      </c>
      <c r="K766" s="46">
        <v>0</v>
      </c>
    </row>
    <row r="767" spans="1:11" x14ac:dyDescent="0.2">
      <c r="A767" s="38" t="s">
        <v>7</v>
      </c>
      <c r="B767" s="38" t="s">
        <v>3996</v>
      </c>
      <c r="C767" s="43" t="s">
        <v>3317</v>
      </c>
      <c r="G767" s="44">
        <v>3</v>
      </c>
      <c r="H767" s="45">
        <v>19579.5</v>
      </c>
      <c r="J767" s="45">
        <v>6526.5</v>
      </c>
    </row>
    <row r="768" spans="1:11" x14ac:dyDescent="0.2">
      <c r="A768" s="38" t="s">
        <v>7</v>
      </c>
      <c r="B768" s="38" t="s">
        <v>3997</v>
      </c>
      <c r="C768" s="43" t="s">
        <v>3998</v>
      </c>
      <c r="G768" s="44">
        <v>1</v>
      </c>
      <c r="H768" s="45">
        <v>4060.43</v>
      </c>
      <c r="J768" s="45">
        <v>4060.43</v>
      </c>
    </row>
    <row r="769" spans="1:11" x14ac:dyDescent="0.2">
      <c r="A769" s="38" t="s">
        <v>7</v>
      </c>
      <c r="B769" s="38" t="s">
        <v>4000</v>
      </c>
      <c r="C769" s="43" t="s">
        <v>3465</v>
      </c>
      <c r="G769" s="44">
        <v>3</v>
      </c>
      <c r="H769" s="45">
        <v>18144</v>
      </c>
      <c r="J769" s="45">
        <v>6048</v>
      </c>
    </row>
    <row r="770" spans="1:11" x14ac:dyDescent="0.2">
      <c r="A770" s="38" t="s">
        <v>7</v>
      </c>
      <c r="B770" s="38" t="s">
        <v>4004</v>
      </c>
      <c r="C770" s="43" t="s">
        <v>2681</v>
      </c>
      <c r="E770" s="44">
        <v>5</v>
      </c>
      <c r="F770" s="45">
        <v>2982</v>
      </c>
      <c r="G770" s="44">
        <v>0</v>
      </c>
      <c r="H770" s="45">
        <v>0</v>
      </c>
      <c r="I770" s="45">
        <v>596.4</v>
      </c>
    </row>
    <row r="771" spans="1:11" x14ac:dyDescent="0.2">
      <c r="A771" s="38" t="s">
        <v>7</v>
      </c>
      <c r="B771" s="38" t="s">
        <v>4006</v>
      </c>
      <c r="C771" s="43" t="s">
        <v>4007</v>
      </c>
      <c r="G771" s="44">
        <v>2</v>
      </c>
      <c r="H771" s="45">
        <v>1629</v>
      </c>
      <c r="J771" s="45">
        <v>814.5</v>
      </c>
    </row>
    <row r="772" spans="1:11" x14ac:dyDescent="0.2">
      <c r="A772" s="38" t="s">
        <v>7</v>
      </c>
      <c r="B772" s="38" t="s">
        <v>4009</v>
      </c>
      <c r="C772" s="43" t="s">
        <v>4010</v>
      </c>
      <c r="G772" s="44">
        <v>6</v>
      </c>
      <c r="H772" s="45">
        <v>2436</v>
      </c>
      <c r="J772" s="45">
        <v>406</v>
      </c>
    </row>
    <row r="773" spans="1:11" x14ac:dyDescent="0.2">
      <c r="A773" s="38" t="s">
        <v>7</v>
      </c>
      <c r="B773" s="38" t="s">
        <v>4015</v>
      </c>
      <c r="C773" s="43" t="s">
        <v>4016</v>
      </c>
      <c r="G773" s="44">
        <v>1</v>
      </c>
      <c r="H773" s="45">
        <v>503</v>
      </c>
      <c r="J773" s="45">
        <v>503</v>
      </c>
    </row>
    <row r="774" spans="1:11" x14ac:dyDescent="0.2">
      <c r="A774" s="38" t="s">
        <v>7</v>
      </c>
      <c r="B774" s="38" t="s">
        <v>4021</v>
      </c>
      <c r="C774" s="43" t="s">
        <v>4022</v>
      </c>
      <c r="E774" s="44">
        <v>15</v>
      </c>
      <c r="F774" s="45">
        <v>11045</v>
      </c>
      <c r="G774" s="44">
        <v>12</v>
      </c>
      <c r="H774" s="45">
        <v>9142</v>
      </c>
      <c r="I774" s="45">
        <v>736.33333333333337</v>
      </c>
      <c r="J774" s="45">
        <v>761.83333333333337</v>
      </c>
      <c r="K774" s="46">
        <v>3.46310547759167E-2</v>
      </c>
    </row>
    <row r="775" spans="1:11" x14ac:dyDescent="0.2">
      <c r="A775" s="38" t="s">
        <v>7</v>
      </c>
      <c r="B775" s="38" t="s">
        <v>4024</v>
      </c>
      <c r="C775" s="43" t="s">
        <v>4025</v>
      </c>
      <c r="G775" s="44">
        <v>2</v>
      </c>
      <c r="H775" s="45">
        <v>1842</v>
      </c>
      <c r="J775" s="45">
        <v>921</v>
      </c>
    </row>
    <row r="776" spans="1:11" x14ac:dyDescent="0.2">
      <c r="A776" s="38" t="s">
        <v>7</v>
      </c>
      <c r="B776" s="38" t="s">
        <v>4027</v>
      </c>
      <c r="C776" s="43" t="s">
        <v>4028</v>
      </c>
      <c r="E776" s="44">
        <v>3</v>
      </c>
      <c r="F776" s="45">
        <v>1335</v>
      </c>
      <c r="G776" s="44">
        <v>2</v>
      </c>
      <c r="H776" s="45">
        <v>890</v>
      </c>
      <c r="I776" s="45">
        <v>445</v>
      </c>
      <c r="J776" s="45">
        <v>445</v>
      </c>
      <c r="K776" s="46">
        <v>0</v>
      </c>
    </row>
    <row r="777" spans="1:11" x14ac:dyDescent="0.2">
      <c r="A777" s="38" t="s">
        <v>7</v>
      </c>
      <c r="B777" s="38" t="s">
        <v>4032</v>
      </c>
      <c r="C777" s="43" t="s">
        <v>4033</v>
      </c>
      <c r="G777" s="44">
        <v>1</v>
      </c>
      <c r="H777" s="45">
        <v>3016.2</v>
      </c>
      <c r="J777" s="45">
        <v>3016.2</v>
      </c>
    </row>
    <row r="778" spans="1:11" x14ac:dyDescent="0.2">
      <c r="A778" s="38" t="s">
        <v>7</v>
      </c>
      <c r="B778" s="38" t="s">
        <v>4054</v>
      </c>
      <c r="C778" s="43" t="s">
        <v>4055</v>
      </c>
      <c r="D778" s="38" t="s">
        <v>12505</v>
      </c>
      <c r="E778" s="44">
        <v>373</v>
      </c>
      <c r="F778" s="45">
        <v>3379684</v>
      </c>
      <c r="G778" s="44">
        <v>374</v>
      </c>
      <c r="H778" s="45">
        <v>3119248</v>
      </c>
      <c r="I778" s="45">
        <v>9060.8150134048265</v>
      </c>
      <c r="J778" s="45">
        <v>8340.2352941176468</v>
      </c>
      <c r="K778" s="46">
        <v>-7.9527031312429788E-2</v>
      </c>
    </row>
    <row r="779" spans="1:11" x14ac:dyDescent="0.2">
      <c r="A779" s="38" t="s">
        <v>7</v>
      </c>
      <c r="B779" s="38" t="s">
        <v>4057</v>
      </c>
      <c r="C779" s="43" t="s">
        <v>3725</v>
      </c>
      <c r="D779" s="38" t="s">
        <v>12428</v>
      </c>
      <c r="G779" s="44">
        <v>1</v>
      </c>
      <c r="H779" s="45">
        <v>1626</v>
      </c>
      <c r="J779" s="45">
        <v>1626</v>
      </c>
    </row>
    <row r="780" spans="1:11" x14ac:dyDescent="0.2">
      <c r="A780" s="38" t="s">
        <v>7</v>
      </c>
      <c r="B780" s="38" t="s">
        <v>4060</v>
      </c>
      <c r="C780" s="43" t="s">
        <v>3731</v>
      </c>
      <c r="D780" s="38" t="s">
        <v>12429</v>
      </c>
      <c r="G780" s="44">
        <v>1</v>
      </c>
      <c r="H780" s="45">
        <v>1733</v>
      </c>
      <c r="J780" s="45">
        <v>1733</v>
      </c>
    </row>
    <row r="781" spans="1:11" x14ac:dyDescent="0.2">
      <c r="A781" s="38" t="s">
        <v>7</v>
      </c>
      <c r="B781" s="38" t="s">
        <v>4061</v>
      </c>
      <c r="C781" s="43" t="s">
        <v>3734</v>
      </c>
      <c r="D781" s="38" t="s">
        <v>12430</v>
      </c>
      <c r="E781" s="44">
        <v>9</v>
      </c>
      <c r="F781" s="45">
        <v>14948</v>
      </c>
      <c r="G781" s="44">
        <v>7</v>
      </c>
      <c r="H781" s="45">
        <v>12124</v>
      </c>
      <c r="I781" s="45">
        <v>1660.8888888888889</v>
      </c>
      <c r="J781" s="45">
        <v>1732</v>
      </c>
      <c r="K781" s="46">
        <v>4.2815092320042797E-2</v>
      </c>
    </row>
    <row r="782" spans="1:11" x14ac:dyDescent="0.2">
      <c r="A782" s="38" t="s">
        <v>7</v>
      </c>
      <c r="B782" s="38" t="s">
        <v>4062</v>
      </c>
      <c r="C782" s="43" t="s">
        <v>3737</v>
      </c>
      <c r="D782" s="38" t="s">
        <v>12431</v>
      </c>
      <c r="E782" s="44">
        <v>3</v>
      </c>
      <c r="F782" s="45">
        <v>5609</v>
      </c>
      <c r="G782" s="44">
        <v>5</v>
      </c>
      <c r="H782" s="45">
        <v>9835</v>
      </c>
      <c r="I782" s="45">
        <v>1869.6666666666667</v>
      </c>
      <c r="J782" s="45">
        <v>1967</v>
      </c>
      <c r="K782" s="46">
        <v>5.2059190586557273E-2</v>
      </c>
    </row>
    <row r="783" spans="1:11" x14ac:dyDescent="0.2">
      <c r="A783" s="38" t="s">
        <v>7</v>
      </c>
      <c r="B783" s="38" t="s">
        <v>4063</v>
      </c>
      <c r="C783" s="43" t="s">
        <v>4064</v>
      </c>
      <c r="D783" s="38" t="s">
        <v>12506</v>
      </c>
      <c r="E783" s="44">
        <v>2</v>
      </c>
      <c r="F783" s="45">
        <v>15922</v>
      </c>
      <c r="G783" s="44">
        <v>0</v>
      </c>
      <c r="H783" s="45">
        <v>0</v>
      </c>
      <c r="I783" s="45">
        <v>7961</v>
      </c>
    </row>
    <row r="784" spans="1:11" x14ac:dyDescent="0.2">
      <c r="A784" s="38" t="s">
        <v>7</v>
      </c>
      <c r="B784" s="38" t="s">
        <v>4066</v>
      </c>
      <c r="C784" s="43" t="s">
        <v>4067</v>
      </c>
      <c r="D784" s="38" t="s">
        <v>12507</v>
      </c>
      <c r="E784" s="44">
        <v>16</v>
      </c>
      <c r="F784" s="45">
        <v>109592</v>
      </c>
      <c r="G784" s="44">
        <v>18</v>
      </c>
      <c r="H784" s="45">
        <v>125086</v>
      </c>
      <c r="I784" s="45">
        <v>6849.5</v>
      </c>
      <c r="J784" s="45">
        <v>6949.2222222222226</v>
      </c>
      <c r="K784" s="46">
        <v>1.4559051350058052E-2</v>
      </c>
    </row>
    <row r="785" spans="1:11" x14ac:dyDescent="0.2">
      <c r="A785" s="38" t="s">
        <v>7</v>
      </c>
      <c r="B785" s="38" t="s">
        <v>4072</v>
      </c>
      <c r="C785" s="43" t="s">
        <v>4073</v>
      </c>
      <c r="D785" s="38" t="s">
        <v>12508</v>
      </c>
      <c r="E785" s="44">
        <v>33</v>
      </c>
      <c r="F785" s="45">
        <v>270053</v>
      </c>
      <c r="G785" s="44">
        <v>36</v>
      </c>
      <c r="H785" s="45">
        <v>278559</v>
      </c>
      <c r="I785" s="45">
        <v>8183.424242424242</v>
      </c>
      <c r="J785" s="45">
        <v>7737.75</v>
      </c>
      <c r="K785" s="46">
        <v>-5.4460605881067749E-2</v>
      </c>
    </row>
    <row r="786" spans="1:11" x14ac:dyDescent="0.2">
      <c r="A786" s="38" t="s">
        <v>7</v>
      </c>
      <c r="B786" s="38" t="s">
        <v>4075</v>
      </c>
      <c r="C786" s="43" t="s">
        <v>4076</v>
      </c>
      <c r="D786" s="38" t="s">
        <v>12509</v>
      </c>
      <c r="G786" s="44">
        <v>1</v>
      </c>
      <c r="H786" s="45">
        <v>10128</v>
      </c>
      <c r="J786" s="45">
        <v>10128</v>
      </c>
    </row>
    <row r="787" spans="1:11" x14ac:dyDescent="0.2">
      <c r="A787" s="38" t="s">
        <v>7</v>
      </c>
      <c r="B787" s="38" t="s">
        <v>4078</v>
      </c>
      <c r="C787" s="43" t="s">
        <v>4079</v>
      </c>
      <c r="D787" s="38" t="s">
        <v>12510</v>
      </c>
      <c r="E787" s="44">
        <v>320</v>
      </c>
      <c r="F787" s="45">
        <v>385212</v>
      </c>
      <c r="G787" s="44">
        <v>231</v>
      </c>
      <c r="H787" s="45">
        <v>265036</v>
      </c>
      <c r="I787" s="45">
        <v>1203.7874999999999</v>
      </c>
      <c r="J787" s="45">
        <v>1147.3419913419914</v>
      </c>
      <c r="K787" s="46">
        <v>-4.6889927547850867E-2</v>
      </c>
    </row>
    <row r="788" spans="1:11" x14ac:dyDescent="0.2">
      <c r="A788" s="38" t="s">
        <v>7</v>
      </c>
      <c r="B788" s="38" t="s">
        <v>4081</v>
      </c>
      <c r="C788" s="43" t="s">
        <v>4082</v>
      </c>
      <c r="D788" s="38" t="s">
        <v>12102</v>
      </c>
      <c r="E788" s="44">
        <v>3053</v>
      </c>
      <c r="F788" s="45">
        <v>4772973</v>
      </c>
      <c r="G788" s="44">
        <v>2500</v>
      </c>
      <c r="H788" s="45">
        <v>3524280</v>
      </c>
      <c r="I788" s="45">
        <v>1563.3714379299049</v>
      </c>
      <c r="J788" s="45">
        <v>1409.712</v>
      </c>
      <c r="K788" s="46">
        <v>-9.8287223497807288E-2</v>
      </c>
    </row>
    <row r="789" spans="1:11" x14ac:dyDescent="0.2">
      <c r="A789" s="38" t="s">
        <v>7</v>
      </c>
      <c r="B789" s="38" t="s">
        <v>4084</v>
      </c>
      <c r="C789" s="43" t="s">
        <v>3740</v>
      </c>
      <c r="D789" s="38" t="s">
        <v>12511</v>
      </c>
      <c r="G789" s="44">
        <v>1</v>
      </c>
      <c r="H789" s="45">
        <v>1076</v>
      </c>
      <c r="J789" s="45">
        <v>1076</v>
      </c>
    </row>
    <row r="790" spans="1:11" x14ac:dyDescent="0.2">
      <c r="A790" s="38" t="s">
        <v>7</v>
      </c>
      <c r="B790" s="38" t="s">
        <v>4085</v>
      </c>
      <c r="C790" s="43" t="s">
        <v>4086</v>
      </c>
      <c r="D790" s="38" t="s">
        <v>12512</v>
      </c>
      <c r="G790" s="44">
        <v>6</v>
      </c>
      <c r="H790" s="45">
        <v>42678</v>
      </c>
      <c r="J790" s="45">
        <v>7113</v>
      </c>
    </row>
    <row r="791" spans="1:11" x14ac:dyDescent="0.2">
      <c r="A791" s="38" t="s">
        <v>7</v>
      </c>
      <c r="B791" s="38" t="s">
        <v>4088</v>
      </c>
      <c r="C791" s="43" t="s">
        <v>4089</v>
      </c>
      <c r="D791" s="38" t="s">
        <v>12513</v>
      </c>
      <c r="E791" s="44">
        <v>201</v>
      </c>
      <c r="F791" s="45">
        <v>320932</v>
      </c>
      <c r="G791" s="44">
        <v>178</v>
      </c>
      <c r="H791" s="45">
        <v>271002</v>
      </c>
      <c r="I791" s="45">
        <v>1596.676616915423</v>
      </c>
      <c r="J791" s="45">
        <v>1522.4831460674156</v>
      </c>
      <c r="K791" s="46">
        <v>-4.6467437464788409E-2</v>
      </c>
    </row>
    <row r="792" spans="1:11" x14ac:dyDescent="0.2">
      <c r="A792" s="38" t="s">
        <v>7</v>
      </c>
      <c r="B792" s="38" t="s">
        <v>4090</v>
      </c>
      <c r="C792" s="43" t="s">
        <v>4091</v>
      </c>
      <c r="D792" s="38" t="s">
        <v>12514</v>
      </c>
      <c r="E792" s="44">
        <v>120</v>
      </c>
      <c r="F792" s="45">
        <v>1586766</v>
      </c>
      <c r="G792" s="44">
        <v>80</v>
      </c>
      <c r="H792" s="45">
        <v>938752</v>
      </c>
      <c r="I792" s="45">
        <v>13223.05</v>
      </c>
      <c r="J792" s="45">
        <v>11734.4</v>
      </c>
      <c r="K792" s="46">
        <v>-0.11257992671887346</v>
      </c>
    </row>
    <row r="793" spans="1:11" x14ac:dyDescent="0.2">
      <c r="A793" s="38" t="s">
        <v>7</v>
      </c>
      <c r="B793" s="38" t="s">
        <v>4093</v>
      </c>
      <c r="C793" s="43" t="s">
        <v>4094</v>
      </c>
      <c r="D793" s="38" t="s">
        <v>12515</v>
      </c>
      <c r="E793" s="44">
        <v>49</v>
      </c>
      <c r="F793" s="45">
        <v>493587</v>
      </c>
      <c r="G793" s="44">
        <v>43</v>
      </c>
      <c r="H793" s="45">
        <v>400485</v>
      </c>
      <c r="I793" s="45">
        <v>10073.204081632653</v>
      </c>
      <c r="J793" s="45">
        <v>9313.6046511627901</v>
      </c>
      <c r="K793" s="46">
        <v>-7.5407926248104801E-2</v>
      </c>
    </row>
    <row r="794" spans="1:11" x14ac:dyDescent="0.2">
      <c r="A794" s="38" t="s">
        <v>7</v>
      </c>
      <c r="B794" s="38" t="s">
        <v>4096</v>
      </c>
      <c r="C794" s="43" t="s">
        <v>3743</v>
      </c>
      <c r="D794" s="38" t="s">
        <v>12432</v>
      </c>
      <c r="E794" s="44">
        <v>12</v>
      </c>
      <c r="F794" s="45">
        <v>17634</v>
      </c>
      <c r="G794" s="44">
        <v>12</v>
      </c>
      <c r="H794" s="45">
        <v>16272</v>
      </c>
      <c r="I794" s="45">
        <v>1469.5</v>
      </c>
      <c r="J794" s="45">
        <v>1356</v>
      </c>
      <c r="K794" s="46">
        <v>-7.7237155495066351E-2</v>
      </c>
    </row>
    <row r="795" spans="1:11" x14ac:dyDescent="0.2">
      <c r="A795" s="38" t="s">
        <v>7</v>
      </c>
      <c r="B795" s="38" t="s">
        <v>4097</v>
      </c>
      <c r="C795" s="43" t="s">
        <v>4098</v>
      </c>
      <c r="D795" s="38" t="s">
        <v>12516</v>
      </c>
      <c r="E795" s="44">
        <v>284</v>
      </c>
      <c r="F795" s="45">
        <v>2380308</v>
      </c>
      <c r="G795" s="44">
        <v>265</v>
      </c>
      <c r="H795" s="45">
        <v>2034375</v>
      </c>
      <c r="I795" s="45">
        <v>8381.3661971830988</v>
      </c>
      <c r="J795" s="45">
        <v>7676.8867924528304</v>
      </c>
      <c r="K795" s="46">
        <v>-8.4053051514088192E-2</v>
      </c>
    </row>
    <row r="796" spans="1:11" x14ac:dyDescent="0.2">
      <c r="A796" s="38" t="s">
        <v>7</v>
      </c>
      <c r="B796" s="38" t="s">
        <v>4100</v>
      </c>
      <c r="C796" s="43" t="s">
        <v>4101</v>
      </c>
      <c r="D796" s="38" t="s">
        <v>12517</v>
      </c>
      <c r="E796" s="44">
        <v>10</v>
      </c>
      <c r="F796" s="45">
        <v>122500</v>
      </c>
      <c r="G796" s="44">
        <v>17</v>
      </c>
      <c r="H796" s="45">
        <v>167488</v>
      </c>
      <c r="I796" s="45">
        <v>12250</v>
      </c>
      <c r="J796" s="45">
        <v>9852.2352941176468</v>
      </c>
      <c r="K796" s="46">
        <v>-0.19573589435774311</v>
      </c>
    </row>
    <row r="797" spans="1:11" x14ac:dyDescent="0.2">
      <c r="A797" s="38" t="s">
        <v>7</v>
      </c>
      <c r="B797" s="38" t="s">
        <v>4103</v>
      </c>
      <c r="C797" s="43" t="s">
        <v>4104</v>
      </c>
      <c r="D797" s="38" t="s">
        <v>12518</v>
      </c>
      <c r="E797" s="44">
        <v>8</v>
      </c>
      <c r="F797" s="45">
        <v>81054</v>
      </c>
      <c r="G797" s="44">
        <v>19</v>
      </c>
      <c r="H797" s="45">
        <v>162022</v>
      </c>
      <c r="I797" s="45">
        <v>10131.75</v>
      </c>
      <c r="J797" s="45">
        <v>8527.4736842105267</v>
      </c>
      <c r="K797" s="46">
        <v>-0.15834148254639854</v>
      </c>
    </row>
    <row r="798" spans="1:11" x14ac:dyDescent="0.2">
      <c r="A798" s="38" t="s">
        <v>7</v>
      </c>
      <c r="B798" s="38" t="s">
        <v>4106</v>
      </c>
      <c r="C798" s="43" t="s">
        <v>4107</v>
      </c>
      <c r="D798" s="38" t="s">
        <v>12519</v>
      </c>
      <c r="E798" s="44">
        <v>21</v>
      </c>
      <c r="F798" s="45">
        <v>177725</v>
      </c>
      <c r="G798" s="44">
        <v>29</v>
      </c>
      <c r="H798" s="45">
        <v>231711</v>
      </c>
      <c r="I798" s="45">
        <v>8463.0952380952385</v>
      </c>
      <c r="J798" s="45">
        <v>7990.0344827586205</v>
      </c>
      <c r="K798" s="46">
        <v>-5.58968961151722E-2</v>
      </c>
    </row>
    <row r="799" spans="1:11" x14ac:dyDescent="0.2">
      <c r="A799" s="38" t="s">
        <v>7</v>
      </c>
      <c r="B799" s="38" t="s">
        <v>4109</v>
      </c>
      <c r="C799" s="43" t="s">
        <v>3746</v>
      </c>
      <c r="D799" s="38" t="s">
        <v>12433</v>
      </c>
      <c r="E799" s="44">
        <v>1</v>
      </c>
      <c r="F799" s="45">
        <v>1310</v>
      </c>
      <c r="G799" s="44">
        <v>1</v>
      </c>
      <c r="H799" s="45">
        <v>1310</v>
      </c>
      <c r="I799" s="45">
        <v>1310</v>
      </c>
      <c r="J799" s="45">
        <v>1310</v>
      </c>
      <c r="K799" s="46">
        <v>0</v>
      </c>
    </row>
    <row r="800" spans="1:11" x14ac:dyDescent="0.2">
      <c r="A800" s="38" t="s">
        <v>7</v>
      </c>
      <c r="B800" s="38" t="s">
        <v>4113</v>
      </c>
      <c r="C800" s="43" t="s">
        <v>4114</v>
      </c>
      <c r="D800" s="38" t="s">
        <v>12520</v>
      </c>
      <c r="G800" s="44">
        <v>3</v>
      </c>
      <c r="H800" s="45">
        <v>3983</v>
      </c>
      <c r="J800" s="45">
        <v>1327.6666666666667</v>
      </c>
    </row>
    <row r="801" spans="1:11" x14ac:dyDescent="0.2">
      <c r="A801" s="38" t="s">
        <v>7</v>
      </c>
      <c r="B801" s="38" t="s">
        <v>4116</v>
      </c>
      <c r="C801" s="43" t="s">
        <v>3748</v>
      </c>
      <c r="D801" s="38" t="s">
        <v>12434</v>
      </c>
      <c r="E801" s="44">
        <v>4</v>
      </c>
      <c r="F801" s="45">
        <v>4572</v>
      </c>
      <c r="G801" s="44">
        <v>2</v>
      </c>
      <c r="H801" s="45">
        <v>2703</v>
      </c>
      <c r="I801" s="45">
        <v>1143</v>
      </c>
      <c r="J801" s="45">
        <v>1351.5</v>
      </c>
      <c r="K801" s="46">
        <v>0.18241469816272965</v>
      </c>
    </row>
    <row r="802" spans="1:11" x14ac:dyDescent="0.2">
      <c r="A802" s="38" t="s">
        <v>7</v>
      </c>
      <c r="B802" s="38" t="s">
        <v>4117</v>
      </c>
      <c r="C802" s="43" t="s">
        <v>4118</v>
      </c>
      <c r="D802" s="38" t="s">
        <v>12521</v>
      </c>
      <c r="G802" s="44">
        <v>1</v>
      </c>
      <c r="H802" s="45">
        <v>881</v>
      </c>
      <c r="J802" s="45">
        <v>881</v>
      </c>
    </row>
    <row r="803" spans="1:11" x14ac:dyDescent="0.2">
      <c r="A803" s="38" t="s">
        <v>7</v>
      </c>
      <c r="B803" s="38" t="s">
        <v>4120</v>
      </c>
      <c r="C803" s="43" t="s">
        <v>4121</v>
      </c>
      <c r="D803" s="38" t="s">
        <v>12522</v>
      </c>
      <c r="E803" s="44">
        <v>193</v>
      </c>
      <c r="F803" s="45">
        <v>2050507</v>
      </c>
      <c r="G803" s="44">
        <v>183</v>
      </c>
      <c r="H803" s="45">
        <v>1765176</v>
      </c>
      <c r="I803" s="45">
        <v>10624.388601036269</v>
      </c>
      <c r="J803" s="45">
        <v>9645.7704918032796</v>
      </c>
      <c r="K803" s="46">
        <v>-9.2110534166412031E-2</v>
      </c>
    </row>
    <row r="804" spans="1:11" x14ac:dyDescent="0.2">
      <c r="A804" s="38" t="s">
        <v>7</v>
      </c>
      <c r="B804" s="38" t="s">
        <v>4123</v>
      </c>
      <c r="C804" s="43" t="s">
        <v>4124</v>
      </c>
      <c r="D804" s="38" t="s">
        <v>12523</v>
      </c>
      <c r="E804" s="44">
        <v>144</v>
      </c>
      <c r="F804" s="45">
        <v>1006084</v>
      </c>
      <c r="G804" s="44">
        <v>112</v>
      </c>
      <c r="H804" s="45">
        <v>714044</v>
      </c>
      <c r="I804" s="45">
        <v>6986.6944444444443</v>
      </c>
      <c r="J804" s="45">
        <v>6375.3928571428569</v>
      </c>
      <c r="K804" s="46">
        <v>-8.7495108332334676E-2</v>
      </c>
    </row>
    <row r="805" spans="1:11" x14ac:dyDescent="0.2">
      <c r="A805" s="38" t="s">
        <v>7</v>
      </c>
      <c r="B805" s="38" t="s">
        <v>4132</v>
      </c>
      <c r="C805" s="43" t="s">
        <v>4133</v>
      </c>
      <c r="D805" s="38" t="s">
        <v>12524</v>
      </c>
      <c r="E805" s="44">
        <v>7</v>
      </c>
      <c r="F805" s="45">
        <v>37462</v>
      </c>
      <c r="G805" s="44">
        <v>6</v>
      </c>
      <c r="H805" s="45">
        <v>29310</v>
      </c>
      <c r="I805" s="45">
        <v>5351.7142857142853</v>
      </c>
      <c r="J805" s="45">
        <v>4885</v>
      </c>
      <c r="K805" s="46">
        <v>-8.7208371149431363E-2</v>
      </c>
    </row>
    <row r="806" spans="1:11" x14ac:dyDescent="0.2">
      <c r="A806" s="38" t="s">
        <v>7</v>
      </c>
      <c r="B806" s="38" t="s">
        <v>4135</v>
      </c>
      <c r="C806" s="43" t="s">
        <v>4136</v>
      </c>
      <c r="D806" s="38" t="s">
        <v>12525</v>
      </c>
      <c r="E806" s="44">
        <v>6</v>
      </c>
      <c r="F806" s="45">
        <v>40913</v>
      </c>
      <c r="G806" s="44">
        <v>9</v>
      </c>
      <c r="H806" s="45">
        <v>62136</v>
      </c>
      <c r="I806" s="45">
        <v>6818.833333333333</v>
      </c>
      <c r="J806" s="45">
        <v>6904</v>
      </c>
      <c r="K806" s="46">
        <v>1.248991763009317E-2</v>
      </c>
    </row>
    <row r="807" spans="1:11" x14ac:dyDescent="0.2">
      <c r="A807" s="38" t="s">
        <v>7</v>
      </c>
      <c r="B807" s="38" t="s">
        <v>4138</v>
      </c>
      <c r="C807" s="43" t="s">
        <v>4139</v>
      </c>
      <c r="D807" s="38" t="s">
        <v>12526</v>
      </c>
      <c r="G807" s="44">
        <v>7</v>
      </c>
      <c r="H807" s="45">
        <v>42056</v>
      </c>
      <c r="J807" s="45">
        <v>6008</v>
      </c>
    </row>
    <row r="808" spans="1:11" x14ac:dyDescent="0.2">
      <c r="A808" s="38" t="s">
        <v>7</v>
      </c>
      <c r="B808" s="38" t="s">
        <v>4141</v>
      </c>
      <c r="C808" s="43" t="s">
        <v>4142</v>
      </c>
      <c r="D808" s="38" t="s">
        <v>12527</v>
      </c>
      <c r="E808" s="44">
        <v>46</v>
      </c>
      <c r="F808" s="45">
        <v>326100</v>
      </c>
      <c r="G808" s="44">
        <v>50</v>
      </c>
      <c r="H808" s="45">
        <v>336522</v>
      </c>
      <c r="I808" s="45">
        <v>7089.130434782609</v>
      </c>
      <c r="J808" s="45">
        <v>6730.44</v>
      </c>
      <c r="K808" s="46">
        <v>-5.059724011039568E-2</v>
      </c>
    </row>
    <row r="809" spans="1:11" x14ac:dyDescent="0.2">
      <c r="A809" s="38" t="s">
        <v>7</v>
      </c>
      <c r="B809" s="38" t="s">
        <v>4144</v>
      </c>
      <c r="C809" s="43" t="s">
        <v>4145</v>
      </c>
      <c r="D809" s="38" t="s">
        <v>12528</v>
      </c>
      <c r="E809" s="44">
        <v>27</v>
      </c>
      <c r="F809" s="45">
        <v>192573</v>
      </c>
      <c r="G809" s="44">
        <v>36</v>
      </c>
      <c r="H809" s="45">
        <v>249300</v>
      </c>
      <c r="I809" s="45">
        <v>7132.333333333333</v>
      </c>
      <c r="J809" s="45">
        <v>6925</v>
      </c>
      <c r="K809" s="46">
        <v>-2.9069495723699542E-2</v>
      </c>
    </row>
    <row r="810" spans="1:11" x14ac:dyDescent="0.2">
      <c r="A810" s="38" t="s">
        <v>7</v>
      </c>
      <c r="B810" s="38" t="s">
        <v>4147</v>
      </c>
      <c r="C810" s="43" t="s">
        <v>4148</v>
      </c>
      <c r="D810" s="38" t="s">
        <v>12529</v>
      </c>
      <c r="E810" s="44">
        <v>10</v>
      </c>
      <c r="F810" s="45">
        <v>69793</v>
      </c>
      <c r="G810" s="44">
        <v>4</v>
      </c>
      <c r="H810" s="45">
        <v>16700</v>
      </c>
      <c r="I810" s="45">
        <v>6979.3</v>
      </c>
      <c r="J810" s="45">
        <v>4175</v>
      </c>
      <c r="K810" s="46">
        <v>-0.40180247302738098</v>
      </c>
    </row>
    <row r="811" spans="1:11" x14ac:dyDescent="0.2">
      <c r="A811" s="38" t="s">
        <v>7</v>
      </c>
      <c r="B811" s="38" t="s">
        <v>4152</v>
      </c>
      <c r="C811" s="43" t="s">
        <v>4153</v>
      </c>
      <c r="D811" s="38" t="s">
        <v>12530</v>
      </c>
      <c r="E811" s="44">
        <v>5</v>
      </c>
      <c r="F811" s="45">
        <v>45044</v>
      </c>
      <c r="G811" s="44">
        <v>2</v>
      </c>
      <c r="H811" s="45">
        <v>18568</v>
      </c>
      <c r="I811" s="45">
        <v>9008.7999999999993</v>
      </c>
      <c r="J811" s="45">
        <v>9284</v>
      </c>
      <c r="K811" s="46">
        <v>3.0547908711482191E-2</v>
      </c>
    </row>
    <row r="812" spans="1:11" x14ac:dyDescent="0.2">
      <c r="A812" s="38" t="s">
        <v>7</v>
      </c>
      <c r="B812" s="38" t="s">
        <v>4155</v>
      </c>
      <c r="C812" s="43" t="s">
        <v>4156</v>
      </c>
      <c r="D812" s="38" t="s">
        <v>12104</v>
      </c>
      <c r="E812" s="44">
        <v>105</v>
      </c>
      <c r="F812" s="45">
        <v>1209522</v>
      </c>
      <c r="G812" s="44">
        <v>134</v>
      </c>
      <c r="H812" s="45">
        <v>1414640</v>
      </c>
      <c r="I812" s="45">
        <v>11519.257142857143</v>
      </c>
      <c r="J812" s="45">
        <v>10557.014925373134</v>
      </c>
      <c r="K812" s="46">
        <v>-8.353335684329917E-2</v>
      </c>
    </row>
    <row r="813" spans="1:11" x14ac:dyDescent="0.2">
      <c r="A813" s="38" t="s">
        <v>7</v>
      </c>
      <c r="B813" s="38" t="s">
        <v>4158</v>
      </c>
      <c r="C813" s="43" t="s">
        <v>4159</v>
      </c>
      <c r="D813" s="38" t="s">
        <v>12531</v>
      </c>
      <c r="E813" s="44">
        <v>17</v>
      </c>
      <c r="F813" s="45">
        <v>109136</v>
      </c>
      <c r="G813" s="44">
        <v>14</v>
      </c>
      <c r="H813" s="45">
        <v>78318</v>
      </c>
      <c r="I813" s="45">
        <v>6419.7647058823532</v>
      </c>
      <c r="J813" s="45">
        <v>5594.1428571428569</v>
      </c>
      <c r="K813" s="46">
        <v>-0.12860624751293281</v>
      </c>
    </row>
    <row r="814" spans="1:11" x14ac:dyDescent="0.2">
      <c r="A814" s="38" t="s">
        <v>7</v>
      </c>
      <c r="B814" s="38" t="s">
        <v>4161</v>
      </c>
      <c r="C814" s="43" t="s">
        <v>4162</v>
      </c>
      <c r="D814" s="38" t="s">
        <v>12532</v>
      </c>
      <c r="E814" s="44">
        <v>18</v>
      </c>
      <c r="F814" s="45">
        <v>117192</v>
      </c>
      <c r="G814" s="44">
        <v>21</v>
      </c>
      <c r="H814" s="45">
        <v>121336</v>
      </c>
      <c r="I814" s="45">
        <v>6510.666666666667</v>
      </c>
      <c r="J814" s="45">
        <v>5777.9047619047615</v>
      </c>
      <c r="K814" s="46">
        <v>-0.11254790673181017</v>
      </c>
    </row>
    <row r="815" spans="1:11" x14ac:dyDescent="0.2">
      <c r="A815" s="38" t="s">
        <v>7</v>
      </c>
      <c r="B815" s="38" t="s">
        <v>4164</v>
      </c>
      <c r="C815" s="43" t="s">
        <v>4165</v>
      </c>
      <c r="D815" s="38" t="s">
        <v>12533</v>
      </c>
      <c r="E815" s="44">
        <v>24</v>
      </c>
      <c r="F815" s="45">
        <v>247170</v>
      </c>
      <c r="G815" s="44">
        <v>15</v>
      </c>
      <c r="H815" s="45">
        <v>143151</v>
      </c>
      <c r="I815" s="45">
        <v>10298.75</v>
      </c>
      <c r="J815" s="45">
        <v>9543.4</v>
      </c>
      <c r="K815" s="46">
        <v>-7.3343852409273005E-2</v>
      </c>
    </row>
    <row r="816" spans="1:11" x14ac:dyDescent="0.2">
      <c r="A816" s="38" t="s">
        <v>7</v>
      </c>
      <c r="B816" s="38" t="s">
        <v>4167</v>
      </c>
      <c r="C816" s="43" t="s">
        <v>4168</v>
      </c>
      <c r="D816" s="38" t="s">
        <v>12534</v>
      </c>
      <c r="E816" s="44">
        <v>8</v>
      </c>
      <c r="F816" s="45">
        <v>83458</v>
      </c>
      <c r="G816" s="44">
        <v>1</v>
      </c>
      <c r="H816" s="45">
        <v>10629</v>
      </c>
      <c r="I816" s="45">
        <v>10432.25</v>
      </c>
      <c r="J816" s="45">
        <v>10629</v>
      </c>
      <c r="K816" s="46">
        <v>1.885978576050229E-2</v>
      </c>
    </row>
    <row r="817" spans="1:11" x14ac:dyDescent="0.2">
      <c r="A817" s="38" t="s">
        <v>7</v>
      </c>
      <c r="B817" s="38" t="s">
        <v>4170</v>
      </c>
      <c r="C817" s="43" t="s">
        <v>4171</v>
      </c>
      <c r="D817" s="38" t="s">
        <v>12535</v>
      </c>
      <c r="E817" s="44">
        <v>20</v>
      </c>
      <c r="F817" s="45">
        <v>142466</v>
      </c>
      <c r="G817" s="44">
        <v>19</v>
      </c>
      <c r="H817" s="45">
        <v>127430</v>
      </c>
      <c r="I817" s="45">
        <v>7123.3</v>
      </c>
      <c r="J817" s="45">
        <v>6706.8421052631575</v>
      </c>
      <c r="K817" s="46">
        <v>-5.8464180188514132E-2</v>
      </c>
    </row>
    <row r="818" spans="1:11" x14ac:dyDescent="0.2">
      <c r="A818" s="38" t="s">
        <v>7</v>
      </c>
      <c r="B818" s="38" t="s">
        <v>4173</v>
      </c>
      <c r="C818" s="43" t="s">
        <v>4174</v>
      </c>
      <c r="D818" s="38" t="s">
        <v>12536</v>
      </c>
      <c r="E818" s="44">
        <v>35</v>
      </c>
      <c r="F818" s="45">
        <v>363358</v>
      </c>
      <c r="G818" s="44">
        <v>37</v>
      </c>
      <c r="H818" s="45">
        <v>360387</v>
      </c>
      <c r="I818" s="45">
        <v>10381.657142857142</v>
      </c>
      <c r="J818" s="45">
        <v>9740.1891891891901</v>
      </c>
      <c r="K818" s="46">
        <v>-6.1788589705960323E-2</v>
      </c>
    </row>
    <row r="819" spans="1:11" x14ac:dyDescent="0.2">
      <c r="A819" s="38" t="s">
        <v>7</v>
      </c>
      <c r="B819" s="38" t="s">
        <v>4179</v>
      </c>
      <c r="C819" s="43" t="s">
        <v>4180</v>
      </c>
      <c r="D819" s="38" t="s">
        <v>12537</v>
      </c>
      <c r="E819" s="44">
        <v>42</v>
      </c>
      <c r="F819" s="45">
        <v>389802</v>
      </c>
      <c r="G819" s="44">
        <v>57</v>
      </c>
      <c r="H819" s="45">
        <v>467645</v>
      </c>
      <c r="I819" s="45">
        <v>9281</v>
      </c>
      <c r="J819" s="45">
        <v>8204.2982456140344</v>
      </c>
      <c r="K819" s="46">
        <v>-0.11601139471888434</v>
      </c>
    </row>
    <row r="820" spans="1:11" x14ac:dyDescent="0.2">
      <c r="A820" s="38" t="s">
        <v>7</v>
      </c>
      <c r="B820" s="38" t="s">
        <v>4182</v>
      </c>
      <c r="C820" s="43" t="s">
        <v>4183</v>
      </c>
      <c r="D820" s="38" t="s">
        <v>12538</v>
      </c>
      <c r="E820" s="44">
        <v>112</v>
      </c>
      <c r="F820" s="45">
        <v>833884</v>
      </c>
      <c r="G820" s="44">
        <v>99</v>
      </c>
      <c r="H820" s="45">
        <v>682801</v>
      </c>
      <c r="I820" s="45">
        <v>7445.3928571428569</v>
      </c>
      <c r="J820" s="45">
        <v>6896.9797979797977</v>
      </c>
      <c r="K820" s="46">
        <v>-7.3658041917416123E-2</v>
      </c>
    </row>
    <row r="821" spans="1:11" x14ac:dyDescent="0.2">
      <c r="A821" s="38" t="s">
        <v>7</v>
      </c>
      <c r="B821" s="38" t="s">
        <v>4185</v>
      </c>
      <c r="C821" s="43" t="s">
        <v>4186</v>
      </c>
      <c r="D821" s="38" t="s">
        <v>12539</v>
      </c>
      <c r="G821" s="44">
        <v>1</v>
      </c>
      <c r="H821" s="45">
        <v>9141</v>
      </c>
      <c r="J821" s="45">
        <v>9141</v>
      </c>
    </row>
    <row r="822" spans="1:11" x14ac:dyDescent="0.2">
      <c r="A822" s="38" t="s">
        <v>7</v>
      </c>
      <c r="B822" s="38" t="s">
        <v>4188</v>
      </c>
      <c r="C822" s="43" t="s">
        <v>4189</v>
      </c>
      <c r="D822" s="38" t="s">
        <v>12540</v>
      </c>
      <c r="E822" s="44">
        <v>4</v>
      </c>
      <c r="F822" s="45">
        <v>55204</v>
      </c>
      <c r="G822" s="44">
        <v>6</v>
      </c>
      <c r="H822" s="45">
        <v>63146</v>
      </c>
      <c r="I822" s="45">
        <v>13801</v>
      </c>
      <c r="J822" s="45">
        <v>10524.333333333334</v>
      </c>
      <c r="K822" s="46">
        <v>-0.23742240900417841</v>
      </c>
    </row>
    <row r="823" spans="1:11" x14ac:dyDescent="0.2">
      <c r="A823" s="38" t="s">
        <v>7</v>
      </c>
      <c r="B823" s="38" t="s">
        <v>4191</v>
      </c>
      <c r="C823" s="43" t="s">
        <v>4192</v>
      </c>
      <c r="D823" s="38" t="s">
        <v>12541</v>
      </c>
      <c r="E823" s="44">
        <v>6</v>
      </c>
      <c r="F823" s="45">
        <v>39922</v>
      </c>
      <c r="G823" s="44">
        <v>5</v>
      </c>
      <c r="H823" s="45">
        <v>34110</v>
      </c>
      <c r="I823" s="45">
        <v>6653.666666666667</v>
      </c>
      <c r="J823" s="45">
        <v>6822</v>
      </c>
      <c r="K823" s="46">
        <v>2.529933370071635E-2</v>
      </c>
    </row>
    <row r="824" spans="1:11" x14ac:dyDescent="0.2">
      <c r="A824" s="38" t="s">
        <v>7</v>
      </c>
      <c r="B824" s="38" t="s">
        <v>4195</v>
      </c>
      <c r="C824" s="43" t="s">
        <v>4196</v>
      </c>
      <c r="D824" s="38" t="s">
        <v>12542</v>
      </c>
      <c r="G824" s="44">
        <v>1</v>
      </c>
      <c r="H824" s="45">
        <v>7704</v>
      </c>
      <c r="J824" s="45">
        <v>7704</v>
      </c>
    </row>
    <row r="825" spans="1:11" x14ac:dyDescent="0.2">
      <c r="A825" s="38" t="s">
        <v>7</v>
      </c>
      <c r="B825" s="38" t="s">
        <v>4197</v>
      </c>
      <c r="C825" s="43" t="s">
        <v>3753</v>
      </c>
      <c r="D825" s="38" t="s">
        <v>12435</v>
      </c>
      <c r="E825" s="44">
        <v>32</v>
      </c>
      <c r="F825" s="45">
        <v>37606</v>
      </c>
      <c r="G825" s="44">
        <v>43</v>
      </c>
      <c r="H825" s="45">
        <v>47727</v>
      </c>
      <c r="I825" s="45">
        <v>1175.1875</v>
      </c>
      <c r="J825" s="45">
        <v>1109.9302325581396</v>
      </c>
      <c r="K825" s="46">
        <v>-5.5529238901758614E-2</v>
      </c>
    </row>
    <row r="826" spans="1:11" x14ac:dyDescent="0.2">
      <c r="A826" s="38" t="s">
        <v>7</v>
      </c>
      <c r="B826" s="38" t="s">
        <v>4198</v>
      </c>
      <c r="C826" s="43" t="s">
        <v>3755</v>
      </c>
      <c r="D826" s="38" t="s">
        <v>12112</v>
      </c>
      <c r="E826" s="44">
        <v>708</v>
      </c>
      <c r="F826" s="45">
        <v>1187704</v>
      </c>
      <c r="G826" s="44">
        <v>627</v>
      </c>
      <c r="H826" s="45">
        <v>975546</v>
      </c>
      <c r="I826" s="45">
        <v>1677.5480225988701</v>
      </c>
      <c r="J826" s="45">
        <v>1555.8947368421052</v>
      </c>
      <c r="K826" s="46">
        <v>-7.2518511612143746E-2</v>
      </c>
    </row>
    <row r="827" spans="1:11" x14ac:dyDescent="0.2">
      <c r="A827" s="38" t="s">
        <v>7</v>
      </c>
      <c r="B827" s="38" t="s">
        <v>4199</v>
      </c>
      <c r="C827" s="43" t="s">
        <v>4200</v>
      </c>
      <c r="D827" s="38" t="s">
        <v>12543</v>
      </c>
      <c r="E827" s="44">
        <v>137</v>
      </c>
      <c r="F827" s="45">
        <v>1123583</v>
      </c>
      <c r="G827" s="44">
        <v>138</v>
      </c>
      <c r="H827" s="45">
        <v>1018551</v>
      </c>
      <c r="I827" s="45">
        <v>8201.3357664233572</v>
      </c>
      <c r="J827" s="45">
        <v>7380.804347826087</v>
      </c>
      <c r="K827" s="46">
        <v>-0.10004850940947489</v>
      </c>
    </row>
    <row r="828" spans="1:11" x14ac:dyDescent="0.2">
      <c r="A828" s="38" t="s">
        <v>7</v>
      </c>
      <c r="B828" s="38" t="s">
        <v>4202</v>
      </c>
      <c r="C828" s="43" t="s">
        <v>3757</v>
      </c>
      <c r="D828" s="38" t="s">
        <v>12436</v>
      </c>
      <c r="E828" s="44">
        <v>23</v>
      </c>
      <c r="F828" s="45">
        <v>25940</v>
      </c>
      <c r="G828" s="44">
        <v>21</v>
      </c>
      <c r="H828" s="45">
        <v>25810</v>
      </c>
      <c r="I828" s="45">
        <v>1127.8260869565217</v>
      </c>
      <c r="J828" s="45">
        <v>1229.047619047619</v>
      </c>
      <c r="K828" s="46">
        <v>8.9749238168667603E-2</v>
      </c>
    </row>
    <row r="829" spans="1:11" x14ac:dyDescent="0.2">
      <c r="A829" s="38" t="s">
        <v>7</v>
      </c>
      <c r="B829" s="38" t="s">
        <v>4203</v>
      </c>
      <c r="C829" s="43" t="s">
        <v>3760</v>
      </c>
      <c r="D829" s="38" t="s">
        <v>12437</v>
      </c>
      <c r="E829" s="44">
        <v>13</v>
      </c>
      <c r="F829" s="45">
        <v>21748</v>
      </c>
      <c r="G829" s="44">
        <v>21</v>
      </c>
      <c r="H829" s="45">
        <v>36579</v>
      </c>
      <c r="I829" s="45">
        <v>1672.9230769230769</v>
      </c>
      <c r="J829" s="45">
        <v>1741.8571428571429</v>
      </c>
      <c r="K829" s="46">
        <v>4.1205759478704147E-2</v>
      </c>
    </row>
    <row r="830" spans="1:11" x14ac:dyDescent="0.2">
      <c r="A830" s="38" t="s">
        <v>7</v>
      </c>
      <c r="B830" s="38" t="s">
        <v>4204</v>
      </c>
      <c r="C830" s="43" t="s">
        <v>3763</v>
      </c>
      <c r="D830" s="38" t="s">
        <v>12438</v>
      </c>
      <c r="G830" s="44">
        <v>2</v>
      </c>
      <c r="H830" s="45">
        <v>2542</v>
      </c>
      <c r="J830" s="45">
        <v>1271</v>
      </c>
    </row>
    <row r="831" spans="1:11" x14ac:dyDescent="0.2">
      <c r="A831" s="38" t="s">
        <v>7</v>
      </c>
      <c r="B831" s="38" t="s">
        <v>4205</v>
      </c>
      <c r="C831" s="43" t="s">
        <v>3769</v>
      </c>
      <c r="D831" s="38" t="s">
        <v>12440</v>
      </c>
      <c r="E831" s="44">
        <v>4</v>
      </c>
      <c r="F831" s="45">
        <v>4020</v>
      </c>
      <c r="G831" s="44">
        <v>6</v>
      </c>
      <c r="H831" s="45">
        <v>5883</v>
      </c>
      <c r="I831" s="45">
        <v>1005</v>
      </c>
      <c r="J831" s="45">
        <v>980.5</v>
      </c>
      <c r="K831" s="46">
        <v>-2.4378109452736319E-2</v>
      </c>
    </row>
    <row r="832" spans="1:11" x14ac:dyDescent="0.2">
      <c r="A832" s="38" t="s">
        <v>7</v>
      </c>
      <c r="B832" s="38" t="s">
        <v>4209</v>
      </c>
      <c r="C832" s="43" t="s">
        <v>4210</v>
      </c>
      <c r="D832" s="38" t="s">
        <v>12544</v>
      </c>
      <c r="E832" s="44">
        <v>13</v>
      </c>
      <c r="F832" s="45">
        <v>174739</v>
      </c>
      <c r="G832" s="44">
        <v>21</v>
      </c>
      <c r="H832" s="45">
        <v>270396</v>
      </c>
      <c r="I832" s="45">
        <v>13441.461538461539</v>
      </c>
      <c r="J832" s="45">
        <v>12876</v>
      </c>
      <c r="K832" s="46">
        <v>-4.2068456383520608E-2</v>
      </c>
    </row>
    <row r="833" spans="1:11" x14ac:dyDescent="0.2">
      <c r="A833" s="38" t="s">
        <v>7</v>
      </c>
      <c r="B833" s="38" t="s">
        <v>4212</v>
      </c>
      <c r="C833" s="43" t="s">
        <v>4213</v>
      </c>
      <c r="G833" s="44">
        <v>5</v>
      </c>
      <c r="H833" s="45">
        <v>9473</v>
      </c>
      <c r="J833" s="45">
        <v>1894.6</v>
      </c>
    </row>
    <row r="834" spans="1:11" x14ac:dyDescent="0.2">
      <c r="A834" s="38" t="s">
        <v>7</v>
      </c>
      <c r="B834" s="38" t="s">
        <v>4219</v>
      </c>
      <c r="C834" s="43" t="s">
        <v>3775</v>
      </c>
      <c r="D834" s="38" t="s">
        <v>12442</v>
      </c>
      <c r="G834" s="44">
        <v>4</v>
      </c>
      <c r="H834" s="45">
        <v>5491</v>
      </c>
      <c r="J834" s="45">
        <v>1372.75</v>
      </c>
    </row>
    <row r="835" spans="1:11" x14ac:dyDescent="0.2">
      <c r="A835" s="38" t="s">
        <v>7</v>
      </c>
      <c r="B835" s="38" t="s">
        <v>4221</v>
      </c>
      <c r="C835" s="43" t="s">
        <v>3778</v>
      </c>
      <c r="D835" s="38" t="s">
        <v>12442</v>
      </c>
      <c r="E835" s="44">
        <v>54</v>
      </c>
      <c r="F835" s="45">
        <v>79864</v>
      </c>
      <c r="G835" s="44">
        <v>75</v>
      </c>
      <c r="H835" s="45">
        <v>108894</v>
      </c>
      <c r="I835" s="45">
        <v>1478.962962962963</v>
      </c>
      <c r="J835" s="45">
        <v>1451.92</v>
      </c>
      <c r="K835" s="46">
        <v>-1.8285084643894629E-2</v>
      </c>
    </row>
    <row r="836" spans="1:11" x14ac:dyDescent="0.2">
      <c r="A836" s="38" t="s">
        <v>7</v>
      </c>
      <c r="B836" s="38" t="s">
        <v>4222</v>
      </c>
      <c r="C836" s="43" t="s">
        <v>3781</v>
      </c>
      <c r="D836" s="38" t="s">
        <v>12443</v>
      </c>
      <c r="E836" s="44">
        <v>60</v>
      </c>
      <c r="F836" s="45">
        <v>139732</v>
      </c>
      <c r="G836" s="44">
        <v>55</v>
      </c>
      <c r="H836" s="45">
        <v>119427</v>
      </c>
      <c r="I836" s="45">
        <v>2328.8666666666668</v>
      </c>
      <c r="J836" s="45">
        <v>2171.4</v>
      </c>
      <c r="K836" s="46">
        <v>-6.7615148999513361E-2</v>
      </c>
    </row>
    <row r="837" spans="1:11" x14ac:dyDescent="0.2">
      <c r="A837" s="38" t="s">
        <v>7</v>
      </c>
      <c r="B837" s="38" t="s">
        <v>4223</v>
      </c>
      <c r="C837" s="43" t="s">
        <v>3784</v>
      </c>
      <c r="D837" s="38" t="s">
        <v>12444</v>
      </c>
      <c r="E837" s="44">
        <v>12</v>
      </c>
      <c r="F837" s="45">
        <v>25760</v>
      </c>
      <c r="G837" s="44">
        <v>7</v>
      </c>
      <c r="H837" s="45">
        <v>14161</v>
      </c>
      <c r="I837" s="45">
        <v>2146.6666666666665</v>
      </c>
      <c r="J837" s="45">
        <v>2023</v>
      </c>
      <c r="K837" s="46">
        <v>-5.7608695652173844E-2</v>
      </c>
    </row>
    <row r="838" spans="1:11" x14ac:dyDescent="0.2">
      <c r="A838" s="38" t="s">
        <v>7</v>
      </c>
      <c r="B838" s="38" t="s">
        <v>4224</v>
      </c>
      <c r="C838" s="43" t="s">
        <v>3787</v>
      </c>
      <c r="D838" s="38" t="s">
        <v>12445</v>
      </c>
      <c r="E838" s="44">
        <v>52</v>
      </c>
      <c r="F838" s="45">
        <v>72658</v>
      </c>
      <c r="G838" s="44">
        <v>40</v>
      </c>
      <c r="H838" s="45">
        <v>55082</v>
      </c>
      <c r="I838" s="45">
        <v>1397.2692307692307</v>
      </c>
      <c r="J838" s="45">
        <v>1377.05</v>
      </c>
      <c r="K838" s="46">
        <v>-1.4470533182856666E-2</v>
      </c>
    </row>
    <row r="839" spans="1:11" x14ac:dyDescent="0.2">
      <c r="A839" s="38" t="s">
        <v>7</v>
      </c>
      <c r="B839" s="38" t="s">
        <v>4225</v>
      </c>
      <c r="C839" s="43" t="s">
        <v>3790</v>
      </c>
      <c r="D839" s="38" t="s">
        <v>12446</v>
      </c>
      <c r="E839" s="44">
        <v>32</v>
      </c>
      <c r="F839" s="45">
        <v>42704</v>
      </c>
      <c r="G839" s="44">
        <v>22</v>
      </c>
      <c r="H839" s="45">
        <v>29764</v>
      </c>
      <c r="I839" s="45">
        <v>1334.5</v>
      </c>
      <c r="J839" s="45">
        <v>1352.909090909091</v>
      </c>
      <c r="K839" s="46">
        <v>1.379474777751292E-2</v>
      </c>
    </row>
    <row r="840" spans="1:11" x14ac:dyDescent="0.2">
      <c r="A840" s="38" t="s">
        <v>7</v>
      </c>
      <c r="B840" s="38" t="s">
        <v>4226</v>
      </c>
      <c r="C840" s="43" t="s">
        <v>4227</v>
      </c>
      <c r="D840" s="38" t="s">
        <v>12545</v>
      </c>
      <c r="G840" s="44">
        <v>3</v>
      </c>
      <c r="H840" s="45">
        <v>4604</v>
      </c>
      <c r="J840" s="45">
        <v>1534.6666666666667</v>
      </c>
    </row>
    <row r="841" spans="1:11" x14ac:dyDescent="0.2">
      <c r="A841" s="38" t="s">
        <v>7</v>
      </c>
      <c r="B841" s="38" t="s">
        <v>4229</v>
      </c>
      <c r="C841" s="43" t="s">
        <v>3793</v>
      </c>
      <c r="D841" s="38" t="s">
        <v>12546</v>
      </c>
      <c r="E841" s="44">
        <v>2</v>
      </c>
      <c r="F841" s="45">
        <v>2511</v>
      </c>
      <c r="G841" s="44">
        <v>2</v>
      </c>
      <c r="H841" s="45">
        <v>2608</v>
      </c>
      <c r="I841" s="45">
        <v>1255.5</v>
      </c>
      <c r="J841" s="45">
        <v>1304</v>
      </c>
      <c r="K841" s="46">
        <v>3.8630027877339705E-2</v>
      </c>
    </row>
    <row r="842" spans="1:11" x14ac:dyDescent="0.2">
      <c r="A842" s="38" t="s">
        <v>7</v>
      </c>
      <c r="B842" s="38" t="s">
        <v>4230</v>
      </c>
      <c r="C842" s="43" t="s">
        <v>3802</v>
      </c>
      <c r="D842" s="38" t="s">
        <v>12449</v>
      </c>
      <c r="E842" s="44">
        <v>46</v>
      </c>
      <c r="F842" s="45">
        <v>64620</v>
      </c>
      <c r="G842" s="44">
        <v>25</v>
      </c>
      <c r="H842" s="45">
        <v>31402</v>
      </c>
      <c r="I842" s="45">
        <v>1404.7826086956522</v>
      </c>
      <c r="J842" s="45">
        <v>1256.08</v>
      </c>
      <c r="K842" s="46">
        <v>-0.10585453419993819</v>
      </c>
    </row>
    <row r="843" spans="1:11" x14ac:dyDescent="0.2">
      <c r="A843" s="38" t="s">
        <v>7</v>
      </c>
      <c r="B843" s="38" t="s">
        <v>4231</v>
      </c>
      <c r="C843" s="43" t="s">
        <v>3805</v>
      </c>
      <c r="D843" s="38" t="s">
        <v>12449</v>
      </c>
      <c r="E843" s="44">
        <v>94</v>
      </c>
      <c r="F843" s="45">
        <v>132766</v>
      </c>
      <c r="G843" s="44">
        <v>118</v>
      </c>
      <c r="H843" s="45">
        <v>161441</v>
      </c>
      <c r="I843" s="45">
        <v>1412.4042553191489</v>
      </c>
      <c r="J843" s="45">
        <v>1368.1440677966102</v>
      </c>
      <c r="K843" s="46">
        <v>-3.1336770160422363E-2</v>
      </c>
    </row>
    <row r="844" spans="1:11" x14ac:dyDescent="0.2">
      <c r="A844" s="38" t="s">
        <v>7</v>
      </c>
      <c r="B844" s="38" t="s">
        <v>4232</v>
      </c>
      <c r="C844" s="43" t="s">
        <v>3808</v>
      </c>
      <c r="D844" s="38" t="s">
        <v>12110</v>
      </c>
      <c r="E844" s="44">
        <v>130</v>
      </c>
      <c r="F844" s="45">
        <v>315958</v>
      </c>
      <c r="G844" s="44">
        <v>112</v>
      </c>
      <c r="H844" s="45">
        <v>253372</v>
      </c>
      <c r="I844" s="45">
        <v>2430.4461538461537</v>
      </c>
      <c r="J844" s="45">
        <v>2262.25</v>
      </c>
      <c r="K844" s="46">
        <v>-6.9203818229005079E-2</v>
      </c>
    </row>
    <row r="845" spans="1:11" x14ac:dyDescent="0.2">
      <c r="A845" s="38" t="s">
        <v>7</v>
      </c>
      <c r="B845" s="38" t="s">
        <v>4233</v>
      </c>
      <c r="C845" s="43" t="s">
        <v>4234</v>
      </c>
      <c r="D845" s="38" t="s">
        <v>12547</v>
      </c>
      <c r="E845" s="44">
        <v>8</v>
      </c>
      <c r="F845" s="45">
        <v>24182</v>
      </c>
      <c r="G845" s="44">
        <v>10</v>
      </c>
      <c r="H845" s="45">
        <v>30682</v>
      </c>
      <c r="I845" s="45">
        <v>3022.75</v>
      </c>
      <c r="J845" s="45">
        <v>3068.2</v>
      </c>
      <c r="K845" s="46">
        <v>1.5035977173103902E-2</v>
      </c>
    </row>
    <row r="846" spans="1:11" x14ac:dyDescent="0.2">
      <c r="A846" s="38" t="s">
        <v>7</v>
      </c>
      <c r="B846" s="38" t="s">
        <v>4239</v>
      </c>
      <c r="C846" s="43" t="s">
        <v>4240</v>
      </c>
      <c r="D846" s="38" t="s">
        <v>12548</v>
      </c>
      <c r="G846" s="44">
        <v>4</v>
      </c>
      <c r="H846" s="45">
        <v>34436</v>
      </c>
      <c r="J846" s="45">
        <v>8609</v>
      </c>
    </row>
    <row r="847" spans="1:11" x14ac:dyDescent="0.2">
      <c r="A847" s="38" t="s">
        <v>7</v>
      </c>
      <c r="B847" s="38" t="s">
        <v>4248</v>
      </c>
      <c r="C847" s="43" t="s">
        <v>4249</v>
      </c>
      <c r="D847" s="38" t="s">
        <v>12549</v>
      </c>
      <c r="G847" s="44">
        <v>1</v>
      </c>
      <c r="H847" s="45">
        <v>8047</v>
      </c>
      <c r="J847" s="45">
        <v>8047</v>
      </c>
    </row>
    <row r="848" spans="1:11" x14ac:dyDescent="0.2">
      <c r="A848" s="38" t="s">
        <v>7</v>
      </c>
      <c r="B848" s="38" t="s">
        <v>4251</v>
      </c>
      <c r="C848" s="43" t="s">
        <v>4252</v>
      </c>
      <c r="D848" s="38" t="s">
        <v>12550</v>
      </c>
      <c r="G848" s="44">
        <v>1</v>
      </c>
      <c r="H848" s="45">
        <v>7810</v>
      </c>
      <c r="J848" s="45">
        <v>7810</v>
      </c>
    </row>
    <row r="849" spans="1:11" x14ac:dyDescent="0.2">
      <c r="A849" s="38" t="s">
        <v>7</v>
      </c>
      <c r="B849" s="38" t="s">
        <v>4254</v>
      </c>
      <c r="C849" s="43" t="s">
        <v>4255</v>
      </c>
      <c r="D849" s="38" t="s">
        <v>12551</v>
      </c>
      <c r="E849" s="44">
        <v>1</v>
      </c>
      <c r="F849" s="45">
        <v>12287</v>
      </c>
      <c r="G849" s="44">
        <v>1</v>
      </c>
      <c r="H849" s="45">
        <v>12287</v>
      </c>
      <c r="I849" s="45">
        <v>12287</v>
      </c>
      <c r="J849" s="45">
        <v>12287</v>
      </c>
      <c r="K849" s="46">
        <v>0</v>
      </c>
    </row>
    <row r="850" spans="1:11" x14ac:dyDescent="0.2">
      <c r="A850" s="38" t="s">
        <v>7</v>
      </c>
      <c r="B850" s="38" t="s">
        <v>4257</v>
      </c>
      <c r="C850" s="43" t="s">
        <v>4258</v>
      </c>
      <c r="D850" s="38" t="s">
        <v>12552</v>
      </c>
      <c r="E850" s="44">
        <v>1</v>
      </c>
      <c r="F850" s="45">
        <v>9894</v>
      </c>
      <c r="G850" s="44">
        <v>1</v>
      </c>
      <c r="H850" s="45">
        <v>9894</v>
      </c>
      <c r="I850" s="45">
        <v>9894</v>
      </c>
      <c r="J850" s="45">
        <v>9894</v>
      </c>
      <c r="K850" s="46">
        <v>0</v>
      </c>
    </row>
    <row r="851" spans="1:11" x14ac:dyDescent="0.2">
      <c r="A851" s="38" t="s">
        <v>7</v>
      </c>
      <c r="B851" s="38" t="s">
        <v>4260</v>
      </c>
      <c r="C851" s="43" t="s">
        <v>4261</v>
      </c>
      <c r="D851" s="38" t="s">
        <v>12553</v>
      </c>
      <c r="E851" s="44">
        <v>1</v>
      </c>
      <c r="F851" s="45">
        <v>6765</v>
      </c>
      <c r="G851" s="44">
        <v>1</v>
      </c>
      <c r="H851" s="45">
        <v>6765</v>
      </c>
      <c r="I851" s="45">
        <v>6765</v>
      </c>
      <c r="J851" s="45">
        <v>6765</v>
      </c>
      <c r="K851" s="46">
        <v>0</v>
      </c>
    </row>
    <row r="852" spans="1:11" x14ac:dyDescent="0.2">
      <c r="A852" s="38" t="s">
        <v>7</v>
      </c>
      <c r="B852" s="38" t="s">
        <v>4263</v>
      </c>
      <c r="C852" s="43" t="s">
        <v>4264</v>
      </c>
      <c r="D852" s="38" t="s">
        <v>12554</v>
      </c>
      <c r="E852" s="44">
        <v>4</v>
      </c>
      <c r="F852" s="45">
        <v>43758</v>
      </c>
      <c r="G852" s="44">
        <v>2</v>
      </c>
      <c r="H852" s="45">
        <v>22292</v>
      </c>
      <c r="I852" s="45">
        <v>10939.5</v>
      </c>
      <c r="J852" s="45">
        <v>11146</v>
      </c>
      <c r="K852" s="46">
        <v>1.8876548288312995E-2</v>
      </c>
    </row>
    <row r="853" spans="1:11" x14ac:dyDescent="0.2">
      <c r="A853" s="38" t="s">
        <v>7</v>
      </c>
      <c r="B853" s="38" t="s">
        <v>4266</v>
      </c>
      <c r="C853" s="43" t="s">
        <v>3811</v>
      </c>
      <c r="D853" s="38" t="s">
        <v>12450</v>
      </c>
      <c r="E853" s="44">
        <v>20</v>
      </c>
      <c r="F853" s="45">
        <v>22988</v>
      </c>
      <c r="G853" s="44">
        <v>14</v>
      </c>
      <c r="H853" s="45">
        <v>16049</v>
      </c>
      <c r="I853" s="45">
        <v>1149.4000000000001</v>
      </c>
      <c r="J853" s="45">
        <v>1146.3571428571429</v>
      </c>
      <c r="K853" s="46">
        <v>-2.6473439558527935E-3</v>
      </c>
    </row>
    <row r="854" spans="1:11" x14ac:dyDescent="0.2">
      <c r="A854" s="38" t="s">
        <v>7</v>
      </c>
      <c r="B854" s="38" t="s">
        <v>4268</v>
      </c>
      <c r="C854" s="43" t="s">
        <v>3815</v>
      </c>
      <c r="D854" s="38" t="s">
        <v>12555</v>
      </c>
      <c r="G854" s="44">
        <v>1</v>
      </c>
      <c r="H854" s="45">
        <v>1107</v>
      </c>
      <c r="J854" s="45">
        <v>1107</v>
      </c>
    </row>
    <row r="855" spans="1:11" x14ac:dyDescent="0.2">
      <c r="A855" s="38" t="s">
        <v>7</v>
      </c>
      <c r="B855" s="38" t="s">
        <v>4272</v>
      </c>
      <c r="C855" s="43" t="s">
        <v>4273</v>
      </c>
      <c r="D855" s="38" t="s">
        <v>12556</v>
      </c>
      <c r="E855" s="44">
        <v>4</v>
      </c>
      <c r="F855" s="45">
        <v>3541</v>
      </c>
      <c r="G855" s="44">
        <v>5</v>
      </c>
      <c r="H855" s="45">
        <v>5740</v>
      </c>
      <c r="I855" s="45">
        <v>885.25</v>
      </c>
      <c r="J855" s="45">
        <v>1148</v>
      </c>
      <c r="K855" s="46">
        <v>0.29680881107031915</v>
      </c>
    </row>
    <row r="856" spans="1:11" x14ac:dyDescent="0.2">
      <c r="A856" s="38" t="s">
        <v>7</v>
      </c>
      <c r="B856" s="38" t="s">
        <v>4275</v>
      </c>
      <c r="C856" s="43" t="s">
        <v>3818</v>
      </c>
      <c r="D856" s="38" t="s">
        <v>12451</v>
      </c>
      <c r="E856" s="44">
        <v>24</v>
      </c>
      <c r="F856" s="45">
        <v>23969</v>
      </c>
      <c r="G856" s="44">
        <v>15</v>
      </c>
      <c r="H856" s="45">
        <v>16828</v>
      </c>
      <c r="I856" s="45">
        <v>998.70833333333337</v>
      </c>
      <c r="J856" s="45">
        <v>1121.8666666666666</v>
      </c>
      <c r="K856" s="46">
        <v>0.12331761859067948</v>
      </c>
    </row>
    <row r="857" spans="1:11" x14ac:dyDescent="0.2">
      <c r="A857" s="38" t="s">
        <v>7</v>
      </c>
      <c r="B857" s="38" t="s">
        <v>4276</v>
      </c>
      <c r="C857" s="43" t="s">
        <v>3827</v>
      </c>
      <c r="D857" s="38" t="s">
        <v>12453</v>
      </c>
      <c r="E857" s="44">
        <v>8</v>
      </c>
      <c r="F857" s="45">
        <v>7404</v>
      </c>
      <c r="G857" s="44">
        <v>5</v>
      </c>
      <c r="H857" s="45">
        <v>5663</v>
      </c>
      <c r="I857" s="45">
        <v>925.5</v>
      </c>
      <c r="J857" s="45">
        <v>1132.5999999999999</v>
      </c>
      <c r="K857" s="46">
        <v>0.22377093462992967</v>
      </c>
    </row>
    <row r="858" spans="1:11" x14ac:dyDescent="0.2">
      <c r="A858" s="38" t="s">
        <v>7</v>
      </c>
      <c r="B858" s="38" t="s">
        <v>4277</v>
      </c>
      <c r="C858" s="43" t="s">
        <v>3830</v>
      </c>
      <c r="D858" s="38" t="s">
        <v>12454</v>
      </c>
      <c r="E858" s="44">
        <v>2</v>
      </c>
      <c r="F858" s="45">
        <v>1894</v>
      </c>
      <c r="G858" s="44">
        <v>3</v>
      </c>
      <c r="H858" s="45">
        <v>2900</v>
      </c>
      <c r="I858" s="45">
        <v>947</v>
      </c>
      <c r="J858" s="45">
        <v>966.66666666666663</v>
      </c>
      <c r="K858" s="46">
        <v>2.0767335445265711E-2</v>
      </c>
    </row>
    <row r="859" spans="1:11" x14ac:dyDescent="0.2">
      <c r="A859" s="38" t="s">
        <v>7</v>
      </c>
      <c r="B859" s="38" t="s">
        <v>4278</v>
      </c>
      <c r="C859" s="43" t="s">
        <v>3833</v>
      </c>
      <c r="D859" s="38" t="s">
        <v>12455</v>
      </c>
      <c r="G859" s="44">
        <v>2</v>
      </c>
      <c r="H859" s="45">
        <v>1676</v>
      </c>
      <c r="J859" s="45">
        <v>838</v>
      </c>
    </row>
    <row r="860" spans="1:11" x14ac:dyDescent="0.2">
      <c r="A860" s="38" t="s">
        <v>7</v>
      </c>
      <c r="B860" s="38" t="s">
        <v>4279</v>
      </c>
      <c r="C860" s="43" t="s">
        <v>3836</v>
      </c>
      <c r="D860" s="38" t="s">
        <v>12456</v>
      </c>
      <c r="E860" s="44">
        <v>198</v>
      </c>
      <c r="F860" s="45">
        <v>290942</v>
      </c>
      <c r="G860" s="44">
        <v>155</v>
      </c>
      <c r="H860" s="45">
        <v>236070</v>
      </c>
      <c r="I860" s="45">
        <v>1469.4040404040404</v>
      </c>
      <c r="J860" s="45">
        <v>1523.0322580645161</v>
      </c>
      <c r="K860" s="46">
        <v>3.6496576969891545E-2</v>
      </c>
    </row>
    <row r="861" spans="1:11" x14ac:dyDescent="0.2">
      <c r="A861" s="38" t="s">
        <v>7</v>
      </c>
      <c r="B861" s="38" t="s">
        <v>4281</v>
      </c>
      <c r="C861" s="43" t="s">
        <v>3842</v>
      </c>
      <c r="D861" s="38" t="s">
        <v>12458</v>
      </c>
      <c r="E861" s="44">
        <v>12</v>
      </c>
      <c r="F861" s="45">
        <v>15332</v>
      </c>
      <c r="G861" s="44">
        <v>11</v>
      </c>
      <c r="H861" s="45">
        <v>14171</v>
      </c>
      <c r="I861" s="45">
        <v>1277.6666666666667</v>
      </c>
      <c r="J861" s="45">
        <v>1288.2727272727273</v>
      </c>
      <c r="K861" s="46">
        <v>8.3011170931858932E-3</v>
      </c>
    </row>
    <row r="862" spans="1:11" x14ac:dyDescent="0.2">
      <c r="A862" s="38" t="s">
        <v>7</v>
      </c>
      <c r="B862" s="38" t="s">
        <v>4282</v>
      </c>
      <c r="C862" s="43" t="s">
        <v>3845</v>
      </c>
      <c r="D862" s="38" t="s">
        <v>12459</v>
      </c>
      <c r="E862" s="44">
        <v>4</v>
      </c>
      <c r="F862" s="45">
        <v>5567</v>
      </c>
      <c r="G862" s="44">
        <v>8</v>
      </c>
      <c r="H862" s="45">
        <v>10464</v>
      </c>
      <c r="I862" s="45">
        <v>1391.75</v>
      </c>
      <c r="J862" s="45">
        <v>1308</v>
      </c>
      <c r="K862" s="46">
        <v>-6.0176037363032155E-2</v>
      </c>
    </row>
    <row r="863" spans="1:11" x14ac:dyDescent="0.2">
      <c r="A863" s="38" t="s">
        <v>7</v>
      </c>
      <c r="B863" s="38" t="s">
        <v>4284</v>
      </c>
      <c r="C863" s="43" t="s">
        <v>3847</v>
      </c>
      <c r="D863" s="38" t="s">
        <v>12460</v>
      </c>
      <c r="E863" s="44">
        <v>37</v>
      </c>
      <c r="F863" s="45">
        <v>54030</v>
      </c>
      <c r="G863" s="44">
        <v>27</v>
      </c>
      <c r="H863" s="45">
        <v>36970</v>
      </c>
      <c r="I863" s="45">
        <v>1460.2702702702702</v>
      </c>
      <c r="J863" s="45">
        <v>1369.2592592592594</v>
      </c>
      <c r="K863" s="46">
        <v>-6.2324771560381298E-2</v>
      </c>
    </row>
    <row r="864" spans="1:11" x14ac:dyDescent="0.2">
      <c r="A864" s="38" t="s">
        <v>7</v>
      </c>
      <c r="B864" s="38" t="s">
        <v>4285</v>
      </c>
      <c r="C864" s="43" t="s">
        <v>3853</v>
      </c>
      <c r="D864" s="38" t="s">
        <v>12462</v>
      </c>
      <c r="G864" s="44">
        <v>10</v>
      </c>
      <c r="H864" s="45">
        <v>10949</v>
      </c>
      <c r="J864" s="45">
        <v>1094.9000000000001</v>
      </c>
    </row>
    <row r="865" spans="1:11" x14ac:dyDescent="0.2">
      <c r="A865" s="38" t="s">
        <v>7</v>
      </c>
      <c r="B865" s="38" t="s">
        <v>4286</v>
      </c>
      <c r="C865" s="43" t="s">
        <v>3856</v>
      </c>
      <c r="D865" s="38" t="s">
        <v>12463</v>
      </c>
      <c r="G865" s="44">
        <v>4</v>
      </c>
      <c r="H865" s="45">
        <v>4868</v>
      </c>
      <c r="J865" s="45">
        <v>1217</v>
      </c>
    </row>
    <row r="866" spans="1:11" x14ac:dyDescent="0.2">
      <c r="A866" s="38" t="s">
        <v>7</v>
      </c>
      <c r="B866" s="38" t="s">
        <v>4287</v>
      </c>
      <c r="C866" s="43" t="s">
        <v>3859</v>
      </c>
      <c r="D866" s="38" t="s">
        <v>12464</v>
      </c>
      <c r="E866" s="44">
        <v>58</v>
      </c>
      <c r="F866" s="45">
        <v>84440</v>
      </c>
      <c r="G866" s="44">
        <v>61</v>
      </c>
      <c r="H866" s="45">
        <v>83879</v>
      </c>
      <c r="I866" s="45">
        <v>1455.8620689655172</v>
      </c>
      <c r="J866" s="45">
        <v>1375.0655737704917</v>
      </c>
      <c r="K866" s="46">
        <v>-5.5497355771097573E-2</v>
      </c>
    </row>
    <row r="867" spans="1:11" x14ac:dyDescent="0.2">
      <c r="A867" s="38" t="s">
        <v>7</v>
      </c>
      <c r="B867" s="38" t="s">
        <v>4289</v>
      </c>
      <c r="C867" s="43" t="s">
        <v>3865</v>
      </c>
      <c r="D867" s="38" t="s">
        <v>12466</v>
      </c>
      <c r="E867" s="44">
        <v>8</v>
      </c>
      <c r="F867" s="45">
        <v>5375</v>
      </c>
      <c r="G867" s="44">
        <v>7</v>
      </c>
      <c r="H867" s="45">
        <v>4631</v>
      </c>
      <c r="I867" s="45">
        <v>671.875</v>
      </c>
      <c r="J867" s="45">
        <v>661.57142857142856</v>
      </c>
      <c r="K867" s="46">
        <v>-1.5335548172757498E-2</v>
      </c>
    </row>
    <row r="868" spans="1:11" x14ac:dyDescent="0.2">
      <c r="A868" s="38" t="s">
        <v>7</v>
      </c>
      <c r="B868" s="38" t="s">
        <v>4290</v>
      </c>
      <c r="C868" s="43" t="s">
        <v>3868</v>
      </c>
      <c r="D868" s="38" t="s">
        <v>12467</v>
      </c>
      <c r="E868" s="44">
        <v>151</v>
      </c>
      <c r="F868" s="45">
        <v>168550</v>
      </c>
      <c r="G868" s="44">
        <v>128</v>
      </c>
      <c r="H868" s="45">
        <v>138420</v>
      </c>
      <c r="I868" s="45">
        <v>1116.2251655629138</v>
      </c>
      <c r="J868" s="45">
        <v>1081.40625</v>
      </c>
      <c r="K868" s="46">
        <v>-3.1193451498071734E-2</v>
      </c>
    </row>
    <row r="869" spans="1:11" x14ac:dyDescent="0.2">
      <c r="A869" s="38" t="s">
        <v>7</v>
      </c>
      <c r="B869" s="38" t="s">
        <v>4291</v>
      </c>
      <c r="C869" s="43" t="s">
        <v>3871</v>
      </c>
      <c r="D869" s="38" t="s">
        <v>12468</v>
      </c>
      <c r="E869" s="44">
        <v>23</v>
      </c>
      <c r="F869" s="45">
        <v>23105</v>
      </c>
      <c r="G869" s="44">
        <v>30</v>
      </c>
      <c r="H869" s="45">
        <v>27479</v>
      </c>
      <c r="I869" s="45">
        <v>1004.5652173913044</v>
      </c>
      <c r="J869" s="45">
        <v>915.9666666666667</v>
      </c>
      <c r="K869" s="46">
        <v>-8.8195917189641482E-2</v>
      </c>
    </row>
    <row r="870" spans="1:11" x14ac:dyDescent="0.2">
      <c r="A870" s="38" t="s">
        <v>7</v>
      </c>
      <c r="B870" s="38" t="s">
        <v>4292</v>
      </c>
      <c r="C870" s="43" t="s">
        <v>4293</v>
      </c>
      <c r="D870" s="38" t="s">
        <v>12557</v>
      </c>
      <c r="G870" s="44">
        <v>3</v>
      </c>
      <c r="H870" s="45">
        <v>19287</v>
      </c>
      <c r="J870" s="45">
        <v>6429</v>
      </c>
    </row>
    <row r="871" spans="1:11" x14ac:dyDescent="0.2">
      <c r="A871" s="38" t="s">
        <v>7</v>
      </c>
      <c r="B871" s="38" t="s">
        <v>4298</v>
      </c>
      <c r="C871" s="43" t="s">
        <v>4299</v>
      </c>
      <c r="D871" s="38" t="s">
        <v>12470</v>
      </c>
      <c r="E871" s="44">
        <v>158</v>
      </c>
      <c r="F871" s="45">
        <v>222912</v>
      </c>
      <c r="G871" s="44">
        <v>129</v>
      </c>
      <c r="H871" s="45">
        <v>214264</v>
      </c>
      <c r="I871" s="45">
        <v>1410.8354430379748</v>
      </c>
      <c r="J871" s="45">
        <v>1660.9612403100775</v>
      </c>
      <c r="K871" s="46">
        <v>0.177289136381138</v>
      </c>
    </row>
    <row r="872" spans="1:11" x14ac:dyDescent="0.2">
      <c r="A872" s="38" t="s">
        <v>7</v>
      </c>
      <c r="B872" s="38" t="s">
        <v>4300</v>
      </c>
      <c r="C872" s="43" t="s">
        <v>3883</v>
      </c>
      <c r="D872" s="38" t="s">
        <v>12471</v>
      </c>
      <c r="E872" s="44">
        <v>3</v>
      </c>
      <c r="F872" s="45">
        <v>3745</v>
      </c>
      <c r="G872" s="44">
        <v>7</v>
      </c>
      <c r="H872" s="45">
        <v>9409</v>
      </c>
      <c r="I872" s="45">
        <v>1248.3333333333333</v>
      </c>
      <c r="J872" s="45">
        <v>1344.1428571428571</v>
      </c>
      <c r="K872" s="46">
        <v>7.6749952317375594E-2</v>
      </c>
    </row>
    <row r="873" spans="1:11" x14ac:dyDescent="0.2">
      <c r="A873" s="38" t="s">
        <v>7</v>
      </c>
      <c r="B873" s="38" t="s">
        <v>4301</v>
      </c>
      <c r="C873" s="43" t="s">
        <v>3892</v>
      </c>
      <c r="D873" s="38" t="s">
        <v>12473</v>
      </c>
      <c r="E873" s="44">
        <v>12</v>
      </c>
      <c r="F873" s="45">
        <v>13764</v>
      </c>
      <c r="G873" s="44">
        <v>11</v>
      </c>
      <c r="H873" s="45">
        <v>15056</v>
      </c>
      <c r="I873" s="45">
        <v>1147</v>
      </c>
      <c r="J873" s="45">
        <v>1368.7272727272727</v>
      </c>
      <c r="K873" s="46">
        <v>0.19331061266545138</v>
      </c>
    </row>
    <row r="874" spans="1:11" x14ac:dyDescent="0.2">
      <c r="A874" s="38" t="s">
        <v>7</v>
      </c>
      <c r="B874" s="38" t="s">
        <v>4302</v>
      </c>
      <c r="C874" s="43" t="s">
        <v>3898</v>
      </c>
      <c r="D874" s="38" t="s">
        <v>12475</v>
      </c>
      <c r="E874" s="44">
        <v>184</v>
      </c>
      <c r="F874" s="45">
        <v>232253</v>
      </c>
      <c r="G874" s="44">
        <v>179</v>
      </c>
      <c r="H874" s="45">
        <v>215924</v>
      </c>
      <c r="I874" s="45">
        <v>1262.2445652173913</v>
      </c>
      <c r="J874" s="45">
        <v>1206.2793296089385</v>
      </c>
      <c r="K874" s="46">
        <v>-4.4337870132809085E-2</v>
      </c>
    </row>
    <row r="875" spans="1:11" x14ac:dyDescent="0.2">
      <c r="A875" s="38" t="s">
        <v>7</v>
      </c>
      <c r="B875" s="38" t="s">
        <v>4304</v>
      </c>
      <c r="C875" s="43" t="s">
        <v>3901</v>
      </c>
      <c r="D875" s="38" t="s">
        <v>12476</v>
      </c>
      <c r="E875" s="44">
        <v>87</v>
      </c>
      <c r="F875" s="45">
        <v>160149</v>
      </c>
      <c r="G875" s="44">
        <v>140</v>
      </c>
      <c r="H875" s="45">
        <v>266532</v>
      </c>
      <c r="I875" s="45">
        <v>1840.7931034482758</v>
      </c>
      <c r="J875" s="45">
        <v>1903.8</v>
      </c>
      <c r="K875" s="46">
        <v>3.4228125058539234E-2</v>
      </c>
    </row>
    <row r="876" spans="1:11" x14ac:dyDescent="0.2">
      <c r="A876" s="38" t="s">
        <v>7</v>
      </c>
      <c r="B876" s="38" t="s">
        <v>4305</v>
      </c>
      <c r="C876" s="43" t="s">
        <v>3895</v>
      </c>
      <c r="D876" s="38" t="s">
        <v>12474</v>
      </c>
      <c r="G876" s="44">
        <v>9</v>
      </c>
      <c r="H876" s="45">
        <v>6660</v>
      </c>
      <c r="J876" s="45">
        <v>740</v>
      </c>
    </row>
    <row r="877" spans="1:11" x14ac:dyDescent="0.2">
      <c r="A877" s="38" t="s">
        <v>7</v>
      </c>
      <c r="B877" s="38" t="s">
        <v>4307</v>
      </c>
      <c r="C877" s="43" t="s">
        <v>3907</v>
      </c>
      <c r="D877" s="38" t="s">
        <v>12478</v>
      </c>
      <c r="E877" s="44">
        <v>16</v>
      </c>
      <c r="F877" s="45">
        <v>17457</v>
      </c>
      <c r="G877" s="44">
        <v>24</v>
      </c>
      <c r="H877" s="45">
        <v>26564</v>
      </c>
      <c r="I877" s="45">
        <v>1091.0625</v>
      </c>
      <c r="J877" s="45">
        <v>1106.8333333333333</v>
      </c>
      <c r="K877" s="46">
        <v>1.4454564549082439E-2</v>
      </c>
    </row>
    <row r="878" spans="1:11" x14ac:dyDescent="0.2">
      <c r="A878" s="38" t="s">
        <v>7</v>
      </c>
      <c r="B878" s="38" t="s">
        <v>4308</v>
      </c>
      <c r="C878" s="43" t="s">
        <v>3913</v>
      </c>
      <c r="D878" s="38" t="s">
        <v>12480</v>
      </c>
      <c r="E878" s="44">
        <v>8</v>
      </c>
      <c r="F878" s="45">
        <v>8727</v>
      </c>
      <c r="G878" s="44">
        <v>10</v>
      </c>
      <c r="H878" s="45">
        <v>11220</v>
      </c>
      <c r="I878" s="45">
        <v>1090.875</v>
      </c>
      <c r="J878" s="45">
        <v>1122</v>
      </c>
      <c r="K878" s="46">
        <v>2.8532141629425918E-2</v>
      </c>
    </row>
    <row r="879" spans="1:11" x14ac:dyDescent="0.2">
      <c r="A879" s="38" t="s">
        <v>7</v>
      </c>
      <c r="B879" s="38" t="s">
        <v>4309</v>
      </c>
      <c r="C879" s="43" t="s">
        <v>3916</v>
      </c>
      <c r="D879" s="38" t="s">
        <v>12481</v>
      </c>
      <c r="E879" s="44">
        <v>103</v>
      </c>
      <c r="F879" s="45">
        <v>175050</v>
      </c>
      <c r="G879" s="44">
        <v>69</v>
      </c>
      <c r="H879" s="45">
        <v>113226</v>
      </c>
      <c r="I879" s="45">
        <v>1699.514563106796</v>
      </c>
      <c r="J879" s="45">
        <v>1640.9565217391305</v>
      </c>
      <c r="K879" s="46">
        <v>-3.4455745563379311E-2</v>
      </c>
    </row>
    <row r="880" spans="1:11" x14ac:dyDescent="0.2">
      <c r="A880" s="38" t="s">
        <v>7</v>
      </c>
      <c r="B880" s="38" t="s">
        <v>4310</v>
      </c>
      <c r="C880" s="43" t="s">
        <v>3919</v>
      </c>
      <c r="D880" s="38" t="s">
        <v>12482</v>
      </c>
      <c r="E880" s="44">
        <v>12</v>
      </c>
      <c r="F880" s="45">
        <v>9920</v>
      </c>
      <c r="G880" s="44">
        <v>13</v>
      </c>
      <c r="H880" s="45">
        <v>9243</v>
      </c>
      <c r="I880" s="45">
        <v>826.66666666666663</v>
      </c>
      <c r="J880" s="45">
        <v>711</v>
      </c>
      <c r="K880" s="46">
        <v>-0.13991935483870963</v>
      </c>
    </row>
    <row r="881" spans="1:11" x14ac:dyDescent="0.2">
      <c r="A881" s="38" t="s">
        <v>7</v>
      </c>
      <c r="B881" s="38" t="s">
        <v>4312</v>
      </c>
      <c r="C881" s="43" t="s">
        <v>3922</v>
      </c>
      <c r="D881" s="38" t="s">
        <v>12483</v>
      </c>
      <c r="E881" s="44">
        <v>319</v>
      </c>
      <c r="F881" s="45">
        <v>368500</v>
      </c>
      <c r="G881" s="44">
        <v>209</v>
      </c>
      <c r="H881" s="45">
        <v>230643</v>
      </c>
      <c r="I881" s="45">
        <v>1155.1724137931035</v>
      </c>
      <c r="J881" s="45">
        <v>1103.5550239234449</v>
      </c>
      <c r="K881" s="46">
        <v>-4.4683710633435812E-2</v>
      </c>
    </row>
    <row r="882" spans="1:11" x14ac:dyDescent="0.2">
      <c r="A882" s="38" t="s">
        <v>7</v>
      </c>
      <c r="B882" s="38" t="s">
        <v>4314</v>
      </c>
      <c r="C882" s="43" t="s">
        <v>3925</v>
      </c>
      <c r="D882" s="38" t="s">
        <v>12484</v>
      </c>
      <c r="E882" s="44">
        <v>4</v>
      </c>
      <c r="F882" s="45">
        <v>2799</v>
      </c>
      <c r="G882" s="44">
        <v>5</v>
      </c>
      <c r="H882" s="45">
        <v>3705</v>
      </c>
      <c r="I882" s="45">
        <v>699.75</v>
      </c>
      <c r="J882" s="45">
        <v>741</v>
      </c>
      <c r="K882" s="46">
        <v>5.8949624866023578E-2</v>
      </c>
    </row>
    <row r="883" spans="1:11" x14ac:dyDescent="0.2">
      <c r="A883" s="38" t="s">
        <v>7</v>
      </c>
      <c r="B883" s="38" t="s">
        <v>4316</v>
      </c>
      <c r="C883" s="43" t="s">
        <v>3928</v>
      </c>
      <c r="D883" s="38" t="s">
        <v>12485</v>
      </c>
      <c r="E883" s="44">
        <v>15</v>
      </c>
      <c r="F883" s="45">
        <v>15031</v>
      </c>
      <c r="G883" s="44">
        <v>14</v>
      </c>
      <c r="H883" s="45">
        <v>15012</v>
      </c>
      <c r="I883" s="45">
        <v>1002.0666666666667</v>
      </c>
      <c r="J883" s="45">
        <v>1072.2857142857142</v>
      </c>
      <c r="K883" s="46">
        <v>7.0074227548780024E-2</v>
      </c>
    </row>
    <row r="884" spans="1:11" x14ac:dyDescent="0.2">
      <c r="A884" s="38" t="s">
        <v>7</v>
      </c>
      <c r="B884" s="38" t="s">
        <v>4317</v>
      </c>
      <c r="C884" s="43" t="s">
        <v>4318</v>
      </c>
      <c r="D884" s="38" t="s">
        <v>12558</v>
      </c>
      <c r="G884" s="44">
        <v>3</v>
      </c>
      <c r="H884" s="45">
        <v>17331</v>
      </c>
      <c r="J884" s="45">
        <v>5777</v>
      </c>
    </row>
    <row r="885" spans="1:11" x14ac:dyDescent="0.2">
      <c r="A885" s="38" t="s">
        <v>7</v>
      </c>
      <c r="B885" s="38" t="s">
        <v>4320</v>
      </c>
      <c r="C885" s="43" t="s">
        <v>4321</v>
      </c>
      <c r="D885" s="38" t="s">
        <v>12559</v>
      </c>
      <c r="G885" s="44">
        <v>2</v>
      </c>
      <c r="H885" s="45">
        <v>16960</v>
      </c>
      <c r="J885" s="45">
        <v>8480</v>
      </c>
    </row>
    <row r="886" spans="1:11" x14ac:dyDescent="0.2">
      <c r="A886" s="38" t="s">
        <v>7</v>
      </c>
      <c r="B886" s="38" t="s">
        <v>4323</v>
      </c>
      <c r="C886" s="43" t="s">
        <v>3931</v>
      </c>
      <c r="D886" s="38" t="s">
        <v>12486</v>
      </c>
      <c r="E886" s="44">
        <v>25</v>
      </c>
      <c r="F886" s="45">
        <v>22905</v>
      </c>
      <c r="G886" s="44">
        <v>19</v>
      </c>
      <c r="H886" s="45">
        <v>14234</v>
      </c>
      <c r="I886" s="45">
        <v>916.2</v>
      </c>
      <c r="J886" s="45">
        <v>749.15789473684208</v>
      </c>
      <c r="K886" s="46">
        <v>-0.18232056894036014</v>
      </c>
    </row>
    <row r="887" spans="1:11" x14ac:dyDescent="0.2">
      <c r="A887" s="38" t="s">
        <v>7</v>
      </c>
      <c r="B887" s="38" t="s">
        <v>4325</v>
      </c>
      <c r="C887" s="43" t="s">
        <v>4326</v>
      </c>
      <c r="D887" s="38" t="s">
        <v>12560</v>
      </c>
      <c r="E887" s="44">
        <v>34</v>
      </c>
      <c r="F887" s="45">
        <v>351414</v>
      </c>
      <c r="G887" s="44">
        <v>15</v>
      </c>
      <c r="H887" s="45">
        <v>134580</v>
      </c>
      <c r="I887" s="45">
        <v>10335.705882352941</v>
      </c>
      <c r="J887" s="45">
        <v>8972</v>
      </c>
      <c r="K887" s="46">
        <v>-0.13194124309219321</v>
      </c>
    </row>
    <row r="888" spans="1:11" x14ac:dyDescent="0.2">
      <c r="A888" s="38" t="s">
        <v>7</v>
      </c>
      <c r="B888" s="38" t="s">
        <v>4331</v>
      </c>
      <c r="C888" s="43" t="s">
        <v>4332</v>
      </c>
      <c r="D888" s="38" t="s">
        <v>12561</v>
      </c>
      <c r="E888" s="44">
        <v>122</v>
      </c>
      <c r="F888" s="45">
        <v>2371622</v>
      </c>
      <c r="G888" s="44">
        <v>98</v>
      </c>
      <c r="H888" s="45">
        <v>1706460</v>
      </c>
      <c r="I888" s="45">
        <v>19439.524590163935</v>
      </c>
      <c r="J888" s="45">
        <v>17412.857142857141</v>
      </c>
      <c r="K888" s="46">
        <v>-0.10425499028573225</v>
      </c>
    </row>
    <row r="889" spans="1:11" x14ac:dyDescent="0.2">
      <c r="A889" s="38" t="s">
        <v>7</v>
      </c>
      <c r="B889" s="38" t="s">
        <v>4334</v>
      </c>
      <c r="C889" s="43" t="s">
        <v>4335</v>
      </c>
      <c r="D889" s="38" t="s">
        <v>12562</v>
      </c>
      <c r="E889" s="44">
        <v>112</v>
      </c>
      <c r="F889" s="45">
        <v>2533872</v>
      </c>
      <c r="G889" s="44">
        <v>114</v>
      </c>
      <c r="H889" s="45">
        <v>2224622</v>
      </c>
      <c r="I889" s="45">
        <v>22623.857142857141</v>
      </c>
      <c r="J889" s="45">
        <v>19514.228070175439</v>
      </c>
      <c r="K889" s="46">
        <v>-0.13744911192844417</v>
      </c>
    </row>
    <row r="890" spans="1:11" x14ac:dyDescent="0.2">
      <c r="A890" s="38" t="s">
        <v>7</v>
      </c>
      <c r="B890" s="38" t="s">
        <v>4337</v>
      </c>
      <c r="C890" s="43" t="s">
        <v>4338</v>
      </c>
      <c r="D890" s="38" t="s">
        <v>12563</v>
      </c>
      <c r="E890" s="44">
        <v>91</v>
      </c>
      <c r="F890" s="45">
        <v>1956521</v>
      </c>
      <c r="G890" s="44">
        <v>72</v>
      </c>
      <c r="H890" s="45">
        <v>1280845</v>
      </c>
      <c r="I890" s="45">
        <v>21500.23076923077</v>
      </c>
      <c r="J890" s="45">
        <v>17789.513888888891</v>
      </c>
      <c r="K890" s="46">
        <v>-0.17258963032398375</v>
      </c>
    </row>
    <row r="891" spans="1:11" x14ac:dyDescent="0.2">
      <c r="A891" s="38" t="s">
        <v>7</v>
      </c>
      <c r="B891" s="38" t="s">
        <v>4340</v>
      </c>
      <c r="C891" s="43" t="s">
        <v>4341</v>
      </c>
      <c r="D891" s="38" t="s">
        <v>12564</v>
      </c>
      <c r="E891" s="44">
        <v>10</v>
      </c>
      <c r="F891" s="45">
        <v>7378</v>
      </c>
      <c r="G891" s="44">
        <v>4</v>
      </c>
      <c r="H891" s="45">
        <v>3088</v>
      </c>
      <c r="I891" s="45">
        <v>737.8</v>
      </c>
      <c r="J891" s="45">
        <v>772</v>
      </c>
      <c r="K891" s="46">
        <v>4.6354025481160271E-2</v>
      </c>
    </row>
    <row r="892" spans="1:11" x14ac:dyDescent="0.2">
      <c r="A892" s="38" t="s">
        <v>7</v>
      </c>
      <c r="B892" s="38" t="s">
        <v>4344</v>
      </c>
      <c r="C892" s="43" t="s">
        <v>4345</v>
      </c>
      <c r="D892" s="38" t="s">
        <v>12565</v>
      </c>
      <c r="E892" s="44">
        <v>1163</v>
      </c>
      <c r="F892" s="45">
        <v>1661940</v>
      </c>
      <c r="G892" s="44">
        <v>992</v>
      </c>
      <c r="H892" s="45">
        <v>1364021</v>
      </c>
      <c r="I892" s="45">
        <v>1429.0111779879621</v>
      </c>
      <c r="J892" s="45">
        <v>1375.0211693548388</v>
      </c>
      <c r="K892" s="46">
        <v>-3.7781376006548045E-2</v>
      </c>
    </row>
    <row r="893" spans="1:11" x14ac:dyDescent="0.2">
      <c r="A893" s="38" t="s">
        <v>7</v>
      </c>
      <c r="B893" s="38" t="s">
        <v>4347</v>
      </c>
      <c r="C893" s="43" t="s">
        <v>4348</v>
      </c>
      <c r="D893" s="38" t="s">
        <v>12566</v>
      </c>
      <c r="E893" s="44">
        <v>79</v>
      </c>
      <c r="F893" s="45">
        <v>71864</v>
      </c>
      <c r="G893" s="44">
        <v>52</v>
      </c>
      <c r="H893" s="45">
        <v>54488</v>
      </c>
      <c r="I893" s="45">
        <v>909.6708860759494</v>
      </c>
      <c r="J893" s="45">
        <v>1047.8461538461538</v>
      </c>
      <c r="K893" s="46">
        <v>0.15189588881562602</v>
      </c>
    </row>
    <row r="894" spans="1:11" x14ac:dyDescent="0.2">
      <c r="A894" s="38" t="s">
        <v>7</v>
      </c>
      <c r="B894" s="38" t="s">
        <v>4350</v>
      </c>
      <c r="C894" s="43" t="s">
        <v>2451</v>
      </c>
      <c r="D894" s="38" t="s">
        <v>12567</v>
      </c>
      <c r="E894" s="44">
        <v>53</v>
      </c>
      <c r="F894" s="45">
        <v>221820</v>
      </c>
      <c r="G894" s="44">
        <v>59</v>
      </c>
      <c r="H894" s="45">
        <v>250929</v>
      </c>
      <c r="I894" s="45">
        <v>4185.2830188679245</v>
      </c>
      <c r="J894" s="45">
        <v>4253.0338983050851</v>
      </c>
      <c r="K894" s="46">
        <v>1.6187884817282089E-2</v>
      </c>
    </row>
    <row r="895" spans="1:11" x14ac:dyDescent="0.2">
      <c r="A895" s="38" t="s">
        <v>7</v>
      </c>
      <c r="B895" s="38" t="s">
        <v>4352</v>
      </c>
      <c r="C895" s="43" t="s">
        <v>4353</v>
      </c>
      <c r="D895" s="38" t="s">
        <v>12568</v>
      </c>
      <c r="E895" s="44">
        <v>44</v>
      </c>
      <c r="F895" s="45">
        <v>162168</v>
      </c>
      <c r="G895" s="44">
        <v>41</v>
      </c>
      <c r="H895" s="45">
        <v>153041</v>
      </c>
      <c r="I895" s="45">
        <v>3685.6363636363635</v>
      </c>
      <c r="J895" s="45">
        <v>3732.7073170731705</v>
      </c>
      <c r="K895" s="46">
        <v>1.2771458926665615E-2</v>
      </c>
    </row>
    <row r="896" spans="1:11" x14ac:dyDescent="0.2">
      <c r="A896" s="38" t="s">
        <v>7</v>
      </c>
      <c r="B896" s="38" t="s">
        <v>4355</v>
      </c>
      <c r="C896" s="43" t="s">
        <v>4356</v>
      </c>
      <c r="D896" s="38" t="s">
        <v>12569</v>
      </c>
      <c r="E896" s="44">
        <v>74</v>
      </c>
      <c r="F896" s="45">
        <v>237197</v>
      </c>
      <c r="G896" s="44">
        <v>78</v>
      </c>
      <c r="H896" s="45">
        <v>237009</v>
      </c>
      <c r="I896" s="45">
        <v>3205.364864864865</v>
      </c>
      <c r="J896" s="45">
        <v>3038.5769230769229</v>
      </c>
      <c r="K896" s="46">
        <v>-5.2033995760096957E-2</v>
      </c>
    </row>
    <row r="897" spans="1:11" x14ac:dyDescent="0.2">
      <c r="A897" s="38" t="s">
        <v>7</v>
      </c>
      <c r="B897" s="38" t="s">
        <v>4358</v>
      </c>
      <c r="C897" s="43" t="s">
        <v>4359</v>
      </c>
      <c r="D897" s="38" t="s">
        <v>12570</v>
      </c>
      <c r="E897" s="44">
        <v>134</v>
      </c>
      <c r="F897" s="45">
        <v>328277</v>
      </c>
      <c r="G897" s="44">
        <v>109</v>
      </c>
      <c r="H897" s="45">
        <v>241462</v>
      </c>
      <c r="I897" s="45">
        <v>2449.8283582089553</v>
      </c>
      <c r="J897" s="45">
        <v>2215.2477064220184</v>
      </c>
      <c r="K897" s="46">
        <v>-9.575391312656549E-2</v>
      </c>
    </row>
    <row r="898" spans="1:11" x14ac:dyDescent="0.2">
      <c r="A898" s="38" t="s">
        <v>7</v>
      </c>
      <c r="B898" s="38" t="s">
        <v>4361</v>
      </c>
      <c r="C898" s="43" t="s">
        <v>4362</v>
      </c>
      <c r="D898" s="38" t="s">
        <v>12571</v>
      </c>
      <c r="E898" s="44">
        <v>180</v>
      </c>
      <c r="F898" s="45">
        <v>624888</v>
      </c>
      <c r="G898" s="44">
        <v>162</v>
      </c>
      <c r="H898" s="45">
        <v>491746</v>
      </c>
      <c r="I898" s="45">
        <v>3471.6</v>
      </c>
      <c r="J898" s="45">
        <v>3035.4691358024693</v>
      </c>
      <c r="K898" s="46">
        <v>-0.12562820146259093</v>
      </c>
    </row>
    <row r="899" spans="1:11" x14ac:dyDescent="0.2">
      <c r="A899" s="38" t="s">
        <v>7</v>
      </c>
      <c r="B899" s="38" t="s">
        <v>4364</v>
      </c>
      <c r="C899" s="43" t="s">
        <v>4365</v>
      </c>
      <c r="D899" s="38" t="s">
        <v>12572</v>
      </c>
      <c r="E899" s="44">
        <v>4</v>
      </c>
      <c r="F899" s="45">
        <v>5840</v>
      </c>
      <c r="G899" s="44">
        <v>1</v>
      </c>
      <c r="H899" s="45">
        <v>1516</v>
      </c>
      <c r="I899" s="45">
        <v>1460</v>
      </c>
      <c r="J899" s="45">
        <v>1516</v>
      </c>
      <c r="K899" s="46">
        <v>3.8356164383561646E-2</v>
      </c>
    </row>
    <row r="900" spans="1:11" x14ac:dyDescent="0.2">
      <c r="A900" s="38" t="s">
        <v>7</v>
      </c>
      <c r="B900" s="38" t="s">
        <v>4367</v>
      </c>
      <c r="C900" s="43" t="s">
        <v>4368</v>
      </c>
      <c r="D900" s="38" t="s">
        <v>12573</v>
      </c>
      <c r="E900" s="44">
        <v>45</v>
      </c>
      <c r="F900" s="45">
        <v>63605</v>
      </c>
      <c r="G900" s="44">
        <v>318</v>
      </c>
      <c r="H900" s="45">
        <v>427830</v>
      </c>
      <c r="I900" s="45">
        <v>1413.4444444444443</v>
      </c>
      <c r="J900" s="45">
        <v>1345.3773584905659</v>
      </c>
      <c r="K900" s="46">
        <v>-4.8156888105094386E-2</v>
      </c>
    </row>
    <row r="901" spans="1:11" x14ac:dyDescent="0.2">
      <c r="A901" s="38" t="s">
        <v>7</v>
      </c>
      <c r="B901" s="38" t="s">
        <v>4370</v>
      </c>
      <c r="C901" s="43" t="s">
        <v>4371</v>
      </c>
      <c r="D901" s="38" t="s">
        <v>12574</v>
      </c>
      <c r="E901" s="44">
        <v>765</v>
      </c>
      <c r="F901" s="45">
        <v>1443159</v>
      </c>
      <c r="G901" s="44">
        <v>318</v>
      </c>
      <c r="H901" s="45">
        <v>568722</v>
      </c>
      <c r="I901" s="45">
        <v>1886.4823529411765</v>
      </c>
      <c r="J901" s="45">
        <v>1788.433962264151</v>
      </c>
      <c r="K901" s="46">
        <v>-5.1974189169678817E-2</v>
      </c>
    </row>
    <row r="902" spans="1:11" x14ac:dyDescent="0.2">
      <c r="A902" s="38" t="s">
        <v>7</v>
      </c>
      <c r="B902" s="38" t="s">
        <v>4373</v>
      </c>
      <c r="C902" s="43" t="s">
        <v>4374</v>
      </c>
      <c r="D902" s="38" t="s">
        <v>12106</v>
      </c>
      <c r="E902" s="44">
        <v>376</v>
      </c>
      <c r="F902" s="45">
        <v>1107528</v>
      </c>
      <c r="G902" s="44">
        <v>326</v>
      </c>
      <c r="H902" s="45">
        <v>937138</v>
      </c>
      <c r="I902" s="45">
        <v>2945.5531914893618</v>
      </c>
      <c r="J902" s="45">
        <v>2874.6564417177915</v>
      </c>
      <c r="K902" s="46">
        <v>-2.4069078085710183E-2</v>
      </c>
    </row>
    <row r="903" spans="1:11" x14ac:dyDescent="0.2">
      <c r="A903" s="38" t="s">
        <v>7</v>
      </c>
      <c r="B903" s="38" t="s">
        <v>4376</v>
      </c>
      <c r="C903" s="43" t="s">
        <v>4377</v>
      </c>
      <c r="D903" s="38" t="s">
        <v>12575</v>
      </c>
      <c r="E903" s="44">
        <v>175</v>
      </c>
      <c r="F903" s="45">
        <v>405419</v>
      </c>
      <c r="G903" s="44">
        <v>146</v>
      </c>
      <c r="H903" s="45">
        <v>320082</v>
      </c>
      <c r="I903" s="45">
        <v>2316.6799999999998</v>
      </c>
      <c r="J903" s="45">
        <v>2192.3424657534247</v>
      </c>
      <c r="K903" s="46">
        <v>-5.3670569196684552E-2</v>
      </c>
    </row>
    <row r="904" spans="1:11" x14ac:dyDescent="0.2">
      <c r="A904" s="38" t="s">
        <v>7</v>
      </c>
      <c r="B904" s="38" t="s">
        <v>4379</v>
      </c>
      <c r="C904" s="43" t="s">
        <v>4380</v>
      </c>
      <c r="D904" s="38" t="s">
        <v>12576</v>
      </c>
      <c r="E904" s="44">
        <v>35</v>
      </c>
      <c r="F904" s="45">
        <v>93398</v>
      </c>
      <c r="G904" s="44">
        <v>29</v>
      </c>
      <c r="H904" s="45">
        <v>74695</v>
      </c>
      <c r="I904" s="45">
        <v>2668.5142857142855</v>
      </c>
      <c r="J904" s="45">
        <v>2575.6896551724139</v>
      </c>
      <c r="K904" s="46">
        <v>-3.478513532372754E-2</v>
      </c>
    </row>
    <row r="905" spans="1:11" x14ac:dyDescent="0.2">
      <c r="A905" s="38" t="s">
        <v>7</v>
      </c>
      <c r="B905" s="38" t="s">
        <v>4382</v>
      </c>
      <c r="C905" s="43" t="s">
        <v>4383</v>
      </c>
      <c r="D905" s="38" t="s">
        <v>12577</v>
      </c>
      <c r="E905" s="44">
        <v>2</v>
      </c>
      <c r="F905" s="45">
        <v>5402</v>
      </c>
      <c r="G905" s="44">
        <v>3</v>
      </c>
      <c r="H905" s="45">
        <v>8103</v>
      </c>
      <c r="I905" s="45">
        <v>2701</v>
      </c>
      <c r="J905" s="45">
        <v>2701</v>
      </c>
      <c r="K905" s="46">
        <v>0</v>
      </c>
    </row>
    <row r="906" spans="1:11" x14ac:dyDescent="0.2">
      <c r="A906" s="38" t="s">
        <v>7</v>
      </c>
      <c r="B906" s="38" t="s">
        <v>4385</v>
      </c>
      <c r="C906" s="43" t="s">
        <v>4386</v>
      </c>
      <c r="D906" s="38" t="s">
        <v>12578</v>
      </c>
      <c r="G906" s="44">
        <v>11</v>
      </c>
      <c r="H906" s="45">
        <v>12573</v>
      </c>
      <c r="J906" s="45">
        <v>1143</v>
      </c>
    </row>
    <row r="907" spans="1:11" x14ac:dyDescent="0.2">
      <c r="A907" s="38" t="s">
        <v>7</v>
      </c>
      <c r="B907" s="38" t="s">
        <v>4388</v>
      </c>
      <c r="C907" s="43" t="s">
        <v>4389</v>
      </c>
      <c r="D907" s="38" t="s">
        <v>12579</v>
      </c>
      <c r="E907" s="44">
        <v>3</v>
      </c>
      <c r="F907" s="45">
        <v>7903</v>
      </c>
      <c r="G907" s="44">
        <v>1</v>
      </c>
      <c r="H907" s="45">
        <v>2701</v>
      </c>
      <c r="I907" s="45">
        <v>2634.3333333333335</v>
      </c>
      <c r="J907" s="45">
        <v>2701</v>
      </c>
      <c r="K907" s="46">
        <v>2.5306845501708152E-2</v>
      </c>
    </row>
    <row r="908" spans="1:11" x14ac:dyDescent="0.2">
      <c r="A908" s="38" t="s">
        <v>7</v>
      </c>
      <c r="B908" s="38" t="s">
        <v>4391</v>
      </c>
      <c r="C908" s="43" t="s">
        <v>4392</v>
      </c>
      <c r="D908" s="38" t="s">
        <v>12580</v>
      </c>
      <c r="E908" s="44">
        <v>2</v>
      </c>
      <c r="F908" s="45">
        <v>3906</v>
      </c>
      <c r="G908" s="44">
        <v>1</v>
      </c>
      <c r="H908" s="45">
        <v>1953</v>
      </c>
      <c r="I908" s="45">
        <v>1953</v>
      </c>
      <c r="J908" s="45">
        <v>1953</v>
      </c>
      <c r="K908" s="46">
        <v>0</v>
      </c>
    </row>
    <row r="909" spans="1:11" x14ac:dyDescent="0.2">
      <c r="A909" s="38" t="s">
        <v>7</v>
      </c>
      <c r="B909" s="38" t="s">
        <v>4394</v>
      </c>
      <c r="C909" s="43" t="s">
        <v>4395</v>
      </c>
      <c r="D909" s="38" t="s">
        <v>12581</v>
      </c>
      <c r="E909" s="44">
        <v>219</v>
      </c>
      <c r="F909" s="45">
        <v>607050</v>
      </c>
      <c r="G909" s="44">
        <v>233</v>
      </c>
      <c r="H909" s="45">
        <v>602353</v>
      </c>
      <c r="I909" s="45">
        <v>2771.9178082191779</v>
      </c>
      <c r="J909" s="45">
        <v>2585.2060085836911</v>
      </c>
      <c r="K909" s="46">
        <v>-6.7358346297951774E-2</v>
      </c>
    </row>
    <row r="910" spans="1:11" x14ac:dyDescent="0.2">
      <c r="A910" s="38" t="s">
        <v>7</v>
      </c>
      <c r="B910" s="38" t="s">
        <v>4397</v>
      </c>
      <c r="C910" s="43" t="s">
        <v>4398</v>
      </c>
      <c r="D910" s="38" t="s">
        <v>12582</v>
      </c>
      <c r="E910" s="44">
        <v>222</v>
      </c>
      <c r="F910" s="45">
        <v>879144</v>
      </c>
      <c r="G910" s="44">
        <v>226</v>
      </c>
      <c r="H910" s="45">
        <v>848402</v>
      </c>
      <c r="I910" s="45">
        <v>3960.1081081081079</v>
      </c>
      <c r="J910" s="45">
        <v>3753.9911504424781</v>
      </c>
      <c r="K910" s="46">
        <v>-5.2048315863805948E-2</v>
      </c>
    </row>
    <row r="911" spans="1:11" x14ac:dyDescent="0.2">
      <c r="A911" s="38" t="s">
        <v>7</v>
      </c>
      <c r="B911" s="38" t="s">
        <v>4400</v>
      </c>
      <c r="C911" s="43" t="s">
        <v>4401</v>
      </c>
      <c r="D911" s="38" t="s">
        <v>12583</v>
      </c>
      <c r="E911" s="44">
        <v>46</v>
      </c>
      <c r="F911" s="45">
        <v>97920</v>
      </c>
      <c r="G911" s="44">
        <v>62</v>
      </c>
      <c r="H911" s="45">
        <v>112942</v>
      </c>
      <c r="I911" s="45">
        <v>2128.695652173913</v>
      </c>
      <c r="J911" s="45">
        <v>1821.6451612903227</v>
      </c>
      <c r="K911" s="46">
        <v>-0.14424349040691539</v>
      </c>
    </row>
    <row r="912" spans="1:11" x14ac:dyDescent="0.2">
      <c r="A912" s="38" t="s">
        <v>7</v>
      </c>
      <c r="B912" s="38" t="s">
        <v>4403</v>
      </c>
      <c r="C912" s="43" t="s">
        <v>4404</v>
      </c>
      <c r="D912" s="38" t="s">
        <v>12584</v>
      </c>
      <c r="E912" s="44">
        <v>6</v>
      </c>
      <c r="F912" s="45">
        <v>11343</v>
      </c>
      <c r="G912" s="44">
        <v>2</v>
      </c>
      <c r="H912" s="45">
        <v>3926</v>
      </c>
      <c r="I912" s="45">
        <v>1890.5</v>
      </c>
      <c r="J912" s="45">
        <v>1963</v>
      </c>
      <c r="K912" s="46">
        <v>3.8349642951600107E-2</v>
      </c>
    </row>
    <row r="913" spans="1:11" x14ac:dyDescent="0.2">
      <c r="A913" s="38" t="s">
        <v>7</v>
      </c>
      <c r="B913" s="38" t="s">
        <v>4406</v>
      </c>
      <c r="C913" s="43" t="s">
        <v>4407</v>
      </c>
      <c r="D913" s="38" t="s">
        <v>12585</v>
      </c>
      <c r="E913" s="44">
        <v>10</v>
      </c>
      <c r="F913" s="45">
        <v>11676</v>
      </c>
      <c r="G913" s="44">
        <v>9</v>
      </c>
      <c r="H913" s="45">
        <v>11718</v>
      </c>
      <c r="I913" s="45">
        <v>1167.5999999999999</v>
      </c>
      <c r="J913" s="45">
        <v>1302</v>
      </c>
      <c r="K913" s="46">
        <v>0.11510791366906484</v>
      </c>
    </row>
    <row r="914" spans="1:11" x14ac:dyDescent="0.2">
      <c r="A914" s="38" t="s">
        <v>7</v>
      </c>
      <c r="B914" s="38" t="s">
        <v>4409</v>
      </c>
      <c r="C914" s="43" t="s">
        <v>4410</v>
      </c>
      <c r="D914" s="38" t="s">
        <v>12585</v>
      </c>
      <c r="G914" s="44">
        <v>2</v>
      </c>
      <c r="H914" s="45">
        <v>2388</v>
      </c>
      <c r="J914" s="45">
        <v>1194</v>
      </c>
    </row>
    <row r="915" spans="1:11" x14ac:dyDescent="0.2">
      <c r="A915" s="38" t="s">
        <v>7</v>
      </c>
      <c r="B915" s="38" t="s">
        <v>4412</v>
      </c>
      <c r="C915" s="43" t="s">
        <v>4413</v>
      </c>
      <c r="D915" s="38" t="s">
        <v>12098</v>
      </c>
      <c r="E915" s="44">
        <v>46</v>
      </c>
      <c r="F915" s="45">
        <v>505700</v>
      </c>
      <c r="G915" s="44">
        <v>54</v>
      </c>
      <c r="H915" s="45">
        <v>550128</v>
      </c>
      <c r="I915" s="45">
        <v>10993.478260869566</v>
      </c>
      <c r="J915" s="45">
        <v>10187.555555555555</v>
      </c>
      <c r="K915" s="46">
        <v>-7.3309164414563005E-2</v>
      </c>
    </row>
    <row r="916" spans="1:11" x14ac:dyDescent="0.2">
      <c r="A916" s="38" t="s">
        <v>7</v>
      </c>
      <c r="B916" s="38" t="s">
        <v>4415</v>
      </c>
      <c r="C916" s="43" t="s">
        <v>4416</v>
      </c>
      <c r="D916" s="38" t="s">
        <v>12586</v>
      </c>
      <c r="E916" s="44">
        <v>9</v>
      </c>
      <c r="F916" s="45">
        <v>75567</v>
      </c>
      <c r="G916" s="44">
        <v>10</v>
      </c>
      <c r="H916" s="45">
        <v>80268</v>
      </c>
      <c r="I916" s="45">
        <v>8396.3333333333339</v>
      </c>
      <c r="J916" s="45">
        <v>8026.8</v>
      </c>
      <c r="K916" s="46">
        <v>-4.4011274762793332E-2</v>
      </c>
    </row>
    <row r="917" spans="1:11" x14ac:dyDescent="0.2">
      <c r="A917" s="38" t="s">
        <v>7</v>
      </c>
      <c r="B917" s="38" t="s">
        <v>4418</v>
      </c>
      <c r="C917" s="43" t="s">
        <v>4419</v>
      </c>
      <c r="D917" s="38" t="s">
        <v>12508</v>
      </c>
      <c r="E917" s="44">
        <v>11</v>
      </c>
      <c r="F917" s="45">
        <v>89812</v>
      </c>
      <c r="G917" s="44">
        <v>4</v>
      </c>
      <c r="H917" s="45">
        <v>19046</v>
      </c>
      <c r="I917" s="45">
        <v>8164.727272727273</v>
      </c>
      <c r="J917" s="45">
        <v>4761.5</v>
      </c>
      <c r="K917" s="46">
        <v>-0.41682069211241263</v>
      </c>
    </row>
    <row r="918" spans="1:11" x14ac:dyDescent="0.2">
      <c r="A918" s="38" t="s">
        <v>7</v>
      </c>
      <c r="B918" s="38" t="s">
        <v>4421</v>
      </c>
      <c r="C918" s="43" t="s">
        <v>4422</v>
      </c>
      <c r="D918" s="38" t="s">
        <v>12587</v>
      </c>
      <c r="E918" s="44">
        <v>22</v>
      </c>
      <c r="F918" s="45">
        <v>253574</v>
      </c>
      <c r="G918" s="44">
        <v>20</v>
      </c>
      <c r="H918" s="45">
        <v>204965</v>
      </c>
      <c r="I918" s="45">
        <v>11526.09090909091</v>
      </c>
      <c r="J918" s="45">
        <v>10248.25</v>
      </c>
      <c r="K918" s="46">
        <v>-0.11086507291757047</v>
      </c>
    </row>
    <row r="919" spans="1:11" x14ac:dyDescent="0.2">
      <c r="A919" s="38" t="s">
        <v>7</v>
      </c>
      <c r="B919" s="38" t="s">
        <v>4424</v>
      </c>
      <c r="C919" s="43" t="s">
        <v>4425</v>
      </c>
      <c r="D919" s="38" t="s">
        <v>12588</v>
      </c>
      <c r="E919" s="44">
        <v>81</v>
      </c>
      <c r="F919" s="45">
        <v>35469</v>
      </c>
      <c r="G919" s="44">
        <v>74</v>
      </c>
      <c r="H919" s="45">
        <v>31311</v>
      </c>
      <c r="I919" s="45">
        <v>437.88888888888891</v>
      </c>
      <c r="J919" s="45">
        <v>423.12162162162161</v>
      </c>
      <c r="K919" s="46">
        <v>-3.3723777063031132E-2</v>
      </c>
    </row>
    <row r="920" spans="1:11" x14ac:dyDescent="0.2">
      <c r="A920" s="38" t="s">
        <v>7</v>
      </c>
      <c r="B920" s="38" t="s">
        <v>4427</v>
      </c>
      <c r="C920" s="43" t="s">
        <v>4428</v>
      </c>
      <c r="D920" s="38" t="s">
        <v>12589</v>
      </c>
      <c r="E920" s="44">
        <v>179</v>
      </c>
      <c r="F920" s="45">
        <v>79013</v>
      </c>
      <c r="G920" s="44">
        <v>159</v>
      </c>
      <c r="H920" s="45">
        <v>70746</v>
      </c>
      <c r="I920" s="45">
        <v>441.41340782122904</v>
      </c>
      <c r="J920" s="45">
        <v>444.94339622641508</v>
      </c>
      <c r="K920" s="46">
        <v>7.9970121945540564E-3</v>
      </c>
    </row>
    <row r="921" spans="1:11" x14ac:dyDescent="0.2">
      <c r="A921" s="38" t="s">
        <v>7</v>
      </c>
      <c r="B921" s="38" t="s">
        <v>4430</v>
      </c>
      <c r="C921" s="43" t="s">
        <v>4431</v>
      </c>
      <c r="D921" s="38" t="s">
        <v>12590</v>
      </c>
      <c r="E921" s="44">
        <v>3023</v>
      </c>
      <c r="F921" s="45">
        <v>1333481</v>
      </c>
      <c r="G921" s="44">
        <v>2481</v>
      </c>
      <c r="H921" s="45">
        <v>979573</v>
      </c>
      <c r="I921" s="45">
        <v>441.11180946080054</v>
      </c>
      <c r="J921" s="45">
        <v>394.82990729544537</v>
      </c>
      <c r="K921" s="46">
        <v>-0.10492102268113959</v>
      </c>
    </row>
    <row r="922" spans="1:11" x14ac:dyDescent="0.2">
      <c r="A922" s="38" t="s">
        <v>7</v>
      </c>
      <c r="B922" s="38" t="s">
        <v>4435</v>
      </c>
      <c r="C922" s="43" t="s">
        <v>4436</v>
      </c>
      <c r="D922" s="38" t="s">
        <v>12591</v>
      </c>
      <c r="E922" s="44">
        <v>179</v>
      </c>
      <c r="F922" s="45">
        <v>1656339</v>
      </c>
      <c r="G922" s="44">
        <v>155</v>
      </c>
      <c r="H922" s="45">
        <v>1249955</v>
      </c>
      <c r="I922" s="45">
        <v>9253.2905027932957</v>
      </c>
      <c r="J922" s="45">
        <v>8064.2258064516127</v>
      </c>
      <c r="K922" s="46">
        <v>-0.12850182278214861</v>
      </c>
    </row>
    <row r="923" spans="1:11" x14ac:dyDescent="0.2">
      <c r="A923" s="38" t="s">
        <v>7</v>
      </c>
      <c r="B923" s="38" t="s">
        <v>4438</v>
      </c>
      <c r="C923" s="43" t="s">
        <v>4439</v>
      </c>
      <c r="D923" s="38" t="s">
        <v>12592</v>
      </c>
      <c r="E923" s="44">
        <v>45</v>
      </c>
      <c r="F923" s="45">
        <v>468289</v>
      </c>
      <c r="G923" s="44">
        <v>41</v>
      </c>
      <c r="H923" s="45">
        <v>341953</v>
      </c>
      <c r="I923" s="45">
        <v>10406.422222222222</v>
      </c>
      <c r="J923" s="45">
        <v>8340.3170731707323</v>
      </c>
      <c r="K923" s="46">
        <v>-0.19854135311168322</v>
      </c>
    </row>
    <row r="924" spans="1:11" x14ac:dyDescent="0.2">
      <c r="A924" s="38" t="s">
        <v>7</v>
      </c>
      <c r="B924" s="38" t="s">
        <v>4441</v>
      </c>
      <c r="C924" s="43" t="s">
        <v>4442</v>
      </c>
      <c r="D924" s="38" t="s">
        <v>12593</v>
      </c>
      <c r="E924" s="44">
        <v>6</v>
      </c>
      <c r="F924" s="45">
        <v>64101</v>
      </c>
      <c r="G924" s="44">
        <v>8</v>
      </c>
      <c r="H924" s="45">
        <v>78911</v>
      </c>
      <c r="I924" s="45">
        <v>10683.5</v>
      </c>
      <c r="J924" s="45">
        <v>9863.875</v>
      </c>
      <c r="K924" s="46">
        <v>-7.6718771938035293E-2</v>
      </c>
    </row>
    <row r="925" spans="1:11" x14ac:dyDescent="0.2">
      <c r="A925" s="38" t="s">
        <v>7</v>
      </c>
      <c r="B925" s="38" t="s">
        <v>4444</v>
      </c>
      <c r="C925" s="43" t="s">
        <v>4445</v>
      </c>
      <c r="D925" s="38" t="s">
        <v>12594</v>
      </c>
      <c r="E925" s="44">
        <v>22</v>
      </c>
      <c r="F925" s="45">
        <v>174210</v>
      </c>
      <c r="G925" s="44">
        <v>22</v>
      </c>
      <c r="H925" s="45">
        <v>152384</v>
      </c>
      <c r="I925" s="45">
        <v>7918.636363636364</v>
      </c>
      <c r="J925" s="45">
        <v>6926.545454545455</v>
      </c>
      <c r="K925" s="46">
        <v>-0.12528557488089087</v>
      </c>
    </row>
    <row r="926" spans="1:11" x14ac:dyDescent="0.2">
      <c r="A926" s="38" t="s">
        <v>7</v>
      </c>
      <c r="B926" s="38" t="s">
        <v>4447</v>
      </c>
      <c r="C926" s="43" t="s">
        <v>4448</v>
      </c>
      <c r="D926" s="38" t="s">
        <v>12595</v>
      </c>
      <c r="E926" s="44">
        <v>13</v>
      </c>
      <c r="F926" s="45">
        <v>98702</v>
      </c>
      <c r="G926" s="44">
        <v>10</v>
      </c>
      <c r="H926" s="45">
        <v>64952</v>
      </c>
      <c r="I926" s="45">
        <v>7592.4615384615381</v>
      </c>
      <c r="J926" s="45">
        <v>6495.2</v>
      </c>
      <c r="K926" s="46">
        <v>-0.14451986788514923</v>
      </c>
    </row>
    <row r="927" spans="1:11" x14ac:dyDescent="0.2">
      <c r="A927" s="38" t="s">
        <v>7</v>
      </c>
      <c r="B927" s="38" t="s">
        <v>4450</v>
      </c>
      <c r="C927" s="43" t="s">
        <v>4451</v>
      </c>
      <c r="D927" s="38" t="s">
        <v>12100</v>
      </c>
      <c r="E927" s="44">
        <v>5</v>
      </c>
      <c r="F927" s="45">
        <v>45278</v>
      </c>
      <c r="G927" s="44">
        <v>2</v>
      </c>
      <c r="H927" s="45">
        <v>18664</v>
      </c>
      <c r="I927" s="45">
        <v>9055.6</v>
      </c>
      <c r="J927" s="45">
        <v>9332</v>
      </c>
      <c r="K927" s="46">
        <v>3.0522549582578693E-2</v>
      </c>
    </row>
    <row r="928" spans="1:11" x14ac:dyDescent="0.2">
      <c r="A928" s="38" t="s">
        <v>7</v>
      </c>
      <c r="B928" s="38" t="s">
        <v>4453</v>
      </c>
      <c r="C928" s="43" t="s">
        <v>4454</v>
      </c>
      <c r="D928" s="38" t="s">
        <v>12596</v>
      </c>
      <c r="E928" s="44">
        <v>35</v>
      </c>
      <c r="F928" s="45">
        <v>230945</v>
      </c>
      <c r="G928" s="44">
        <v>36</v>
      </c>
      <c r="H928" s="45">
        <v>195651</v>
      </c>
      <c r="I928" s="45">
        <v>6598.4285714285716</v>
      </c>
      <c r="J928" s="45">
        <v>5434.75</v>
      </c>
      <c r="K928" s="46">
        <v>-0.17635692480893722</v>
      </c>
    </row>
    <row r="929" spans="1:11" x14ac:dyDescent="0.2">
      <c r="A929" s="38" t="s">
        <v>7</v>
      </c>
      <c r="B929" s="38" t="s">
        <v>4456</v>
      </c>
      <c r="C929" s="43" t="s">
        <v>4457</v>
      </c>
      <c r="D929" s="38" t="s">
        <v>12597</v>
      </c>
      <c r="E929" s="44">
        <v>23</v>
      </c>
      <c r="F929" s="45">
        <v>125411</v>
      </c>
      <c r="G929" s="44">
        <v>27</v>
      </c>
      <c r="H929" s="45">
        <v>144115</v>
      </c>
      <c r="I929" s="45">
        <v>5452.652173913043</v>
      </c>
      <c r="J929" s="45">
        <v>5337.5925925925922</v>
      </c>
      <c r="K929" s="46">
        <v>-2.1101580964750864E-2</v>
      </c>
    </row>
    <row r="930" spans="1:11" x14ac:dyDescent="0.2">
      <c r="A930" s="38" t="s">
        <v>7</v>
      </c>
      <c r="B930" s="38" t="s">
        <v>4459</v>
      </c>
      <c r="C930" s="43" t="s">
        <v>4460</v>
      </c>
      <c r="D930" s="38" t="s">
        <v>12598</v>
      </c>
      <c r="E930" s="44">
        <v>17</v>
      </c>
      <c r="F930" s="45">
        <v>131722</v>
      </c>
      <c r="G930" s="44">
        <v>19</v>
      </c>
      <c r="H930" s="45">
        <v>138779</v>
      </c>
      <c r="I930" s="45">
        <v>7748.3529411764703</v>
      </c>
      <c r="J930" s="45">
        <v>7304.1578947368425</v>
      </c>
      <c r="K930" s="46">
        <v>-5.7327673353529944E-2</v>
      </c>
    </row>
    <row r="931" spans="1:11" x14ac:dyDescent="0.2">
      <c r="A931" s="38" t="s">
        <v>7</v>
      </c>
      <c r="B931" s="38" t="s">
        <v>4462</v>
      </c>
      <c r="C931" s="43" t="s">
        <v>4463</v>
      </c>
      <c r="D931" s="38" t="s">
        <v>12096</v>
      </c>
      <c r="E931" s="44">
        <v>27</v>
      </c>
      <c r="F931" s="45">
        <v>260688</v>
      </c>
      <c r="G931" s="44">
        <v>9</v>
      </c>
      <c r="H931" s="45">
        <v>74166</v>
      </c>
      <c r="I931" s="45">
        <v>9655.1111111111113</v>
      </c>
      <c r="J931" s="45">
        <v>8240.6666666666661</v>
      </c>
      <c r="K931" s="46">
        <v>-0.14649696188547237</v>
      </c>
    </row>
    <row r="932" spans="1:11" x14ac:dyDescent="0.2">
      <c r="A932" s="38" t="s">
        <v>7</v>
      </c>
      <c r="B932" s="38" t="s">
        <v>4468</v>
      </c>
      <c r="C932" s="43" t="s">
        <v>4469</v>
      </c>
      <c r="D932" s="38" t="s">
        <v>12108</v>
      </c>
      <c r="E932" s="44">
        <v>3</v>
      </c>
      <c r="F932" s="45">
        <v>9411</v>
      </c>
      <c r="G932" s="44">
        <v>7</v>
      </c>
      <c r="H932" s="45">
        <v>21959</v>
      </c>
      <c r="I932" s="45">
        <v>3137</v>
      </c>
      <c r="J932" s="45">
        <v>3137</v>
      </c>
      <c r="K932" s="46">
        <v>0</v>
      </c>
    </row>
    <row r="933" spans="1:11" x14ac:dyDescent="0.2">
      <c r="A933" s="38" t="s">
        <v>7</v>
      </c>
      <c r="B933" s="38" t="s">
        <v>4477</v>
      </c>
      <c r="C933" s="43" t="s">
        <v>4478</v>
      </c>
      <c r="G933" s="44">
        <v>1</v>
      </c>
      <c r="H933" s="45">
        <v>5293</v>
      </c>
      <c r="J933" s="45">
        <v>5293</v>
      </c>
    </row>
    <row r="934" spans="1:11" x14ac:dyDescent="0.2">
      <c r="A934" s="38" t="s">
        <v>7</v>
      </c>
      <c r="B934" s="38" t="s">
        <v>4480</v>
      </c>
      <c r="C934" s="43" t="s">
        <v>4481</v>
      </c>
      <c r="G934" s="44">
        <v>3</v>
      </c>
      <c r="H934" s="45">
        <v>4050</v>
      </c>
      <c r="J934" s="45">
        <v>1350</v>
      </c>
    </row>
    <row r="935" spans="1:11" x14ac:dyDescent="0.2">
      <c r="A935" s="38" t="s">
        <v>7</v>
      </c>
      <c r="B935" s="38" t="s">
        <v>4483</v>
      </c>
      <c r="C935" s="43" t="s">
        <v>4484</v>
      </c>
      <c r="E935" s="44">
        <v>55</v>
      </c>
      <c r="F935" s="45">
        <v>339524</v>
      </c>
      <c r="G935" s="44">
        <v>29</v>
      </c>
      <c r="H935" s="45">
        <v>148333</v>
      </c>
      <c r="I935" s="45">
        <v>6173.1636363636362</v>
      </c>
      <c r="J935" s="45">
        <v>5114.9310344827591</v>
      </c>
      <c r="K935" s="46">
        <v>-0.17142468015058801</v>
      </c>
    </row>
    <row r="936" spans="1:11" x14ac:dyDescent="0.2">
      <c r="A936" s="38" t="s">
        <v>7</v>
      </c>
      <c r="B936" s="38" t="s">
        <v>4486</v>
      </c>
      <c r="C936" s="43" t="s">
        <v>4487</v>
      </c>
      <c r="E936" s="44">
        <v>3</v>
      </c>
      <c r="F936" s="45">
        <v>4647</v>
      </c>
      <c r="G936" s="44">
        <v>2</v>
      </c>
      <c r="H936" s="45">
        <v>3098</v>
      </c>
      <c r="I936" s="45">
        <v>1549</v>
      </c>
      <c r="J936" s="45">
        <v>1549</v>
      </c>
      <c r="K936" s="46">
        <v>0</v>
      </c>
    </row>
    <row r="937" spans="1:11" x14ac:dyDescent="0.2">
      <c r="A937" s="38" t="s">
        <v>7</v>
      </c>
      <c r="B937" s="38" t="s">
        <v>4493</v>
      </c>
      <c r="C937" s="43" t="s">
        <v>4494</v>
      </c>
      <c r="E937" s="44">
        <v>34</v>
      </c>
      <c r="F937" s="45">
        <v>131022</v>
      </c>
      <c r="G937" s="44">
        <v>28</v>
      </c>
      <c r="H937" s="45">
        <v>100320</v>
      </c>
      <c r="I937" s="45">
        <v>3853.5882352941176</v>
      </c>
      <c r="J937" s="45">
        <v>3582.8571428571427</v>
      </c>
      <c r="K937" s="46">
        <v>-7.0254286630162463E-2</v>
      </c>
    </row>
    <row r="938" spans="1:11" x14ac:dyDescent="0.2">
      <c r="A938" s="38" t="s">
        <v>7</v>
      </c>
      <c r="B938" s="38" t="s">
        <v>4499</v>
      </c>
      <c r="C938" s="43" t="s">
        <v>4500</v>
      </c>
      <c r="E938" s="44">
        <v>25</v>
      </c>
      <c r="F938" s="45">
        <v>113044</v>
      </c>
      <c r="G938" s="44">
        <v>20</v>
      </c>
      <c r="H938" s="45">
        <v>85365</v>
      </c>
      <c r="I938" s="45">
        <v>4521.76</v>
      </c>
      <c r="J938" s="45">
        <v>4268.25</v>
      </c>
      <c r="K938" s="46">
        <v>-5.6064452779448756E-2</v>
      </c>
    </row>
    <row r="939" spans="1:11" x14ac:dyDescent="0.2">
      <c r="A939" s="38" t="s">
        <v>7</v>
      </c>
      <c r="B939" s="38" t="s">
        <v>4505</v>
      </c>
      <c r="C939" s="43" t="s">
        <v>4506</v>
      </c>
      <c r="E939" s="44">
        <v>46</v>
      </c>
      <c r="F939" s="45">
        <v>146356</v>
      </c>
      <c r="G939" s="44">
        <v>23</v>
      </c>
      <c r="H939" s="45">
        <v>63771</v>
      </c>
      <c r="I939" s="45">
        <v>3181.6521739130435</v>
      </c>
      <c r="J939" s="45">
        <v>2772.6521739130435</v>
      </c>
      <c r="K939" s="46">
        <v>-0.12854956407663506</v>
      </c>
    </row>
    <row r="940" spans="1:11" x14ac:dyDescent="0.2">
      <c r="A940" s="38" t="s">
        <v>7</v>
      </c>
      <c r="B940" s="38" t="s">
        <v>4509</v>
      </c>
      <c r="C940" s="43" t="s">
        <v>4407</v>
      </c>
      <c r="D940" s="38" t="s">
        <v>12585</v>
      </c>
      <c r="E940" s="44">
        <v>34</v>
      </c>
      <c r="F940" s="45">
        <v>25292.6</v>
      </c>
      <c r="G940" s="44">
        <v>49</v>
      </c>
      <c r="H940" s="45">
        <v>47684.3</v>
      </c>
      <c r="I940" s="45">
        <v>743.9</v>
      </c>
      <c r="J940" s="45">
        <v>973.14897959183679</v>
      </c>
      <c r="K940" s="46">
        <v>0.30817176985056705</v>
      </c>
    </row>
    <row r="941" spans="1:11" x14ac:dyDescent="0.2">
      <c r="A941" s="38" t="s">
        <v>7</v>
      </c>
      <c r="B941" s="38" t="s">
        <v>4516</v>
      </c>
      <c r="C941" s="43" t="s">
        <v>2496</v>
      </c>
      <c r="E941" s="44">
        <v>2</v>
      </c>
      <c r="F941" s="45">
        <v>4754</v>
      </c>
      <c r="G941" s="44">
        <v>3</v>
      </c>
      <c r="H941" s="45">
        <v>5405</v>
      </c>
      <c r="I941" s="45">
        <v>2377</v>
      </c>
      <c r="J941" s="45">
        <v>1801.6666666666667</v>
      </c>
      <c r="K941" s="46">
        <v>-0.24204178937035475</v>
      </c>
    </row>
    <row r="942" spans="1:11" x14ac:dyDescent="0.2">
      <c r="A942" s="38" t="s">
        <v>7</v>
      </c>
      <c r="B942" s="38" t="s">
        <v>4518</v>
      </c>
      <c r="C942" s="43" t="s">
        <v>4073</v>
      </c>
      <c r="D942" s="38" t="s">
        <v>12508</v>
      </c>
      <c r="G942" s="44">
        <v>5</v>
      </c>
      <c r="H942" s="45">
        <v>27379</v>
      </c>
      <c r="J942" s="45">
        <v>5475.8</v>
      </c>
    </row>
    <row r="943" spans="1:11" x14ac:dyDescent="0.2">
      <c r="A943" s="38" t="s">
        <v>7</v>
      </c>
      <c r="B943" s="38" t="s">
        <v>4519</v>
      </c>
      <c r="C943" s="43" t="s">
        <v>2586</v>
      </c>
      <c r="E943" s="44">
        <v>2</v>
      </c>
      <c r="F943" s="45">
        <v>29404</v>
      </c>
      <c r="G943" s="44">
        <v>4</v>
      </c>
      <c r="H943" s="45">
        <v>58808</v>
      </c>
      <c r="I943" s="45">
        <v>14702</v>
      </c>
      <c r="J943" s="45">
        <v>14702</v>
      </c>
      <c r="K943" s="46">
        <v>0</v>
      </c>
    </row>
    <row r="944" spans="1:11" x14ac:dyDescent="0.2">
      <c r="A944" s="38" t="s">
        <v>7</v>
      </c>
      <c r="B944" s="38" t="s">
        <v>4520</v>
      </c>
      <c r="C944" s="43" t="s">
        <v>4413</v>
      </c>
      <c r="D944" s="38" t="s">
        <v>12098</v>
      </c>
      <c r="E944" s="44">
        <v>4415</v>
      </c>
      <c r="F944" s="45">
        <v>48510130</v>
      </c>
      <c r="G944" s="44">
        <v>5129</v>
      </c>
      <c r="H944" s="45">
        <v>49199713</v>
      </c>
      <c r="I944" s="45">
        <v>10987.571913929785</v>
      </c>
      <c r="J944" s="45">
        <v>9592.4572041333595</v>
      </c>
      <c r="K944" s="46">
        <v>-0.12697206632411046</v>
      </c>
    </row>
    <row r="945" spans="1:11" x14ac:dyDescent="0.2">
      <c r="A945" s="38" t="s">
        <v>7</v>
      </c>
      <c r="B945" s="38" t="s">
        <v>4521</v>
      </c>
      <c r="C945" s="43" t="s">
        <v>4522</v>
      </c>
      <c r="D945" s="38" t="s">
        <v>12599</v>
      </c>
      <c r="E945" s="44">
        <v>8</v>
      </c>
      <c r="F945" s="45">
        <v>72253</v>
      </c>
      <c r="G945" s="44">
        <v>12</v>
      </c>
      <c r="H945" s="45">
        <v>95748</v>
      </c>
      <c r="I945" s="45">
        <v>9031.625</v>
      </c>
      <c r="J945" s="45">
        <v>7979</v>
      </c>
      <c r="K945" s="46">
        <v>-0.11654879382170982</v>
      </c>
    </row>
    <row r="946" spans="1:11" x14ac:dyDescent="0.2">
      <c r="A946" s="38" t="s">
        <v>7</v>
      </c>
      <c r="B946" s="38" t="s">
        <v>4524</v>
      </c>
      <c r="C946" s="43" t="s">
        <v>4525</v>
      </c>
      <c r="D946" s="38" t="s">
        <v>12544</v>
      </c>
      <c r="G946" s="44">
        <v>2</v>
      </c>
      <c r="H946" s="45">
        <v>21357</v>
      </c>
      <c r="J946" s="45">
        <v>10678.5</v>
      </c>
    </row>
    <row r="947" spans="1:11" x14ac:dyDescent="0.2">
      <c r="A947" s="38" t="s">
        <v>7</v>
      </c>
      <c r="B947" s="38" t="s">
        <v>4527</v>
      </c>
      <c r="C947" s="43" t="s">
        <v>4416</v>
      </c>
      <c r="D947" s="38" t="s">
        <v>12586</v>
      </c>
      <c r="E947" s="44">
        <v>7</v>
      </c>
      <c r="F947" s="45">
        <v>58987</v>
      </c>
      <c r="G947" s="44">
        <v>9</v>
      </c>
      <c r="H947" s="45">
        <v>71659</v>
      </c>
      <c r="I947" s="45">
        <v>8426.7142857142862</v>
      </c>
      <c r="J947" s="45">
        <v>7962.1111111111113</v>
      </c>
      <c r="K947" s="46">
        <v>-5.5134558838764884E-2</v>
      </c>
    </row>
    <row r="948" spans="1:11" x14ac:dyDescent="0.2">
      <c r="A948" s="38" t="s">
        <v>7</v>
      </c>
      <c r="B948" s="38" t="s">
        <v>4528</v>
      </c>
      <c r="C948" s="43" t="s">
        <v>4419</v>
      </c>
      <c r="D948" s="38" t="s">
        <v>12508</v>
      </c>
      <c r="E948" s="44">
        <v>361</v>
      </c>
      <c r="F948" s="45">
        <v>2936641</v>
      </c>
      <c r="G948" s="44">
        <v>407</v>
      </c>
      <c r="H948" s="45">
        <v>2827234</v>
      </c>
      <c r="I948" s="45">
        <v>8134.7396121883658</v>
      </c>
      <c r="J948" s="45">
        <v>6946.5208845208845</v>
      </c>
      <c r="K948" s="46">
        <v>-0.14606721103735892</v>
      </c>
    </row>
    <row r="949" spans="1:11" x14ac:dyDescent="0.2">
      <c r="A949" s="38" t="s">
        <v>7</v>
      </c>
      <c r="B949" s="38" t="s">
        <v>4529</v>
      </c>
      <c r="C949" s="43" t="s">
        <v>4127</v>
      </c>
      <c r="D949" s="38" t="s">
        <v>12600</v>
      </c>
      <c r="E949" s="44">
        <v>47</v>
      </c>
      <c r="F949" s="45">
        <v>406657</v>
      </c>
      <c r="G949" s="44">
        <v>38</v>
      </c>
      <c r="H949" s="45">
        <v>312508</v>
      </c>
      <c r="I949" s="45">
        <v>8652.2765957446809</v>
      </c>
      <c r="J949" s="45">
        <v>8223.894736842105</v>
      </c>
      <c r="K949" s="46">
        <v>-4.9510883541709766E-2</v>
      </c>
    </row>
    <row r="950" spans="1:11" x14ac:dyDescent="0.2">
      <c r="A950" s="38" t="s">
        <v>7</v>
      </c>
      <c r="B950" s="38" t="s">
        <v>4530</v>
      </c>
      <c r="C950" s="43" t="s">
        <v>4133</v>
      </c>
      <c r="D950" s="38" t="s">
        <v>12524</v>
      </c>
      <c r="E950" s="44">
        <v>53</v>
      </c>
      <c r="F950" s="45">
        <v>286387</v>
      </c>
      <c r="G950" s="44">
        <v>67</v>
      </c>
      <c r="H950" s="45">
        <v>320233</v>
      </c>
      <c r="I950" s="45">
        <v>5403.5283018867922</v>
      </c>
      <c r="J950" s="45">
        <v>4779.5970149253735</v>
      </c>
      <c r="K950" s="46">
        <v>-0.11546738577154407</v>
      </c>
    </row>
    <row r="951" spans="1:11" x14ac:dyDescent="0.2">
      <c r="A951" s="38" t="s">
        <v>7</v>
      </c>
      <c r="B951" s="38" t="s">
        <v>4531</v>
      </c>
      <c r="C951" s="43" t="s">
        <v>4136</v>
      </c>
      <c r="D951" s="38" t="s">
        <v>12525</v>
      </c>
      <c r="E951" s="44">
        <v>152</v>
      </c>
      <c r="F951" s="45">
        <v>1026413</v>
      </c>
      <c r="G951" s="44">
        <v>151</v>
      </c>
      <c r="H951" s="45">
        <v>925054</v>
      </c>
      <c r="I951" s="45">
        <v>6752.7171052631575</v>
      </c>
      <c r="J951" s="45">
        <v>6126.1854304635763</v>
      </c>
      <c r="K951" s="46">
        <v>-9.2782159393476449E-2</v>
      </c>
    </row>
    <row r="952" spans="1:11" x14ac:dyDescent="0.2">
      <c r="A952" s="38" t="s">
        <v>7</v>
      </c>
      <c r="B952" s="38" t="s">
        <v>4532</v>
      </c>
      <c r="C952" s="43" t="s">
        <v>4139</v>
      </c>
      <c r="D952" s="38" t="s">
        <v>12526</v>
      </c>
      <c r="G952" s="44">
        <v>2</v>
      </c>
      <c r="H952" s="45">
        <v>12690</v>
      </c>
      <c r="J952" s="45">
        <v>6345</v>
      </c>
    </row>
    <row r="953" spans="1:11" x14ac:dyDescent="0.2">
      <c r="A953" s="38" t="s">
        <v>7</v>
      </c>
      <c r="B953" s="38" t="s">
        <v>4533</v>
      </c>
      <c r="C953" s="43" t="s">
        <v>4534</v>
      </c>
      <c r="D953" s="38" t="s">
        <v>12601</v>
      </c>
      <c r="E953" s="44">
        <v>167</v>
      </c>
      <c r="F953" s="45">
        <v>1393053</v>
      </c>
      <c r="G953" s="44">
        <v>233</v>
      </c>
      <c r="H953" s="45">
        <v>1707419</v>
      </c>
      <c r="I953" s="45">
        <v>8341.6347305389227</v>
      </c>
      <c r="J953" s="45">
        <v>7327.9785407725321</v>
      </c>
      <c r="K953" s="46">
        <v>-0.12151769077772863</v>
      </c>
    </row>
    <row r="954" spans="1:11" x14ac:dyDescent="0.2">
      <c r="A954" s="38" t="s">
        <v>7</v>
      </c>
      <c r="B954" s="38" t="s">
        <v>4536</v>
      </c>
      <c r="C954" s="43" t="s">
        <v>4537</v>
      </c>
      <c r="D954" s="38" t="s">
        <v>12602</v>
      </c>
      <c r="E954" s="44">
        <v>11</v>
      </c>
      <c r="F954" s="45">
        <v>138483</v>
      </c>
      <c r="G954" s="44">
        <v>10</v>
      </c>
      <c r="H954" s="45">
        <v>117026</v>
      </c>
      <c r="I954" s="45">
        <v>12589.363636363636</v>
      </c>
      <c r="J954" s="45">
        <v>11702.6</v>
      </c>
      <c r="K954" s="46">
        <v>-7.0437526627817076E-2</v>
      </c>
    </row>
    <row r="955" spans="1:11" x14ac:dyDescent="0.2">
      <c r="A955" s="38" t="s">
        <v>7</v>
      </c>
      <c r="B955" s="38" t="s">
        <v>4539</v>
      </c>
      <c r="C955" s="43" t="s">
        <v>4540</v>
      </c>
      <c r="D955" s="38" t="s">
        <v>12603</v>
      </c>
      <c r="E955" s="44">
        <v>183</v>
      </c>
      <c r="F955" s="45">
        <v>1309553</v>
      </c>
      <c r="G955" s="44">
        <v>251</v>
      </c>
      <c r="H955" s="45">
        <v>1583927</v>
      </c>
      <c r="I955" s="45">
        <v>7156.0273224043713</v>
      </c>
      <c r="J955" s="45">
        <v>6310.4661354581676</v>
      </c>
      <c r="K955" s="46">
        <v>-0.11816069850640278</v>
      </c>
    </row>
    <row r="956" spans="1:11" x14ac:dyDescent="0.2">
      <c r="A956" s="38" t="s">
        <v>7</v>
      </c>
      <c r="B956" s="38" t="s">
        <v>4542</v>
      </c>
      <c r="C956" s="43" t="s">
        <v>4543</v>
      </c>
      <c r="D956" s="38" t="s">
        <v>12601</v>
      </c>
      <c r="E956" s="44">
        <v>11</v>
      </c>
      <c r="F956" s="45">
        <v>91229</v>
      </c>
      <c r="G956" s="44">
        <v>25</v>
      </c>
      <c r="H956" s="45">
        <v>185231</v>
      </c>
      <c r="I956" s="45">
        <v>8293.545454545454</v>
      </c>
      <c r="J956" s="45">
        <v>7409.24</v>
      </c>
      <c r="K956" s="46">
        <v>-0.1066257440068399</v>
      </c>
    </row>
    <row r="957" spans="1:11" x14ac:dyDescent="0.2">
      <c r="A957" s="38" t="s">
        <v>7</v>
      </c>
      <c r="B957" s="38" t="s">
        <v>4545</v>
      </c>
      <c r="C957" s="43" t="s">
        <v>4546</v>
      </c>
      <c r="D957" s="38" t="s">
        <v>12603</v>
      </c>
      <c r="G957" s="44">
        <v>10</v>
      </c>
      <c r="H957" s="45">
        <v>61426</v>
      </c>
      <c r="J957" s="45">
        <v>6142.6</v>
      </c>
    </row>
    <row r="958" spans="1:11" x14ac:dyDescent="0.2">
      <c r="A958" s="38" t="s">
        <v>7</v>
      </c>
      <c r="B958" s="38" t="s">
        <v>4548</v>
      </c>
      <c r="C958" s="43" t="s">
        <v>4148</v>
      </c>
      <c r="D958" s="38" t="s">
        <v>12529</v>
      </c>
      <c r="E958" s="44">
        <v>14</v>
      </c>
      <c r="F958" s="45">
        <v>97287</v>
      </c>
      <c r="G958" s="44">
        <v>26</v>
      </c>
      <c r="H958" s="45">
        <v>155958</v>
      </c>
      <c r="I958" s="45">
        <v>6949.0714285714284</v>
      </c>
      <c r="J958" s="45">
        <v>5998.3846153846152</v>
      </c>
      <c r="K958" s="46">
        <v>-0.13680774805077128</v>
      </c>
    </row>
    <row r="959" spans="1:11" x14ac:dyDescent="0.2">
      <c r="A959" s="38" t="s">
        <v>7</v>
      </c>
      <c r="B959" s="38" t="s">
        <v>4549</v>
      </c>
      <c r="C959" s="43" t="s">
        <v>4434</v>
      </c>
      <c r="D959" s="38" t="s">
        <v>12604</v>
      </c>
      <c r="E959" s="44">
        <v>9</v>
      </c>
      <c r="F959" s="45">
        <v>83341</v>
      </c>
      <c r="G959" s="44">
        <v>12</v>
      </c>
      <c r="H959" s="45">
        <v>89181</v>
      </c>
      <c r="I959" s="45">
        <v>9260.1111111111113</v>
      </c>
      <c r="J959" s="45">
        <v>7431.75</v>
      </c>
      <c r="K959" s="46">
        <v>-0.1974448350751731</v>
      </c>
    </row>
    <row r="960" spans="1:11" x14ac:dyDescent="0.2">
      <c r="A960" s="38" t="s">
        <v>7</v>
      </c>
      <c r="B960" s="38" t="s">
        <v>4551</v>
      </c>
      <c r="C960" s="43" t="s">
        <v>2622</v>
      </c>
      <c r="G960" s="44">
        <v>1</v>
      </c>
      <c r="H960" s="45">
        <v>2494</v>
      </c>
      <c r="J960" s="45">
        <v>2494</v>
      </c>
    </row>
    <row r="961" spans="1:11" x14ac:dyDescent="0.2">
      <c r="A961" s="38" t="s">
        <v>7</v>
      </c>
      <c r="B961" s="38" t="s">
        <v>4552</v>
      </c>
      <c r="C961" s="43" t="s">
        <v>2669</v>
      </c>
      <c r="G961" s="44">
        <v>2</v>
      </c>
      <c r="H961" s="45">
        <v>27342</v>
      </c>
      <c r="J961" s="45">
        <v>13671</v>
      </c>
    </row>
    <row r="962" spans="1:11" x14ac:dyDescent="0.2">
      <c r="A962" s="38" t="s">
        <v>7</v>
      </c>
      <c r="B962" s="38" t="s">
        <v>4553</v>
      </c>
      <c r="C962" s="43" t="s">
        <v>4436</v>
      </c>
      <c r="D962" s="38" t="s">
        <v>12591</v>
      </c>
      <c r="E962" s="44">
        <v>540</v>
      </c>
      <c r="F962" s="45">
        <v>5015836</v>
      </c>
      <c r="G962" s="44">
        <v>587</v>
      </c>
      <c r="H962" s="45">
        <v>4902031</v>
      </c>
      <c r="I962" s="45">
        <v>9288.5851851851858</v>
      </c>
      <c r="J962" s="45">
        <v>8350.989778534924</v>
      </c>
      <c r="K962" s="46">
        <v>-0.10094060483459613</v>
      </c>
    </row>
    <row r="963" spans="1:11" x14ac:dyDescent="0.2">
      <c r="A963" s="38" t="s">
        <v>7</v>
      </c>
      <c r="B963" s="38" t="s">
        <v>4554</v>
      </c>
      <c r="C963" s="43" t="s">
        <v>4439</v>
      </c>
      <c r="D963" s="38" t="s">
        <v>12592</v>
      </c>
      <c r="E963" s="44">
        <v>144</v>
      </c>
      <c r="F963" s="45">
        <v>1505186</v>
      </c>
      <c r="G963" s="44">
        <v>188</v>
      </c>
      <c r="H963" s="45">
        <v>1781437</v>
      </c>
      <c r="I963" s="45">
        <v>10452.680555555555</v>
      </c>
      <c r="J963" s="45">
        <v>9475.728723404256</v>
      </c>
      <c r="K963" s="46">
        <v>-9.3464238858046139E-2</v>
      </c>
    </row>
    <row r="964" spans="1:11" x14ac:dyDescent="0.2">
      <c r="A964" s="38" t="s">
        <v>7</v>
      </c>
      <c r="B964" s="38" t="s">
        <v>4555</v>
      </c>
      <c r="C964" s="43" t="s">
        <v>4264</v>
      </c>
      <c r="D964" s="38" t="s">
        <v>12554</v>
      </c>
      <c r="E964" s="44">
        <v>1</v>
      </c>
      <c r="F964" s="45">
        <v>12105</v>
      </c>
      <c r="G964" s="44">
        <v>1</v>
      </c>
      <c r="H964" s="45">
        <v>4500</v>
      </c>
      <c r="I964" s="45">
        <v>12105</v>
      </c>
      <c r="J964" s="45">
        <v>4500</v>
      </c>
      <c r="K964" s="46">
        <v>-0.62825278810408924</v>
      </c>
    </row>
    <row r="965" spans="1:11" x14ac:dyDescent="0.2">
      <c r="A965" s="38" t="s">
        <v>7</v>
      </c>
      <c r="B965" s="38" t="s">
        <v>4556</v>
      </c>
      <c r="C965" s="43" t="s">
        <v>4557</v>
      </c>
      <c r="D965" s="38" t="s">
        <v>12544</v>
      </c>
      <c r="E965" s="44">
        <v>1069</v>
      </c>
      <c r="F965" s="45">
        <v>14332160</v>
      </c>
      <c r="G965" s="44">
        <v>1243</v>
      </c>
      <c r="H965" s="45">
        <v>15780723</v>
      </c>
      <c r="I965" s="45">
        <v>13407.072029934518</v>
      </c>
      <c r="J965" s="45">
        <v>12695.674175382141</v>
      </c>
      <c r="K965" s="46">
        <v>-5.306138827060896E-2</v>
      </c>
    </row>
    <row r="966" spans="1:11" x14ac:dyDescent="0.2">
      <c r="A966" s="38" t="s">
        <v>7</v>
      </c>
      <c r="B966" s="38" t="s">
        <v>4558</v>
      </c>
      <c r="C966" s="43" t="s">
        <v>4442</v>
      </c>
      <c r="D966" s="38" t="s">
        <v>12593</v>
      </c>
      <c r="E966" s="44">
        <v>912</v>
      </c>
      <c r="F966" s="45">
        <v>9644829</v>
      </c>
      <c r="G966" s="44">
        <v>1162</v>
      </c>
      <c r="H966" s="45">
        <v>10990979</v>
      </c>
      <c r="I966" s="45">
        <v>10575.470394736842</v>
      </c>
      <c r="J966" s="45">
        <v>9458.6738382099829</v>
      </c>
      <c r="K966" s="46">
        <v>-0.10560254199970733</v>
      </c>
    </row>
    <row r="967" spans="1:11" x14ac:dyDescent="0.2">
      <c r="A967" s="38" t="s">
        <v>7</v>
      </c>
      <c r="B967" s="38" t="s">
        <v>4559</v>
      </c>
      <c r="C967" s="43" t="s">
        <v>4560</v>
      </c>
      <c r="D967" s="38" t="s">
        <v>12605</v>
      </c>
      <c r="E967" s="44">
        <v>3</v>
      </c>
      <c r="F967" s="45">
        <v>22176</v>
      </c>
      <c r="G967" s="44">
        <v>5</v>
      </c>
      <c r="H967" s="45">
        <v>38880</v>
      </c>
      <c r="I967" s="45">
        <v>7392</v>
      </c>
      <c r="J967" s="45">
        <v>7776</v>
      </c>
      <c r="K967" s="46">
        <v>5.1948051948051951E-2</v>
      </c>
    </row>
    <row r="968" spans="1:11" x14ac:dyDescent="0.2">
      <c r="A968" s="38" t="s">
        <v>7</v>
      </c>
      <c r="B968" s="38" t="s">
        <v>4562</v>
      </c>
      <c r="C968" s="43" t="s">
        <v>4240</v>
      </c>
      <c r="D968" s="38" t="s">
        <v>12548</v>
      </c>
      <c r="E968" s="44">
        <v>123</v>
      </c>
      <c r="F968" s="45">
        <v>1031473</v>
      </c>
      <c r="G968" s="44">
        <v>153</v>
      </c>
      <c r="H968" s="45">
        <v>1152225</v>
      </c>
      <c r="I968" s="45">
        <v>8385.9593495934951</v>
      </c>
      <c r="J968" s="45">
        <v>7530.8823529411766</v>
      </c>
      <c r="K968" s="46">
        <v>-0.10196531619173278</v>
      </c>
    </row>
    <row r="969" spans="1:11" x14ac:dyDescent="0.2">
      <c r="A969" s="38" t="s">
        <v>7</v>
      </c>
      <c r="B969" s="38" t="s">
        <v>4563</v>
      </c>
      <c r="C969" s="43" t="s">
        <v>4243</v>
      </c>
      <c r="D969" s="38" t="s">
        <v>12606</v>
      </c>
      <c r="G969" s="44">
        <v>5</v>
      </c>
      <c r="H969" s="45">
        <v>29373</v>
      </c>
      <c r="J969" s="45">
        <v>5874.6</v>
      </c>
    </row>
    <row r="970" spans="1:11" x14ac:dyDescent="0.2">
      <c r="A970" s="38" t="s">
        <v>7</v>
      </c>
      <c r="B970" s="38" t="s">
        <v>4564</v>
      </c>
      <c r="C970" s="43" t="s">
        <v>4445</v>
      </c>
      <c r="D970" s="38" t="s">
        <v>12594</v>
      </c>
      <c r="E970" s="44">
        <v>338</v>
      </c>
      <c r="F970" s="45">
        <v>2663430</v>
      </c>
      <c r="G970" s="44">
        <v>518</v>
      </c>
      <c r="H970" s="45">
        <v>3595461</v>
      </c>
      <c r="I970" s="45">
        <v>7879.9704142011833</v>
      </c>
      <c r="J970" s="45">
        <v>6941.0444015444018</v>
      </c>
      <c r="K970" s="46">
        <v>-0.11915349465838868</v>
      </c>
    </row>
    <row r="971" spans="1:11" x14ac:dyDescent="0.2">
      <c r="A971" s="38" t="s">
        <v>7</v>
      </c>
      <c r="B971" s="38" t="s">
        <v>4565</v>
      </c>
      <c r="C971" s="43" t="s">
        <v>4249</v>
      </c>
      <c r="D971" s="38" t="s">
        <v>12549</v>
      </c>
      <c r="E971" s="44">
        <v>14</v>
      </c>
      <c r="F971" s="45">
        <v>108486</v>
      </c>
      <c r="G971" s="44">
        <v>12</v>
      </c>
      <c r="H971" s="45">
        <v>85070</v>
      </c>
      <c r="I971" s="45">
        <v>7749</v>
      </c>
      <c r="J971" s="45">
        <v>7089.166666666667</v>
      </c>
      <c r="K971" s="46">
        <v>-8.5150772142642023E-2</v>
      </c>
    </row>
    <row r="972" spans="1:11" x14ac:dyDescent="0.2">
      <c r="A972" s="38" t="s">
        <v>7</v>
      </c>
      <c r="B972" s="38" t="s">
        <v>4566</v>
      </c>
      <c r="C972" s="43" t="s">
        <v>4448</v>
      </c>
      <c r="D972" s="38" t="s">
        <v>12595</v>
      </c>
      <c r="E972" s="44">
        <v>83</v>
      </c>
      <c r="F972" s="45">
        <v>623034</v>
      </c>
      <c r="G972" s="44">
        <v>104</v>
      </c>
      <c r="H972" s="45">
        <v>702880</v>
      </c>
      <c r="I972" s="45">
        <v>7506.4337349397592</v>
      </c>
      <c r="J972" s="45">
        <v>6758.4615384615381</v>
      </c>
      <c r="K972" s="46">
        <v>-9.9644148325279763E-2</v>
      </c>
    </row>
    <row r="973" spans="1:11" x14ac:dyDescent="0.2">
      <c r="A973" s="38" t="s">
        <v>7</v>
      </c>
      <c r="B973" s="38" t="s">
        <v>4567</v>
      </c>
      <c r="C973" s="43" t="s">
        <v>4451</v>
      </c>
      <c r="D973" s="38" t="s">
        <v>12100</v>
      </c>
      <c r="E973" s="44">
        <v>24</v>
      </c>
      <c r="F973" s="45">
        <v>225396</v>
      </c>
      <c r="G973" s="44">
        <v>29</v>
      </c>
      <c r="H973" s="45">
        <v>235788</v>
      </c>
      <c r="I973" s="45">
        <v>9391.5</v>
      </c>
      <c r="J973" s="45">
        <v>8130.6206896551721</v>
      </c>
      <c r="K973" s="46">
        <v>-0.13425749990361793</v>
      </c>
    </row>
    <row r="974" spans="1:11" x14ac:dyDescent="0.2">
      <c r="A974" s="38" t="s">
        <v>7</v>
      </c>
      <c r="B974" s="38" t="s">
        <v>4569</v>
      </c>
      <c r="C974" s="43" t="s">
        <v>4570</v>
      </c>
      <c r="D974" s="38" t="s">
        <v>12607</v>
      </c>
      <c r="G974" s="44">
        <v>2</v>
      </c>
      <c r="H974" s="45">
        <v>10668</v>
      </c>
      <c r="J974" s="45">
        <v>5334</v>
      </c>
    </row>
    <row r="975" spans="1:11" x14ac:dyDescent="0.2">
      <c r="A975" s="38" t="s">
        <v>7</v>
      </c>
      <c r="B975" s="38" t="s">
        <v>4572</v>
      </c>
      <c r="C975" s="43" t="s">
        <v>2735</v>
      </c>
      <c r="G975" s="44">
        <v>3</v>
      </c>
      <c r="H975" s="45">
        <v>13164</v>
      </c>
      <c r="J975" s="45">
        <v>4388</v>
      </c>
    </row>
    <row r="976" spans="1:11" x14ac:dyDescent="0.2">
      <c r="A976" s="38" t="s">
        <v>7</v>
      </c>
      <c r="B976" s="38" t="s">
        <v>4574</v>
      </c>
      <c r="C976" s="43" t="s">
        <v>4454</v>
      </c>
      <c r="D976" s="38" t="s">
        <v>12596</v>
      </c>
      <c r="E976" s="44">
        <v>29</v>
      </c>
      <c r="F976" s="45">
        <v>191497</v>
      </c>
      <c r="G976" s="44">
        <v>49</v>
      </c>
      <c r="H976" s="45">
        <v>304659</v>
      </c>
      <c r="I976" s="45">
        <v>6603.3448275862065</v>
      </c>
      <c r="J976" s="45">
        <v>6217.5306122448983</v>
      </c>
      <c r="K976" s="46">
        <v>-5.8427088909476073E-2</v>
      </c>
    </row>
    <row r="977" spans="1:11" x14ac:dyDescent="0.2">
      <c r="A977" s="38" t="s">
        <v>7</v>
      </c>
      <c r="B977" s="38" t="s">
        <v>4575</v>
      </c>
      <c r="C977" s="43" t="s">
        <v>4293</v>
      </c>
      <c r="D977" s="38" t="s">
        <v>12557</v>
      </c>
      <c r="E977" s="44">
        <v>20</v>
      </c>
      <c r="F977" s="45">
        <v>125248</v>
      </c>
      <c r="G977" s="44">
        <v>27</v>
      </c>
      <c r="H977" s="45">
        <v>132740</v>
      </c>
      <c r="I977" s="45">
        <v>6262.4</v>
      </c>
      <c r="J977" s="45">
        <v>4916.2962962962965</v>
      </c>
      <c r="K977" s="46">
        <v>-0.21495013153163375</v>
      </c>
    </row>
    <row r="978" spans="1:11" x14ac:dyDescent="0.2">
      <c r="A978" s="38" t="s">
        <v>7</v>
      </c>
      <c r="B978" s="38" t="s">
        <v>4576</v>
      </c>
      <c r="C978" s="43" t="s">
        <v>4577</v>
      </c>
      <c r="D978" s="38" t="s">
        <v>12608</v>
      </c>
      <c r="G978" s="44">
        <v>6</v>
      </c>
      <c r="H978" s="45">
        <v>46740</v>
      </c>
      <c r="J978" s="45">
        <v>7790</v>
      </c>
    </row>
    <row r="979" spans="1:11" x14ac:dyDescent="0.2">
      <c r="A979" s="38" t="s">
        <v>7</v>
      </c>
      <c r="B979" s="38" t="s">
        <v>4579</v>
      </c>
      <c r="C979" s="43" t="s">
        <v>4457</v>
      </c>
      <c r="D979" s="38" t="s">
        <v>12597</v>
      </c>
      <c r="E979" s="44">
        <v>127</v>
      </c>
      <c r="F979" s="45">
        <v>692559</v>
      </c>
      <c r="G979" s="44">
        <v>162</v>
      </c>
      <c r="H979" s="45">
        <v>815662</v>
      </c>
      <c r="I979" s="45">
        <v>5453.2204724409448</v>
      </c>
      <c r="J979" s="45">
        <v>5034.950617283951</v>
      </c>
      <c r="K979" s="46">
        <v>-7.6701438584926646E-2</v>
      </c>
    </row>
    <row r="980" spans="1:11" x14ac:dyDescent="0.2">
      <c r="A980" s="38" t="s">
        <v>7</v>
      </c>
      <c r="B980" s="38" t="s">
        <v>4580</v>
      </c>
      <c r="C980" s="43" t="s">
        <v>4318</v>
      </c>
      <c r="D980" s="38" t="s">
        <v>12558</v>
      </c>
      <c r="E980" s="44">
        <v>51</v>
      </c>
      <c r="F980" s="45">
        <v>287779</v>
      </c>
      <c r="G980" s="44">
        <v>77</v>
      </c>
      <c r="H980" s="45">
        <v>378895</v>
      </c>
      <c r="I980" s="45">
        <v>5642.7254901960787</v>
      </c>
      <c r="J980" s="45">
        <v>4920.7142857142853</v>
      </c>
      <c r="K980" s="46">
        <v>-0.12795433797661213</v>
      </c>
    </row>
    <row r="981" spans="1:11" x14ac:dyDescent="0.2">
      <c r="A981" s="38" t="s">
        <v>7</v>
      </c>
      <c r="B981" s="38" t="s">
        <v>4581</v>
      </c>
      <c r="C981" s="43" t="s">
        <v>4582</v>
      </c>
      <c r="D981" s="38" t="s">
        <v>12609</v>
      </c>
      <c r="G981" s="44">
        <v>14</v>
      </c>
      <c r="H981" s="45">
        <v>111881</v>
      </c>
      <c r="J981" s="45">
        <v>7991.5</v>
      </c>
    </row>
    <row r="982" spans="1:11" x14ac:dyDescent="0.2">
      <c r="A982" s="38" t="s">
        <v>7</v>
      </c>
      <c r="B982" s="38" t="s">
        <v>4584</v>
      </c>
      <c r="C982" s="43" t="s">
        <v>4460</v>
      </c>
      <c r="D982" s="38" t="s">
        <v>12598</v>
      </c>
      <c r="E982" s="44">
        <v>6</v>
      </c>
      <c r="F982" s="45">
        <v>45765</v>
      </c>
      <c r="G982" s="44">
        <v>6</v>
      </c>
      <c r="H982" s="45">
        <v>47526</v>
      </c>
      <c r="I982" s="45">
        <v>7627.5</v>
      </c>
      <c r="J982" s="45">
        <v>7921</v>
      </c>
      <c r="K982" s="46">
        <v>3.8479187151753524E-2</v>
      </c>
    </row>
    <row r="983" spans="1:11" x14ac:dyDescent="0.2">
      <c r="A983" s="38" t="s">
        <v>7</v>
      </c>
      <c r="B983" s="38" t="s">
        <v>4585</v>
      </c>
      <c r="C983" s="43" t="s">
        <v>4463</v>
      </c>
      <c r="D983" s="38" t="s">
        <v>12096</v>
      </c>
      <c r="E983" s="44">
        <v>4</v>
      </c>
      <c r="F983" s="45">
        <v>39936</v>
      </c>
      <c r="G983" s="44">
        <v>2</v>
      </c>
      <c r="H983" s="45">
        <v>19968</v>
      </c>
      <c r="I983" s="45">
        <v>9984</v>
      </c>
      <c r="J983" s="45">
        <v>9984</v>
      </c>
      <c r="K983" s="46">
        <v>0</v>
      </c>
    </row>
    <row r="984" spans="1:11" x14ac:dyDescent="0.2">
      <c r="A984" s="38" t="s">
        <v>7</v>
      </c>
      <c r="B984" s="38" t="s">
        <v>4586</v>
      </c>
      <c r="C984" s="43" t="s">
        <v>4326</v>
      </c>
      <c r="D984" s="38" t="s">
        <v>12560</v>
      </c>
      <c r="G984" s="44">
        <v>3</v>
      </c>
      <c r="H984" s="45">
        <v>23586</v>
      </c>
      <c r="J984" s="45">
        <v>7862</v>
      </c>
    </row>
    <row r="985" spans="1:11" x14ac:dyDescent="0.2">
      <c r="A985" s="38" t="s">
        <v>7</v>
      </c>
      <c r="B985" s="38" t="s">
        <v>4587</v>
      </c>
      <c r="C985" s="43" t="s">
        <v>4329</v>
      </c>
      <c r="D985" s="38" t="s">
        <v>12610</v>
      </c>
      <c r="E985" s="44">
        <v>23</v>
      </c>
      <c r="F985" s="45">
        <v>412179</v>
      </c>
      <c r="G985" s="44">
        <v>103</v>
      </c>
      <c r="H985" s="45">
        <v>1328287</v>
      </c>
      <c r="I985" s="45">
        <v>17920.82608695652</v>
      </c>
      <c r="J985" s="45">
        <v>12895.990291262136</v>
      </c>
      <c r="K985" s="46">
        <v>-0.28039085761518862</v>
      </c>
    </row>
    <row r="986" spans="1:11" x14ac:dyDescent="0.2">
      <c r="A986" s="38" t="s">
        <v>7</v>
      </c>
      <c r="B986" s="38" t="s">
        <v>4588</v>
      </c>
      <c r="C986" s="43" t="s">
        <v>4335</v>
      </c>
      <c r="D986" s="38" t="s">
        <v>12562</v>
      </c>
      <c r="E986" s="44">
        <v>1516</v>
      </c>
      <c r="F986" s="45">
        <v>34229532</v>
      </c>
      <c r="G986" s="44">
        <v>1748</v>
      </c>
      <c r="H986" s="45">
        <v>33837364</v>
      </c>
      <c r="I986" s="45">
        <v>22578.846965699209</v>
      </c>
      <c r="J986" s="45">
        <v>19357.759725400458</v>
      </c>
      <c r="K986" s="46">
        <v>-0.14265950981430034</v>
      </c>
    </row>
    <row r="987" spans="1:11" x14ac:dyDescent="0.2">
      <c r="A987" s="38" t="s">
        <v>7</v>
      </c>
      <c r="B987" s="38" t="s">
        <v>4589</v>
      </c>
      <c r="C987" s="43" t="s">
        <v>4338</v>
      </c>
      <c r="D987" s="38" t="s">
        <v>12563</v>
      </c>
      <c r="E987" s="44">
        <v>37</v>
      </c>
      <c r="F987" s="45">
        <v>808543</v>
      </c>
      <c r="G987" s="44">
        <v>82</v>
      </c>
      <c r="H987" s="45">
        <v>1656627</v>
      </c>
      <c r="I987" s="45">
        <v>21852.513513513513</v>
      </c>
      <c r="J987" s="45">
        <v>20202.768292682926</v>
      </c>
      <c r="K987" s="46">
        <v>-7.5494529259089185E-2</v>
      </c>
    </row>
    <row r="988" spans="1:11" x14ac:dyDescent="0.2">
      <c r="A988" s="38" t="s">
        <v>7</v>
      </c>
      <c r="B988" s="38" t="s">
        <v>4590</v>
      </c>
      <c r="C988" s="43" t="s">
        <v>4332</v>
      </c>
      <c r="D988" s="38" t="s">
        <v>12561</v>
      </c>
      <c r="E988" s="44">
        <v>3679</v>
      </c>
      <c r="F988" s="45">
        <v>71846459</v>
      </c>
      <c r="G988" s="44">
        <v>3803</v>
      </c>
      <c r="H988" s="45">
        <v>64983888</v>
      </c>
      <c r="I988" s="45">
        <v>19528.801032889372</v>
      </c>
      <c r="J988" s="45">
        <v>17087.533000262949</v>
      </c>
      <c r="K988" s="46">
        <v>-0.12500859773802647</v>
      </c>
    </row>
    <row r="989" spans="1:11" x14ac:dyDescent="0.2">
      <c r="A989" s="38" t="s">
        <v>7</v>
      </c>
      <c r="B989" s="38" t="s">
        <v>4591</v>
      </c>
      <c r="C989" s="43" t="s">
        <v>4592</v>
      </c>
      <c r="D989" s="38" t="s">
        <v>12610</v>
      </c>
      <c r="E989" s="44">
        <v>83</v>
      </c>
      <c r="F989" s="45">
        <v>532280.66</v>
      </c>
      <c r="G989" s="44">
        <v>152</v>
      </c>
      <c r="H989" s="45">
        <v>906908.6</v>
      </c>
      <c r="I989" s="45">
        <v>6413.02</v>
      </c>
      <c r="J989" s="45">
        <v>5966.503947368421</v>
      </c>
      <c r="K989" s="46">
        <v>-6.9626486839520135E-2</v>
      </c>
    </row>
    <row r="990" spans="1:11" x14ac:dyDescent="0.2">
      <c r="A990" s="38" t="s">
        <v>7</v>
      </c>
      <c r="B990" s="38" t="s">
        <v>4594</v>
      </c>
      <c r="C990" s="43" t="s">
        <v>4595</v>
      </c>
      <c r="D990" s="38" t="s">
        <v>12611</v>
      </c>
      <c r="E990" s="44">
        <v>14</v>
      </c>
      <c r="F990" s="45">
        <v>146554</v>
      </c>
      <c r="G990" s="44">
        <v>23</v>
      </c>
      <c r="H990" s="45">
        <v>186257</v>
      </c>
      <c r="I990" s="45">
        <v>10468.142857142857</v>
      </c>
      <c r="J990" s="45">
        <v>8098.130434782609</v>
      </c>
      <c r="K990" s="46">
        <v>-0.22640237668738808</v>
      </c>
    </row>
    <row r="991" spans="1:11" x14ac:dyDescent="0.2">
      <c r="A991" s="38" t="s">
        <v>7</v>
      </c>
      <c r="B991" s="38" t="s">
        <v>4597</v>
      </c>
      <c r="C991" s="43" t="s">
        <v>4598</v>
      </c>
      <c r="D991" s="38" t="s">
        <v>12612</v>
      </c>
      <c r="G991" s="44">
        <v>36</v>
      </c>
      <c r="H991" s="45">
        <v>200873</v>
      </c>
      <c r="J991" s="45">
        <v>5579.8055555555557</v>
      </c>
    </row>
    <row r="992" spans="1:11" x14ac:dyDescent="0.2">
      <c r="A992" s="38" t="s">
        <v>7</v>
      </c>
      <c r="B992" s="38" t="s">
        <v>4600</v>
      </c>
      <c r="C992" s="43" t="s">
        <v>4601</v>
      </c>
      <c r="D992" s="38" t="s">
        <v>12613</v>
      </c>
      <c r="E992" s="44">
        <v>2</v>
      </c>
      <c r="F992" s="45">
        <v>8540</v>
      </c>
      <c r="G992" s="44">
        <v>2</v>
      </c>
      <c r="H992" s="45">
        <v>8540</v>
      </c>
      <c r="I992" s="45">
        <v>4270</v>
      </c>
      <c r="J992" s="45">
        <v>4270</v>
      </c>
      <c r="K992" s="46">
        <v>0</v>
      </c>
    </row>
    <row r="993" spans="1:11" x14ac:dyDescent="0.2">
      <c r="A993" s="38" t="s">
        <v>7</v>
      </c>
      <c r="B993" s="38" t="s">
        <v>4603</v>
      </c>
      <c r="C993" s="43" t="s">
        <v>4604</v>
      </c>
      <c r="G993" s="44">
        <v>3</v>
      </c>
      <c r="H993" s="45">
        <v>19728</v>
      </c>
      <c r="J993" s="45">
        <v>6576</v>
      </c>
    </row>
    <row r="994" spans="1:11" x14ac:dyDescent="0.2">
      <c r="A994" s="38" t="s">
        <v>7</v>
      </c>
      <c r="B994" s="38" t="s">
        <v>4606</v>
      </c>
      <c r="C994" s="43" t="s">
        <v>2511</v>
      </c>
      <c r="E994" s="44">
        <v>25</v>
      </c>
      <c r="F994" s="45">
        <v>94725</v>
      </c>
      <c r="G994" s="44">
        <v>29</v>
      </c>
      <c r="H994" s="45">
        <v>122277</v>
      </c>
      <c r="I994" s="45">
        <v>3789</v>
      </c>
      <c r="J994" s="45">
        <v>4216.4482758620688</v>
      </c>
      <c r="K994" s="46">
        <v>0.11281295219373683</v>
      </c>
    </row>
    <row r="995" spans="1:11" x14ac:dyDescent="0.2">
      <c r="A995" s="38" t="s">
        <v>7</v>
      </c>
      <c r="B995" s="38" t="s">
        <v>4607</v>
      </c>
      <c r="C995" s="43" t="s">
        <v>3456</v>
      </c>
      <c r="G995" s="44">
        <v>2</v>
      </c>
      <c r="H995" s="45">
        <v>10702</v>
      </c>
      <c r="J995" s="45">
        <v>5351</v>
      </c>
    </row>
    <row r="996" spans="1:11" x14ac:dyDescent="0.2">
      <c r="A996" s="38" t="s">
        <v>7</v>
      </c>
      <c r="B996" s="38" t="s">
        <v>4608</v>
      </c>
      <c r="C996" s="43" t="s">
        <v>4609</v>
      </c>
      <c r="E996" s="44">
        <v>34</v>
      </c>
      <c r="F996" s="45">
        <v>219831</v>
      </c>
      <c r="G996" s="44">
        <v>25</v>
      </c>
      <c r="H996" s="45">
        <v>160244</v>
      </c>
      <c r="I996" s="45">
        <v>6465.6176470588234</v>
      </c>
      <c r="J996" s="45">
        <v>6409.76</v>
      </c>
      <c r="K996" s="46">
        <v>-8.6391819170180233E-3</v>
      </c>
    </row>
    <row r="997" spans="1:11" x14ac:dyDescent="0.2">
      <c r="A997" s="38" t="s">
        <v>7</v>
      </c>
      <c r="B997" s="38" t="s">
        <v>4611</v>
      </c>
      <c r="C997" s="43" t="s">
        <v>3998</v>
      </c>
      <c r="G997" s="44">
        <v>1</v>
      </c>
      <c r="H997" s="45">
        <v>3930</v>
      </c>
      <c r="J997" s="45">
        <v>3930</v>
      </c>
    </row>
    <row r="998" spans="1:11" x14ac:dyDescent="0.2">
      <c r="A998" s="38" t="s">
        <v>7</v>
      </c>
      <c r="B998" s="38" t="s">
        <v>4615</v>
      </c>
      <c r="C998" s="43" t="s">
        <v>2499</v>
      </c>
      <c r="E998" s="44">
        <v>6</v>
      </c>
      <c r="F998" s="45">
        <v>18612</v>
      </c>
      <c r="G998" s="44">
        <v>16</v>
      </c>
      <c r="H998" s="45">
        <v>49080</v>
      </c>
      <c r="I998" s="45">
        <v>3102</v>
      </c>
      <c r="J998" s="45">
        <v>3067.5</v>
      </c>
      <c r="K998" s="46">
        <v>-1.1121856866537718E-2</v>
      </c>
    </row>
    <row r="999" spans="1:11" x14ac:dyDescent="0.2">
      <c r="A999" s="38" t="s">
        <v>7</v>
      </c>
      <c r="B999" s="38" t="s">
        <v>4616</v>
      </c>
      <c r="C999" s="43" t="s">
        <v>3560</v>
      </c>
      <c r="G999" s="44">
        <v>6</v>
      </c>
      <c r="H999" s="45">
        <v>19042</v>
      </c>
      <c r="J999" s="45">
        <v>3173.6666666666665</v>
      </c>
    </row>
    <row r="1000" spans="1:11" x14ac:dyDescent="0.2">
      <c r="A1000" s="38" t="s">
        <v>7</v>
      </c>
      <c r="B1000" s="38" t="s">
        <v>4618</v>
      </c>
      <c r="C1000" s="43" t="s">
        <v>2589</v>
      </c>
      <c r="E1000" s="44">
        <v>5</v>
      </c>
      <c r="F1000" s="45">
        <v>20800</v>
      </c>
      <c r="G1000" s="44">
        <v>7</v>
      </c>
      <c r="H1000" s="45">
        <v>27373</v>
      </c>
      <c r="I1000" s="45">
        <v>4160</v>
      </c>
      <c r="J1000" s="45">
        <v>3910.4285714285716</v>
      </c>
      <c r="K1000" s="46">
        <v>-5.9993131868131835E-2</v>
      </c>
    </row>
    <row r="1001" spans="1:11" x14ac:dyDescent="0.2">
      <c r="A1001" s="38" t="s">
        <v>7</v>
      </c>
      <c r="B1001" s="38" t="s">
        <v>4619</v>
      </c>
      <c r="C1001" s="43" t="s">
        <v>3593</v>
      </c>
      <c r="E1001" s="44">
        <v>21</v>
      </c>
      <c r="F1001" s="45">
        <v>215915</v>
      </c>
      <c r="G1001" s="44">
        <v>25</v>
      </c>
      <c r="H1001" s="45">
        <v>255103</v>
      </c>
      <c r="I1001" s="45">
        <v>10281.666666666666</v>
      </c>
      <c r="J1001" s="45">
        <v>10204.120000000001</v>
      </c>
      <c r="K1001" s="46">
        <v>-7.5422272653589166E-3</v>
      </c>
    </row>
    <row r="1002" spans="1:11" x14ac:dyDescent="0.2">
      <c r="A1002" s="38" t="s">
        <v>7</v>
      </c>
      <c r="B1002" s="38" t="s">
        <v>4620</v>
      </c>
      <c r="C1002" s="43" t="s">
        <v>4621</v>
      </c>
      <c r="E1002" s="44">
        <v>1</v>
      </c>
      <c r="F1002" s="45">
        <v>3186</v>
      </c>
      <c r="G1002" s="44">
        <v>5</v>
      </c>
      <c r="H1002" s="45">
        <v>13692</v>
      </c>
      <c r="I1002" s="45">
        <v>3186</v>
      </c>
      <c r="J1002" s="45">
        <v>2738.4</v>
      </c>
      <c r="K1002" s="46">
        <v>-0.14048964218455742</v>
      </c>
    </row>
    <row r="1003" spans="1:11" x14ac:dyDescent="0.2">
      <c r="A1003" s="38" t="s">
        <v>7</v>
      </c>
      <c r="B1003" s="38" t="s">
        <v>4624</v>
      </c>
      <c r="C1003" s="43" t="s">
        <v>4625</v>
      </c>
      <c r="E1003" s="44">
        <v>3</v>
      </c>
      <c r="F1003" s="45">
        <v>19042</v>
      </c>
      <c r="G1003" s="44">
        <v>2</v>
      </c>
      <c r="H1003" s="45">
        <v>13016</v>
      </c>
      <c r="I1003" s="45">
        <v>6347.333333333333</v>
      </c>
      <c r="J1003" s="45">
        <v>6508</v>
      </c>
      <c r="K1003" s="46">
        <v>2.5312467177817505E-2</v>
      </c>
    </row>
    <row r="1004" spans="1:11" x14ac:dyDescent="0.2">
      <c r="A1004" s="38" t="s">
        <v>7</v>
      </c>
      <c r="B1004" s="38" t="s">
        <v>4629</v>
      </c>
      <c r="C1004" s="43" t="s">
        <v>2669</v>
      </c>
      <c r="E1004" s="44">
        <v>2</v>
      </c>
      <c r="F1004" s="45">
        <v>21158</v>
      </c>
      <c r="G1004" s="44">
        <v>0</v>
      </c>
      <c r="H1004" s="45">
        <v>0</v>
      </c>
      <c r="I1004" s="45">
        <v>10579</v>
      </c>
    </row>
    <row r="1005" spans="1:11" x14ac:dyDescent="0.2">
      <c r="A1005" s="38" t="s">
        <v>7</v>
      </c>
      <c r="B1005" s="38" t="s">
        <v>4630</v>
      </c>
      <c r="C1005" s="43" t="s">
        <v>2496</v>
      </c>
      <c r="G1005" s="44">
        <v>7</v>
      </c>
      <c r="H1005" s="45">
        <v>17094</v>
      </c>
      <c r="J1005" s="45">
        <v>2442</v>
      </c>
    </row>
    <row r="1006" spans="1:11" x14ac:dyDescent="0.2">
      <c r="A1006" s="38" t="s">
        <v>7</v>
      </c>
      <c r="B1006" s="38" t="s">
        <v>4631</v>
      </c>
      <c r="C1006" s="43" t="s">
        <v>2460</v>
      </c>
      <c r="D1006" s="38" t="s">
        <v>12614</v>
      </c>
      <c r="E1006" s="44">
        <v>73</v>
      </c>
      <c r="F1006" s="45">
        <v>191448</v>
      </c>
      <c r="G1006" s="44">
        <v>55</v>
      </c>
      <c r="H1006" s="45">
        <v>154348</v>
      </c>
      <c r="I1006" s="45">
        <v>2622.5753424657532</v>
      </c>
      <c r="J1006" s="45">
        <v>2806.3272727272729</v>
      </c>
      <c r="K1006" s="46">
        <v>7.0065453329838573E-2</v>
      </c>
    </row>
    <row r="1007" spans="1:11" x14ac:dyDescent="0.2">
      <c r="A1007" s="38" t="s">
        <v>7</v>
      </c>
      <c r="B1007" s="38" t="s">
        <v>4632</v>
      </c>
      <c r="C1007" s="43" t="s">
        <v>4353</v>
      </c>
      <c r="D1007" s="38" t="s">
        <v>12568</v>
      </c>
      <c r="E1007" s="44">
        <v>585</v>
      </c>
      <c r="F1007" s="45">
        <v>2165211</v>
      </c>
      <c r="G1007" s="44">
        <v>568</v>
      </c>
      <c r="H1007" s="45">
        <v>2118168</v>
      </c>
      <c r="I1007" s="45">
        <v>3701.2153846153847</v>
      </c>
      <c r="J1007" s="45">
        <v>3729.1690140845071</v>
      </c>
      <c r="K1007" s="46">
        <v>7.5525541110943182E-3</v>
      </c>
    </row>
    <row r="1008" spans="1:11" x14ac:dyDescent="0.2">
      <c r="A1008" s="38" t="s">
        <v>7</v>
      </c>
      <c r="B1008" s="38" t="s">
        <v>4637</v>
      </c>
      <c r="C1008" s="43" t="s">
        <v>4216</v>
      </c>
      <c r="D1008" s="38" t="s">
        <v>12615</v>
      </c>
      <c r="G1008" s="44">
        <v>3</v>
      </c>
      <c r="H1008" s="45">
        <v>6948</v>
      </c>
      <c r="J1008" s="45">
        <v>2316</v>
      </c>
    </row>
    <row r="1009" spans="1:11" x14ac:dyDescent="0.2">
      <c r="A1009" s="38" t="s">
        <v>7</v>
      </c>
      <c r="B1009" s="38" t="s">
        <v>4638</v>
      </c>
      <c r="C1009" s="43" t="s">
        <v>2735</v>
      </c>
      <c r="E1009" s="44">
        <v>63</v>
      </c>
      <c r="F1009" s="45">
        <v>271135</v>
      </c>
      <c r="G1009" s="44">
        <v>109</v>
      </c>
      <c r="H1009" s="45">
        <v>432191</v>
      </c>
      <c r="I1009" s="45">
        <v>4303.730158730159</v>
      </c>
      <c r="J1009" s="45">
        <v>3965.0550458715597</v>
      </c>
      <c r="K1009" s="46">
        <v>-7.8693389308247749E-2</v>
      </c>
    </row>
    <row r="1010" spans="1:11" x14ac:dyDescent="0.2">
      <c r="A1010" s="38" t="s">
        <v>7</v>
      </c>
      <c r="B1010" s="38" t="s">
        <v>4639</v>
      </c>
      <c r="C1010" s="43" t="s">
        <v>4362</v>
      </c>
      <c r="D1010" s="38" t="s">
        <v>12571</v>
      </c>
      <c r="E1010" s="44">
        <v>32</v>
      </c>
      <c r="F1010" s="45">
        <v>111672</v>
      </c>
      <c r="G1010" s="44">
        <v>35</v>
      </c>
      <c r="H1010" s="45">
        <v>99882</v>
      </c>
      <c r="I1010" s="45">
        <v>3489.75</v>
      </c>
      <c r="J1010" s="45">
        <v>2853.7714285714287</v>
      </c>
      <c r="K1010" s="46">
        <v>-0.18224187160357369</v>
      </c>
    </row>
    <row r="1011" spans="1:11" x14ac:dyDescent="0.2">
      <c r="A1011" s="38" t="s">
        <v>7</v>
      </c>
      <c r="B1011" s="38" t="s">
        <v>4640</v>
      </c>
      <c r="C1011" s="43" t="s">
        <v>2451</v>
      </c>
      <c r="D1011" s="38" t="s">
        <v>12567</v>
      </c>
      <c r="E1011" s="44">
        <v>289</v>
      </c>
      <c r="F1011" s="45">
        <v>648227</v>
      </c>
      <c r="G1011" s="44">
        <v>251</v>
      </c>
      <c r="H1011" s="45">
        <v>641711</v>
      </c>
      <c r="I1011" s="45">
        <v>2243</v>
      </c>
      <c r="J1011" s="45">
        <v>2556.6175298804783</v>
      </c>
      <c r="K1011" s="46">
        <v>0.13982056615268759</v>
      </c>
    </row>
    <row r="1012" spans="1:11" x14ac:dyDescent="0.2">
      <c r="A1012" s="38" t="s">
        <v>7</v>
      </c>
      <c r="B1012" s="38" t="s">
        <v>4642</v>
      </c>
      <c r="C1012" s="43" t="s">
        <v>4365</v>
      </c>
      <c r="D1012" s="38" t="s">
        <v>12572</v>
      </c>
      <c r="E1012" s="44">
        <v>118</v>
      </c>
      <c r="F1012" s="45">
        <v>174632</v>
      </c>
      <c r="G1012" s="44">
        <v>111</v>
      </c>
      <c r="H1012" s="45">
        <v>203476</v>
      </c>
      <c r="I1012" s="45">
        <v>1479.9322033898304</v>
      </c>
      <c r="J1012" s="45">
        <v>1833.117117117117</v>
      </c>
      <c r="K1012" s="46">
        <v>0.23864938739646696</v>
      </c>
    </row>
    <row r="1013" spans="1:11" x14ac:dyDescent="0.2">
      <c r="A1013" s="38" t="s">
        <v>7</v>
      </c>
      <c r="B1013" s="38" t="s">
        <v>4643</v>
      </c>
      <c r="C1013" s="43" t="s">
        <v>4371</v>
      </c>
      <c r="D1013" s="38" t="s">
        <v>12574</v>
      </c>
      <c r="E1013" s="44">
        <v>14</v>
      </c>
      <c r="F1013" s="45">
        <v>26570</v>
      </c>
      <c r="G1013" s="44">
        <v>4</v>
      </c>
      <c r="H1013" s="45">
        <v>7756</v>
      </c>
      <c r="I1013" s="45">
        <v>1897.8571428571429</v>
      </c>
      <c r="J1013" s="45">
        <v>1939</v>
      </c>
      <c r="K1013" s="46">
        <v>2.1678584870154293E-2</v>
      </c>
    </row>
    <row r="1014" spans="1:11" x14ac:dyDescent="0.2">
      <c r="A1014" s="38" t="s">
        <v>7</v>
      </c>
      <c r="B1014" s="38" t="s">
        <v>4647</v>
      </c>
      <c r="C1014" s="43" t="s">
        <v>4374</v>
      </c>
      <c r="D1014" s="38" t="s">
        <v>12106</v>
      </c>
      <c r="E1014" s="44">
        <v>250</v>
      </c>
      <c r="F1014" s="45">
        <v>730662</v>
      </c>
      <c r="G1014" s="44">
        <v>159</v>
      </c>
      <c r="H1014" s="45">
        <v>452850</v>
      </c>
      <c r="I1014" s="45">
        <v>2922.6480000000001</v>
      </c>
      <c r="J1014" s="45">
        <v>2848.1132075471696</v>
      </c>
      <c r="K1014" s="46">
        <v>-2.5502486940894187E-2</v>
      </c>
    </row>
    <row r="1015" spans="1:11" x14ac:dyDescent="0.2">
      <c r="A1015" s="38" t="s">
        <v>7</v>
      </c>
      <c r="B1015" s="38" t="s">
        <v>4649</v>
      </c>
      <c r="C1015" s="43" t="s">
        <v>4650</v>
      </c>
      <c r="D1015" s="38" t="s">
        <v>12575</v>
      </c>
      <c r="E1015" s="44">
        <v>811</v>
      </c>
      <c r="F1015" s="45">
        <v>1881559</v>
      </c>
      <c r="G1015" s="44">
        <v>940</v>
      </c>
      <c r="H1015" s="45">
        <v>2066712</v>
      </c>
      <c r="I1015" s="45">
        <v>2320.0480887792846</v>
      </c>
      <c r="J1015" s="45">
        <v>2198.6297872340424</v>
      </c>
      <c r="K1015" s="46">
        <v>-5.2334390020823934E-2</v>
      </c>
    </row>
    <row r="1016" spans="1:11" x14ac:dyDescent="0.2">
      <c r="A1016" s="38" t="s">
        <v>7</v>
      </c>
      <c r="B1016" s="38" t="s">
        <v>4651</v>
      </c>
      <c r="C1016" s="43" t="s">
        <v>4359</v>
      </c>
      <c r="D1016" s="38" t="s">
        <v>12570</v>
      </c>
      <c r="E1016" s="44">
        <v>391</v>
      </c>
      <c r="F1016" s="45">
        <v>960466</v>
      </c>
      <c r="G1016" s="44">
        <v>411</v>
      </c>
      <c r="H1016" s="45">
        <v>932976</v>
      </c>
      <c r="I1016" s="45">
        <v>2456.4347826086955</v>
      </c>
      <c r="J1016" s="45">
        <v>2270.0145985401459</v>
      </c>
      <c r="K1016" s="46">
        <v>-7.5890548932292134E-2</v>
      </c>
    </row>
    <row r="1017" spans="1:11" x14ac:dyDescent="0.2">
      <c r="A1017" s="38" t="s">
        <v>7</v>
      </c>
      <c r="B1017" s="38" t="s">
        <v>4652</v>
      </c>
      <c r="C1017" s="43" t="s">
        <v>4653</v>
      </c>
      <c r="D1017" s="38" t="s">
        <v>12616</v>
      </c>
      <c r="G1017" s="44">
        <v>5</v>
      </c>
      <c r="H1017" s="45">
        <v>11206</v>
      </c>
      <c r="J1017" s="45">
        <v>2241.1999999999998</v>
      </c>
    </row>
    <row r="1018" spans="1:11" x14ac:dyDescent="0.2">
      <c r="A1018" s="38" t="s">
        <v>7</v>
      </c>
      <c r="B1018" s="38" t="s">
        <v>4655</v>
      </c>
      <c r="C1018" s="43" t="s">
        <v>4380</v>
      </c>
      <c r="D1018" s="38" t="s">
        <v>12576</v>
      </c>
      <c r="E1018" s="44">
        <v>146</v>
      </c>
      <c r="F1018" s="45">
        <v>388772</v>
      </c>
      <c r="G1018" s="44">
        <v>160</v>
      </c>
      <c r="H1018" s="45">
        <v>399345</v>
      </c>
      <c r="I1018" s="45">
        <v>2662.821917808219</v>
      </c>
      <c r="J1018" s="45">
        <v>2495.90625</v>
      </c>
      <c r="K1018" s="46">
        <v>-6.2683751659070044E-2</v>
      </c>
    </row>
    <row r="1019" spans="1:11" x14ac:dyDescent="0.2">
      <c r="A1019" s="38" t="s">
        <v>7</v>
      </c>
      <c r="B1019" s="38" t="s">
        <v>4656</v>
      </c>
      <c r="C1019" s="43" t="s">
        <v>4383</v>
      </c>
      <c r="D1019" s="38" t="s">
        <v>12577</v>
      </c>
      <c r="E1019" s="44">
        <v>262</v>
      </c>
      <c r="F1019" s="45">
        <v>691062</v>
      </c>
      <c r="G1019" s="44">
        <v>277</v>
      </c>
      <c r="H1019" s="45">
        <v>684069</v>
      </c>
      <c r="I1019" s="45">
        <v>2637.6412213740459</v>
      </c>
      <c r="J1019" s="45">
        <v>2469.5631768953067</v>
      </c>
      <c r="K1019" s="46">
        <v>-6.3722860833658454E-2</v>
      </c>
    </row>
    <row r="1020" spans="1:11" x14ac:dyDescent="0.2">
      <c r="A1020" s="38" t="s">
        <v>7</v>
      </c>
      <c r="B1020" s="38" t="s">
        <v>4657</v>
      </c>
      <c r="C1020" s="43" t="s">
        <v>4386</v>
      </c>
      <c r="D1020" s="38" t="s">
        <v>12578</v>
      </c>
      <c r="G1020" s="44">
        <v>6</v>
      </c>
      <c r="H1020" s="45">
        <v>6858</v>
      </c>
      <c r="J1020" s="45">
        <v>1143</v>
      </c>
    </row>
    <row r="1021" spans="1:11" x14ac:dyDescent="0.2">
      <c r="A1021" s="38" t="s">
        <v>7</v>
      </c>
      <c r="B1021" s="38" t="s">
        <v>4658</v>
      </c>
      <c r="C1021" s="43" t="s">
        <v>4389</v>
      </c>
      <c r="D1021" s="38" t="s">
        <v>12579</v>
      </c>
      <c r="G1021" s="44">
        <v>1</v>
      </c>
      <c r="H1021" s="45">
        <v>1898</v>
      </c>
      <c r="J1021" s="45">
        <v>1898</v>
      </c>
    </row>
    <row r="1022" spans="1:11" x14ac:dyDescent="0.2">
      <c r="A1022" s="38" t="s">
        <v>7</v>
      </c>
      <c r="B1022" s="38" t="s">
        <v>4659</v>
      </c>
      <c r="C1022" s="43" t="s">
        <v>4392</v>
      </c>
      <c r="D1022" s="38" t="s">
        <v>12580</v>
      </c>
      <c r="E1022" s="44">
        <v>160</v>
      </c>
      <c r="F1022" s="45">
        <v>305665</v>
      </c>
      <c r="G1022" s="44">
        <v>180</v>
      </c>
      <c r="H1022" s="45">
        <v>363140</v>
      </c>
      <c r="I1022" s="45">
        <v>1910.40625</v>
      </c>
      <c r="J1022" s="45">
        <v>2017.4444444444443</v>
      </c>
      <c r="K1022" s="46">
        <v>5.6029022332001029E-2</v>
      </c>
    </row>
    <row r="1023" spans="1:11" x14ac:dyDescent="0.2">
      <c r="A1023" s="38" t="s">
        <v>7</v>
      </c>
      <c r="B1023" s="38" t="s">
        <v>4660</v>
      </c>
      <c r="C1023" s="43" t="s">
        <v>4469</v>
      </c>
      <c r="D1023" s="38" t="s">
        <v>12108</v>
      </c>
      <c r="E1023" s="44">
        <v>67</v>
      </c>
      <c r="F1023" s="45">
        <v>204843</v>
      </c>
      <c r="G1023" s="44">
        <v>74</v>
      </c>
      <c r="H1023" s="45">
        <v>215649</v>
      </c>
      <c r="I1023" s="45">
        <v>3057.3582089552237</v>
      </c>
      <c r="J1023" s="45">
        <v>2914.1756756756758</v>
      </c>
      <c r="K1023" s="46">
        <v>-4.6832109126158615E-2</v>
      </c>
    </row>
    <row r="1024" spans="1:11" x14ac:dyDescent="0.2">
      <c r="A1024" s="38" t="s">
        <v>7</v>
      </c>
      <c r="B1024" s="38" t="s">
        <v>4662</v>
      </c>
      <c r="C1024" s="43" t="s">
        <v>4663</v>
      </c>
      <c r="D1024" s="38" t="s">
        <v>12617</v>
      </c>
      <c r="E1024" s="44">
        <v>6</v>
      </c>
      <c r="F1024" s="45">
        <v>12172</v>
      </c>
      <c r="G1024" s="44">
        <v>5</v>
      </c>
      <c r="H1024" s="45">
        <v>11295</v>
      </c>
      <c r="I1024" s="45">
        <v>2028.6666666666667</v>
      </c>
      <c r="J1024" s="45">
        <v>2259</v>
      </c>
      <c r="K1024" s="46">
        <v>0.11353927045678602</v>
      </c>
    </row>
    <row r="1025" spans="1:11" x14ac:dyDescent="0.2">
      <c r="A1025" s="38" t="s">
        <v>7</v>
      </c>
      <c r="B1025" s="38" t="s">
        <v>4665</v>
      </c>
      <c r="C1025" s="43" t="s">
        <v>4395</v>
      </c>
      <c r="D1025" s="38" t="s">
        <v>12581</v>
      </c>
      <c r="E1025" s="44">
        <v>266</v>
      </c>
      <c r="F1025" s="45">
        <v>735700</v>
      </c>
      <c r="G1025" s="44">
        <v>235</v>
      </c>
      <c r="H1025" s="45">
        <v>602636</v>
      </c>
      <c r="I1025" s="45">
        <v>2765.7894736842104</v>
      </c>
      <c r="J1025" s="45">
        <v>2564.4085106382977</v>
      </c>
      <c r="K1025" s="46">
        <v>-7.2811385306800036E-2</v>
      </c>
    </row>
    <row r="1026" spans="1:11" x14ac:dyDescent="0.2">
      <c r="A1026" s="38" t="s">
        <v>7</v>
      </c>
      <c r="B1026" s="38" t="s">
        <v>4666</v>
      </c>
      <c r="C1026" s="43" t="s">
        <v>4398</v>
      </c>
      <c r="D1026" s="38" t="s">
        <v>12582</v>
      </c>
      <c r="E1026" s="44">
        <v>389</v>
      </c>
      <c r="F1026" s="45">
        <v>1533328</v>
      </c>
      <c r="G1026" s="44">
        <v>323</v>
      </c>
      <c r="H1026" s="45">
        <v>1144462</v>
      </c>
      <c r="I1026" s="45">
        <v>3941.7172236503857</v>
      </c>
      <c r="J1026" s="45">
        <v>3543.2260061919505</v>
      </c>
      <c r="K1026" s="46">
        <v>-0.10109584093640191</v>
      </c>
    </row>
    <row r="1027" spans="1:11" x14ac:dyDescent="0.2">
      <c r="A1027" s="38" t="s">
        <v>7</v>
      </c>
      <c r="B1027" s="38" t="s">
        <v>4667</v>
      </c>
      <c r="C1027" s="43" t="s">
        <v>4401</v>
      </c>
      <c r="D1027" s="38" t="s">
        <v>12583</v>
      </c>
      <c r="E1027" s="44">
        <v>52</v>
      </c>
      <c r="F1027" s="45">
        <v>109440</v>
      </c>
      <c r="G1027" s="44">
        <v>41</v>
      </c>
      <c r="H1027" s="45">
        <v>82390</v>
      </c>
      <c r="I1027" s="45">
        <v>2104.6153846153848</v>
      </c>
      <c r="J1027" s="45">
        <v>2009.5121951219512</v>
      </c>
      <c r="K1027" s="46">
        <v>-4.5187918984453068E-2</v>
      </c>
    </row>
    <row r="1028" spans="1:11" x14ac:dyDescent="0.2">
      <c r="A1028" s="38" t="s">
        <v>7</v>
      </c>
      <c r="B1028" s="38" t="s">
        <v>4668</v>
      </c>
      <c r="C1028" s="43" t="s">
        <v>4407</v>
      </c>
      <c r="D1028" s="38" t="s">
        <v>12585</v>
      </c>
      <c r="E1028" s="44">
        <v>7</v>
      </c>
      <c r="F1028" s="45">
        <v>8182</v>
      </c>
      <c r="G1028" s="44">
        <v>5</v>
      </c>
      <c r="H1028" s="45">
        <v>6942</v>
      </c>
      <c r="I1028" s="45">
        <v>1168.8571428571429</v>
      </c>
      <c r="J1028" s="45">
        <v>1388.4</v>
      </c>
      <c r="K1028" s="46">
        <v>0.18782693717917384</v>
      </c>
    </row>
    <row r="1029" spans="1:11" x14ac:dyDescent="0.2">
      <c r="A1029" s="38" t="s">
        <v>7</v>
      </c>
      <c r="B1029" s="38" t="s">
        <v>4669</v>
      </c>
      <c r="C1029" s="43" t="s">
        <v>3356</v>
      </c>
      <c r="D1029" s="38" t="s">
        <v>12412</v>
      </c>
      <c r="E1029" s="44">
        <v>1</v>
      </c>
      <c r="F1029" s="45">
        <v>3957</v>
      </c>
      <c r="G1029" s="44">
        <v>10</v>
      </c>
      <c r="H1029" s="45">
        <v>39570</v>
      </c>
      <c r="I1029" s="45">
        <v>3957</v>
      </c>
      <c r="J1029" s="45">
        <v>3957</v>
      </c>
      <c r="K1029" s="46">
        <v>0</v>
      </c>
    </row>
    <row r="1030" spans="1:11" x14ac:dyDescent="0.2">
      <c r="A1030" s="38" t="s">
        <v>7</v>
      </c>
      <c r="B1030" s="38" t="s">
        <v>4670</v>
      </c>
      <c r="C1030" s="43" t="s">
        <v>4671</v>
      </c>
      <c r="D1030" s="38" t="s">
        <v>12618</v>
      </c>
      <c r="E1030" s="44">
        <v>54</v>
      </c>
      <c r="F1030" s="45">
        <v>132955</v>
      </c>
      <c r="G1030" s="44">
        <v>46</v>
      </c>
      <c r="H1030" s="45">
        <v>110935</v>
      </c>
      <c r="I1030" s="45">
        <v>2462.1296296296296</v>
      </c>
      <c r="J1030" s="45">
        <v>2411.6304347826085</v>
      </c>
      <c r="K1030" s="46">
        <v>-2.0510372093859849E-2</v>
      </c>
    </row>
    <row r="1031" spans="1:11" x14ac:dyDescent="0.2">
      <c r="A1031" s="38" t="s">
        <v>7</v>
      </c>
      <c r="B1031" s="38" t="s">
        <v>4673</v>
      </c>
      <c r="C1031" s="43" t="s">
        <v>4356</v>
      </c>
      <c r="D1031" s="38" t="s">
        <v>12569</v>
      </c>
      <c r="E1031" s="44">
        <v>755</v>
      </c>
      <c r="F1031" s="45">
        <v>2438495</v>
      </c>
      <c r="G1031" s="44">
        <v>828</v>
      </c>
      <c r="H1031" s="45">
        <v>2528874</v>
      </c>
      <c r="I1031" s="45">
        <v>3229.7947019867552</v>
      </c>
      <c r="J1031" s="45">
        <v>3054.195652173913</v>
      </c>
      <c r="K1031" s="46">
        <v>-5.4368486549570876E-2</v>
      </c>
    </row>
    <row r="1032" spans="1:11" x14ac:dyDescent="0.2">
      <c r="A1032" s="38" t="s">
        <v>7</v>
      </c>
      <c r="B1032" s="38" t="s">
        <v>4674</v>
      </c>
      <c r="C1032" s="43" t="s">
        <v>4675</v>
      </c>
      <c r="D1032" s="38" t="s">
        <v>12619</v>
      </c>
      <c r="E1032" s="44">
        <v>55</v>
      </c>
      <c r="F1032" s="45">
        <v>23385</v>
      </c>
      <c r="G1032" s="44">
        <v>77</v>
      </c>
      <c r="H1032" s="45">
        <v>31218</v>
      </c>
      <c r="I1032" s="45">
        <v>425.18181818181819</v>
      </c>
      <c r="J1032" s="45">
        <v>405.42857142857144</v>
      </c>
      <c r="K1032" s="46">
        <v>-4.6458352423714808E-2</v>
      </c>
    </row>
    <row r="1033" spans="1:11" x14ac:dyDescent="0.2">
      <c r="A1033" s="38" t="s">
        <v>7</v>
      </c>
      <c r="B1033" s="38" t="s">
        <v>4677</v>
      </c>
      <c r="C1033" s="43" t="s">
        <v>2457</v>
      </c>
      <c r="D1033" s="38" t="s">
        <v>12620</v>
      </c>
      <c r="E1033" s="44">
        <v>63</v>
      </c>
      <c r="F1033" s="45">
        <v>179082</v>
      </c>
      <c r="G1033" s="44">
        <v>42</v>
      </c>
      <c r="H1033" s="45">
        <v>102258</v>
      </c>
      <c r="I1033" s="45">
        <v>2842.5714285714284</v>
      </c>
      <c r="J1033" s="45">
        <v>2434.7142857142858</v>
      </c>
      <c r="K1033" s="46">
        <v>-0.14348175696049847</v>
      </c>
    </row>
    <row r="1034" spans="1:11" x14ac:dyDescent="0.2">
      <c r="A1034" s="38" t="s">
        <v>7</v>
      </c>
      <c r="B1034" s="38" t="s">
        <v>4678</v>
      </c>
      <c r="C1034" s="43" t="s">
        <v>4679</v>
      </c>
      <c r="D1034" s="38" t="s">
        <v>12621</v>
      </c>
      <c r="E1034" s="44">
        <v>44</v>
      </c>
      <c r="F1034" s="45">
        <v>80978</v>
      </c>
      <c r="G1034" s="44">
        <v>44</v>
      </c>
      <c r="H1034" s="45">
        <v>94842</v>
      </c>
      <c r="I1034" s="45">
        <v>1840.409090909091</v>
      </c>
      <c r="J1034" s="45">
        <v>2155.5</v>
      </c>
      <c r="K1034" s="46">
        <v>0.1712069944923312</v>
      </c>
    </row>
    <row r="1035" spans="1:11" x14ac:dyDescent="0.2">
      <c r="A1035" s="38" t="s">
        <v>7</v>
      </c>
      <c r="B1035" s="38" t="s">
        <v>4681</v>
      </c>
      <c r="C1035" s="43" t="s">
        <v>2589</v>
      </c>
      <c r="G1035" s="44">
        <v>17</v>
      </c>
      <c r="H1035" s="45">
        <v>53066</v>
      </c>
      <c r="J1035" s="45">
        <v>3121.5294117647059</v>
      </c>
    </row>
    <row r="1036" spans="1:11" x14ac:dyDescent="0.2">
      <c r="A1036" s="38" t="s">
        <v>7</v>
      </c>
      <c r="B1036" s="38" t="s">
        <v>4682</v>
      </c>
      <c r="C1036" s="43" t="s">
        <v>4683</v>
      </c>
      <c r="G1036" s="44">
        <v>2</v>
      </c>
      <c r="H1036" s="45">
        <v>19764</v>
      </c>
      <c r="J1036" s="45">
        <v>9882</v>
      </c>
    </row>
    <row r="1037" spans="1:11" x14ac:dyDescent="0.2">
      <c r="A1037" s="38" t="s">
        <v>7</v>
      </c>
      <c r="B1037" s="38" t="s">
        <v>4685</v>
      </c>
      <c r="C1037" s="43" t="s">
        <v>2499</v>
      </c>
      <c r="G1037" s="44">
        <v>6</v>
      </c>
      <c r="H1037" s="45">
        <v>18636</v>
      </c>
      <c r="J1037" s="45">
        <v>3106</v>
      </c>
    </row>
    <row r="1038" spans="1:11" x14ac:dyDescent="0.2">
      <c r="A1038" s="38" t="s">
        <v>7</v>
      </c>
      <c r="B1038" s="38" t="s">
        <v>4687</v>
      </c>
      <c r="C1038" s="43" t="s">
        <v>3560</v>
      </c>
      <c r="E1038" s="44">
        <v>7</v>
      </c>
      <c r="F1038" s="45">
        <v>22917</v>
      </c>
      <c r="G1038" s="44">
        <v>16</v>
      </c>
      <c r="H1038" s="45">
        <v>50224</v>
      </c>
      <c r="I1038" s="45">
        <v>3273.8571428571427</v>
      </c>
      <c r="J1038" s="45">
        <v>3139</v>
      </c>
      <c r="K1038" s="46">
        <v>-4.1192128114500098E-2</v>
      </c>
    </row>
    <row r="1039" spans="1:11" x14ac:dyDescent="0.2">
      <c r="A1039" s="38" t="s">
        <v>7</v>
      </c>
      <c r="B1039" s="38" t="s">
        <v>4688</v>
      </c>
      <c r="C1039" s="43" t="s">
        <v>4689</v>
      </c>
      <c r="E1039" s="44">
        <v>32</v>
      </c>
      <c r="F1039" s="45">
        <v>110436</v>
      </c>
      <c r="G1039" s="44">
        <v>37</v>
      </c>
      <c r="H1039" s="45">
        <v>123401</v>
      </c>
      <c r="I1039" s="45">
        <v>3451.125</v>
      </c>
      <c r="J1039" s="45">
        <v>3335.1621621621621</v>
      </c>
      <c r="K1039" s="46">
        <v>-3.3601459766840647E-2</v>
      </c>
    </row>
    <row r="1040" spans="1:11" x14ac:dyDescent="0.2">
      <c r="A1040" s="38" t="s">
        <v>7</v>
      </c>
      <c r="B1040" s="38" t="s">
        <v>4691</v>
      </c>
      <c r="C1040" s="43" t="s">
        <v>3569</v>
      </c>
      <c r="E1040" s="44">
        <v>68</v>
      </c>
      <c r="F1040" s="45">
        <v>370026</v>
      </c>
      <c r="G1040" s="44">
        <v>183</v>
      </c>
      <c r="H1040" s="45">
        <v>936571</v>
      </c>
      <c r="I1040" s="45">
        <v>5441.5588235294117</v>
      </c>
      <c r="J1040" s="45">
        <v>5117.8743169398904</v>
      </c>
      <c r="K1040" s="46">
        <v>-5.9483783431670885E-2</v>
      </c>
    </row>
    <row r="1041" spans="1:11" x14ac:dyDescent="0.2">
      <c r="A1041" s="38" t="s">
        <v>7</v>
      </c>
      <c r="B1041" s="38" t="s">
        <v>4695</v>
      </c>
      <c r="C1041" s="43" t="s">
        <v>4696</v>
      </c>
      <c r="D1041" s="38" t="s">
        <v>12622</v>
      </c>
      <c r="G1041" s="44">
        <v>5</v>
      </c>
      <c r="H1041" s="45">
        <v>46305</v>
      </c>
      <c r="J1041" s="45">
        <v>9261</v>
      </c>
    </row>
    <row r="1042" spans="1:11" x14ac:dyDescent="0.2">
      <c r="A1042" s="38" t="s">
        <v>7</v>
      </c>
      <c r="B1042" s="38" t="s">
        <v>4701</v>
      </c>
      <c r="C1042" s="43" t="s">
        <v>4702</v>
      </c>
      <c r="D1042" s="38" t="s">
        <v>12623</v>
      </c>
      <c r="E1042" s="44">
        <v>5</v>
      </c>
      <c r="F1042" s="45">
        <v>13950</v>
      </c>
      <c r="G1042" s="44">
        <v>20</v>
      </c>
      <c r="H1042" s="45">
        <v>52810</v>
      </c>
      <c r="I1042" s="45">
        <v>2790</v>
      </c>
      <c r="J1042" s="45">
        <v>2640.5</v>
      </c>
      <c r="K1042" s="46">
        <v>-5.3584229390681005E-2</v>
      </c>
    </row>
    <row r="1043" spans="1:11" x14ac:dyDescent="0.2">
      <c r="A1043" s="38" t="s">
        <v>7</v>
      </c>
      <c r="B1043" s="38" t="s">
        <v>4710</v>
      </c>
      <c r="C1043" s="43" t="s">
        <v>4711</v>
      </c>
      <c r="E1043" s="44">
        <v>2987</v>
      </c>
      <c r="F1043" s="45">
        <v>32433866</v>
      </c>
      <c r="G1043" s="44">
        <v>2873</v>
      </c>
      <c r="H1043" s="45">
        <v>27903199</v>
      </c>
      <c r="I1043" s="45">
        <v>10858.341479745564</v>
      </c>
      <c r="J1043" s="45">
        <v>9712.2168465019149</v>
      </c>
      <c r="K1043" s="46">
        <v>-0.10555245802331369</v>
      </c>
    </row>
    <row r="1044" spans="1:11" x14ac:dyDescent="0.2">
      <c r="A1044" s="38" t="s">
        <v>7</v>
      </c>
      <c r="B1044" s="38" t="s">
        <v>4713</v>
      </c>
      <c r="C1044" s="43" t="s">
        <v>4714</v>
      </c>
      <c r="E1044" s="44">
        <v>1244</v>
      </c>
      <c r="F1044" s="45">
        <v>3371372</v>
      </c>
      <c r="G1044" s="44">
        <v>1414</v>
      </c>
      <c r="H1044" s="45">
        <v>3459588</v>
      </c>
      <c r="I1044" s="45">
        <v>2710.106109324759</v>
      </c>
      <c r="J1044" s="45">
        <v>2446.6676096181045</v>
      </c>
      <c r="K1044" s="46">
        <v>-9.7205972415704403E-2</v>
      </c>
    </row>
    <row r="1045" spans="1:11" x14ac:dyDescent="0.2">
      <c r="A1045" s="38" t="s">
        <v>7</v>
      </c>
      <c r="B1045" s="38" t="s">
        <v>4722</v>
      </c>
      <c r="C1045" s="43" t="s">
        <v>4723</v>
      </c>
      <c r="E1045" s="44">
        <v>2936</v>
      </c>
      <c r="F1045" s="45">
        <v>2346626</v>
      </c>
      <c r="G1045" s="44">
        <v>2814</v>
      </c>
      <c r="H1045" s="45">
        <v>2392452</v>
      </c>
      <c r="I1045" s="45">
        <v>799.25953678474116</v>
      </c>
      <c r="J1045" s="45">
        <v>850.19616204690828</v>
      </c>
      <c r="K1045" s="46">
        <v>6.3729768514336191E-2</v>
      </c>
    </row>
    <row r="1046" spans="1:11" x14ac:dyDescent="0.2">
      <c r="A1046" s="38" t="s">
        <v>7</v>
      </c>
      <c r="B1046" s="38" t="s">
        <v>4724</v>
      </c>
      <c r="C1046" s="43" t="s">
        <v>4725</v>
      </c>
      <c r="E1046" s="44">
        <v>72</v>
      </c>
      <c r="F1046" s="45">
        <v>14520</v>
      </c>
      <c r="G1046" s="44">
        <v>84</v>
      </c>
      <c r="H1046" s="45">
        <v>22004</v>
      </c>
      <c r="I1046" s="45">
        <v>201.66666666666666</v>
      </c>
      <c r="J1046" s="45">
        <v>261.95238095238096</v>
      </c>
      <c r="K1046" s="46">
        <v>0.29893742621015362</v>
      </c>
    </row>
    <row r="1047" spans="1:11" x14ac:dyDescent="0.2">
      <c r="A1047" s="38" t="s">
        <v>7</v>
      </c>
      <c r="B1047" s="38" t="s">
        <v>4728</v>
      </c>
      <c r="C1047" s="43" t="s">
        <v>3577</v>
      </c>
      <c r="D1047" s="38" t="s">
        <v>12414</v>
      </c>
      <c r="E1047" s="44">
        <v>307</v>
      </c>
      <c r="F1047" s="45">
        <v>118411</v>
      </c>
      <c r="G1047" s="44">
        <v>177</v>
      </c>
      <c r="H1047" s="45">
        <v>66746</v>
      </c>
      <c r="I1047" s="45">
        <v>385.70358306188928</v>
      </c>
      <c r="J1047" s="45">
        <v>377.09604519774012</v>
      </c>
      <c r="K1047" s="46">
        <v>-2.2316458135593732E-2</v>
      </c>
    </row>
    <row r="1048" spans="1:11" x14ac:dyDescent="0.2">
      <c r="A1048" s="38" t="s">
        <v>7</v>
      </c>
      <c r="B1048" s="38" t="s">
        <v>4729</v>
      </c>
      <c r="C1048" s="43" t="s">
        <v>4730</v>
      </c>
      <c r="D1048" s="38" t="s">
        <v>12624</v>
      </c>
      <c r="E1048" s="44">
        <v>194</v>
      </c>
      <c r="F1048" s="45">
        <v>113728</v>
      </c>
      <c r="G1048" s="44">
        <v>115</v>
      </c>
      <c r="H1048" s="45">
        <v>69230</v>
      </c>
      <c r="I1048" s="45">
        <v>586.2268041237113</v>
      </c>
      <c r="J1048" s="45">
        <v>602</v>
      </c>
      <c r="K1048" s="46">
        <v>2.6906302757456452E-2</v>
      </c>
    </row>
    <row r="1049" spans="1:11" x14ac:dyDescent="0.2">
      <c r="A1049" s="38" t="s">
        <v>7</v>
      </c>
      <c r="B1049" s="38" t="s">
        <v>4732</v>
      </c>
      <c r="C1049" s="43" t="s">
        <v>4733</v>
      </c>
      <c r="D1049" s="38" t="s">
        <v>12625</v>
      </c>
      <c r="E1049" s="44">
        <v>1</v>
      </c>
      <c r="F1049" s="45">
        <v>1068</v>
      </c>
      <c r="G1049" s="44">
        <v>0</v>
      </c>
      <c r="H1049" s="45">
        <v>0</v>
      </c>
      <c r="I1049" s="45">
        <v>1068</v>
      </c>
    </row>
    <row r="1050" spans="1:11" x14ac:dyDescent="0.2">
      <c r="A1050" s="38" t="s">
        <v>7</v>
      </c>
      <c r="B1050" s="38" t="s">
        <v>4738</v>
      </c>
      <c r="C1050" s="43" t="s">
        <v>4739</v>
      </c>
      <c r="D1050" s="38" t="s">
        <v>12626</v>
      </c>
      <c r="E1050" s="44">
        <v>26</v>
      </c>
      <c r="F1050" s="45">
        <v>6646</v>
      </c>
      <c r="G1050" s="44">
        <v>14</v>
      </c>
      <c r="H1050" s="45">
        <v>3640</v>
      </c>
      <c r="I1050" s="45">
        <v>255.61538461538461</v>
      </c>
      <c r="J1050" s="45">
        <v>260</v>
      </c>
      <c r="K1050" s="46">
        <v>1.715317484201024E-2</v>
      </c>
    </row>
    <row r="1051" spans="1:11" x14ac:dyDescent="0.2">
      <c r="A1051" s="38" t="s">
        <v>7</v>
      </c>
      <c r="B1051" s="38" t="s">
        <v>4741</v>
      </c>
      <c r="C1051" s="43" t="s">
        <v>4742</v>
      </c>
      <c r="D1051" s="38" t="s">
        <v>12627</v>
      </c>
      <c r="E1051" s="44">
        <v>331</v>
      </c>
      <c r="F1051" s="45">
        <v>351841</v>
      </c>
      <c r="G1051" s="44">
        <v>376</v>
      </c>
      <c r="H1051" s="45">
        <v>412096</v>
      </c>
      <c r="I1051" s="45">
        <v>1062.9637462235651</v>
      </c>
      <c r="J1051" s="45">
        <v>1096</v>
      </c>
      <c r="K1051" s="46">
        <v>3.1079379606128797E-2</v>
      </c>
    </row>
    <row r="1052" spans="1:11" x14ac:dyDescent="0.2">
      <c r="A1052" s="38" t="s">
        <v>7</v>
      </c>
      <c r="B1052" s="38" t="s">
        <v>4744</v>
      </c>
      <c r="C1052" s="43" t="s">
        <v>4745</v>
      </c>
      <c r="D1052" s="38" t="s">
        <v>12628</v>
      </c>
      <c r="E1052" s="44">
        <v>60</v>
      </c>
      <c r="F1052" s="45">
        <v>13828</v>
      </c>
      <c r="G1052" s="44">
        <v>74</v>
      </c>
      <c r="H1052" s="45">
        <v>17390</v>
      </c>
      <c r="I1052" s="45">
        <v>230.46666666666667</v>
      </c>
      <c r="J1052" s="45">
        <v>235</v>
      </c>
      <c r="K1052" s="46">
        <v>1.9670234307202768E-2</v>
      </c>
    </row>
    <row r="1053" spans="1:11" x14ac:dyDescent="0.2">
      <c r="A1053" s="38" t="s">
        <v>7</v>
      </c>
      <c r="B1053" s="38" t="s">
        <v>4750</v>
      </c>
      <c r="C1053" s="43" t="s">
        <v>4751</v>
      </c>
      <c r="D1053" s="38" t="s">
        <v>12629</v>
      </c>
      <c r="G1053" s="44">
        <v>2</v>
      </c>
      <c r="H1053" s="45">
        <v>1516</v>
      </c>
      <c r="J1053" s="45">
        <v>758</v>
      </c>
    </row>
    <row r="1054" spans="1:11" x14ac:dyDescent="0.2">
      <c r="A1054" s="38" t="s">
        <v>7</v>
      </c>
      <c r="B1054" s="38" t="s">
        <v>4753</v>
      </c>
      <c r="C1054" s="43" t="s">
        <v>4754</v>
      </c>
      <c r="D1054" s="38" t="s">
        <v>12630</v>
      </c>
      <c r="E1054" s="44">
        <v>30</v>
      </c>
      <c r="F1054" s="45">
        <v>4230</v>
      </c>
      <c r="G1054" s="44">
        <v>5</v>
      </c>
      <c r="H1054" s="45">
        <v>705</v>
      </c>
      <c r="I1054" s="45">
        <v>141</v>
      </c>
      <c r="J1054" s="45">
        <v>141</v>
      </c>
      <c r="K1054" s="46">
        <v>0</v>
      </c>
    </row>
    <row r="1055" spans="1:11" x14ac:dyDescent="0.2">
      <c r="A1055" s="38" t="s">
        <v>7</v>
      </c>
      <c r="B1055" s="38" t="s">
        <v>4756</v>
      </c>
      <c r="C1055" s="43" t="s">
        <v>4757</v>
      </c>
      <c r="D1055" s="38" t="s">
        <v>12631</v>
      </c>
      <c r="E1055" s="44">
        <v>72</v>
      </c>
      <c r="F1055" s="45">
        <v>11364</v>
      </c>
      <c r="G1055" s="44">
        <v>93</v>
      </c>
      <c r="H1055" s="45">
        <v>15159</v>
      </c>
      <c r="I1055" s="45">
        <v>157.83333333333334</v>
      </c>
      <c r="J1055" s="45">
        <v>163</v>
      </c>
      <c r="K1055" s="46">
        <v>3.2734952481520529E-2</v>
      </c>
    </row>
    <row r="1056" spans="1:11" x14ac:dyDescent="0.2">
      <c r="A1056" s="38" t="s">
        <v>7</v>
      </c>
      <c r="B1056" s="38" t="s">
        <v>4759</v>
      </c>
      <c r="C1056" s="43" t="s">
        <v>4760</v>
      </c>
      <c r="D1056" s="38" t="s">
        <v>12632</v>
      </c>
      <c r="E1056" s="44">
        <v>3</v>
      </c>
      <c r="F1056" s="45">
        <v>855</v>
      </c>
      <c r="G1056" s="44">
        <v>3</v>
      </c>
      <c r="H1056" s="45">
        <v>855</v>
      </c>
      <c r="I1056" s="45">
        <v>285</v>
      </c>
      <c r="J1056" s="45">
        <v>285</v>
      </c>
      <c r="K1056" s="46">
        <v>0</v>
      </c>
    </row>
    <row r="1057" spans="1:11" x14ac:dyDescent="0.2">
      <c r="A1057" s="38" t="s">
        <v>7</v>
      </c>
      <c r="B1057" s="38" t="s">
        <v>4762</v>
      </c>
      <c r="C1057" s="43" t="s">
        <v>4763</v>
      </c>
      <c r="D1057" s="38" t="s">
        <v>12633</v>
      </c>
      <c r="E1057" s="44">
        <v>60</v>
      </c>
      <c r="F1057" s="45">
        <v>36704</v>
      </c>
      <c r="G1057" s="44">
        <v>79</v>
      </c>
      <c r="H1057" s="45">
        <v>43444</v>
      </c>
      <c r="I1057" s="45">
        <v>611.73333333333335</v>
      </c>
      <c r="J1057" s="45">
        <v>549.92405063291142</v>
      </c>
      <c r="K1057" s="46">
        <v>-0.10103958593137848</v>
      </c>
    </row>
    <row r="1058" spans="1:11" x14ac:dyDescent="0.2">
      <c r="A1058" s="38" t="s">
        <v>7</v>
      </c>
      <c r="B1058" s="38" t="s">
        <v>4765</v>
      </c>
      <c r="C1058" s="43" t="s">
        <v>4766</v>
      </c>
      <c r="D1058" s="38" t="s">
        <v>12634</v>
      </c>
      <c r="E1058" s="44">
        <v>71</v>
      </c>
      <c r="F1058" s="45">
        <v>13780</v>
      </c>
      <c r="G1058" s="44">
        <v>79</v>
      </c>
      <c r="H1058" s="45">
        <v>15800</v>
      </c>
      <c r="I1058" s="45">
        <v>194.08450704225353</v>
      </c>
      <c r="J1058" s="45">
        <v>200</v>
      </c>
      <c r="K1058" s="46">
        <v>3.0478955007256826E-2</v>
      </c>
    </row>
    <row r="1059" spans="1:11" x14ac:dyDescent="0.2">
      <c r="A1059" s="38" t="s">
        <v>7</v>
      </c>
      <c r="B1059" s="38" t="s">
        <v>4768</v>
      </c>
      <c r="C1059" s="43" t="s">
        <v>4769</v>
      </c>
      <c r="D1059" s="38" t="s">
        <v>12635</v>
      </c>
      <c r="G1059" s="44">
        <v>1</v>
      </c>
      <c r="H1059" s="45">
        <v>611</v>
      </c>
      <c r="J1059" s="45">
        <v>611</v>
      </c>
    </row>
    <row r="1060" spans="1:11" x14ac:dyDescent="0.2">
      <c r="A1060" s="38" t="s">
        <v>7</v>
      </c>
      <c r="B1060" s="38" t="s">
        <v>4771</v>
      </c>
      <c r="C1060" s="43" t="s">
        <v>4772</v>
      </c>
      <c r="D1060" s="38" t="s">
        <v>12636</v>
      </c>
      <c r="E1060" s="44">
        <v>1</v>
      </c>
      <c r="F1060" s="45">
        <v>2872</v>
      </c>
      <c r="G1060" s="44">
        <v>0</v>
      </c>
      <c r="H1060" s="45">
        <v>0</v>
      </c>
      <c r="I1060" s="45">
        <v>2872</v>
      </c>
    </row>
    <row r="1061" spans="1:11" x14ac:dyDescent="0.2">
      <c r="A1061" s="38" t="s">
        <v>7</v>
      </c>
      <c r="B1061" s="38" t="s">
        <v>4780</v>
      </c>
      <c r="C1061" s="43" t="s">
        <v>4781</v>
      </c>
      <c r="D1061" s="38" t="s">
        <v>12637</v>
      </c>
      <c r="E1061" s="44">
        <v>166</v>
      </c>
      <c r="F1061" s="45">
        <v>1836117</v>
      </c>
      <c r="G1061" s="44">
        <v>187</v>
      </c>
      <c r="H1061" s="45">
        <v>1925390</v>
      </c>
      <c r="I1061" s="45">
        <v>11060.945783132531</v>
      </c>
      <c r="J1061" s="45">
        <v>10296.20320855615</v>
      </c>
      <c r="K1061" s="46">
        <v>-6.9138985903229089E-2</v>
      </c>
    </row>
    <row r="1062" spans="1:11" x14ac:dyDescent="0.2">
      <c r="A1062" s="38" t="s">
        <v>7</v>
      </c>
      <c r="B1062" s="38" t="s">
        <v>4783</v>
      </c>
      <c r="C1062" s="43" t="s">
        <v>4784</v>
      </c>
      <c r="D1062" s="38" t="s">
        <v>12638</v>
      </c>
      <c r="G1062" s="44">
        <v>2</v>
      </c>
      <c r="H1062" s="45">
        <v>6299</v>
      </c>
      <c r="J1062" s="45">
        <v>3149.5</v>
      </c>
    </row>
    <row r="1063" spans="1:11" x14ac:dyDescent="0.2">
      <c r="A1063" s="38" t="s">
        <v>7</v>
      </c>
      <c r="B1063" s="38" t="s">
        <v>4786</v>
      </c>
      <c r="C1063" s="43" t="s">
        <v>4787</v>
      </c>
      <c r="D1063" s="38" t="s">
        <v>12639</v>
      </c>
      <c r="E1063" s="44">
        <v>8</v>
      </c>
      <c r="F1063" s="45">
        <v>31960</v>
      </c>
      <c r="G1063" s="44">
        <v>0</v>
      </c>
      <c r="H1063" s="45">
        <v>0</v>
      </c>
      <c r="I1063" s="45">
        <v>3995</v>
      </c>
    </row>
    <row r="1064" spans="1:11" x14ac:dyDescent="0.2">
      <c r="A1064" s="38" t="s">
        <v>7</v>
      </c>
      <c r="B1064" s="38" t="s">
        <v>4789</v>
      </c>
      <c r="C1064" s="43" t="s">
        <v>4790</v>
      </c>
      <c r="D1064" s="38" t="s">
        <v>12640</v>
      </c>
      <c r="E1064" s="44">
        <v>2</v>
      </c>
      <c r="F1064" s="45">
        <v>6910</v>
      </c>
      <c r="G1064" s="44">
        <v>5</v>
      </c>
      <c r="H1064" s="45">
        <v>17275</v>
      </c>
      <c r="I1064" s="45">
        <v>3455</v>
      </c>
      <c r="J1064" s="45">
        <v>3455</v>
      </c>
      <c r="K1064" s="46">
        <v>0</v>
      </c>
    </row>
    <row r="1065" spans="1:11" x14ac:dyDescent="0.2">
      <c r="A1065" s="38" t="s">
        <v>7</v>
      </c>
      <c r="B1065" s="38" t="s">
        <v>4792</v>
      </c>
      <c r="C1065" s="43" t="s">
        <v>4793</v>
      </c>
      <c r="D1065" s="38" t="s">
        <v>12641</v>
      </c>
      <c r="E1065" s="44">
        <v>47</v>
      </c>
      <c r="F1065" s="45">
        <v>101293</v>
      </c>
      <c r="G1065" s="44">
        <v>27</v>
      </c>
      <c r="H1065" s="45">
        <v>80085</v>
      </c>
      <c r="I1065" s="45">
        <v>2155.1702127659573</v>
      </c>
      <c r="J1065" s="45">
        <v>2966.1111111111113</v>
      </c>
      <c r="K1065" s="46">
        <v>0.37627696111500536</v>
      </c>
    </row>
    <row r="1066" spans="1:11" x14ac:dyDescent="0.2">
      <c r="A1066" s="38" t="s">
        <v>7</v>
      </c>
      <c r="B1066" s="38" t="s">
        <v>4795</v>
      </c>
      <c r="C1066" s="43" t="s">
        <v>4796</v>
      </c>
      <c r="D1066" s="38" t="s">
        <v>12642</v>
      </c>
      <c r="E1066" s="44">
        <v>1</v>
      </c>
      <c r="F1066" s="45">
        <v>2369</v>
      </c>
      <c r="G1066" s="44">
        <v>0</v>
      </c>
      <c r="H1066" s="45">
        <v>0</v>
      </c>
      <c r="I1066" s="45">
        <v>2369</v>
      </c>
    </row>
    <row r="1067" spans="1:11" x14ac:dyDescent="0.2">
      <c r="A1067" s="38" t="s">
        <v>7</v>
      </c>
      <c r="B1067" s="38" t="s">
        <v>4798</v>
      </c>
      <c r="C1067" s="43" t="s">
        <v>4799</v>
      </c>
      <c r="D1067" s="38" t="s">
        <v>12643</v>
      </c>
      <c r="G1067" s="44">
        <v>1</v>
      </c>
      <c r="H1067" s="45">
        <v>3039</v>
      </c>
      <c r="J1067" s="45">
        <v>3039</v>
      </c>
    </row>
    <row r="1068" spans="1:11" x14ac:dyDescent="0.2">
      <c r="A1068" s="38" t="s">
        <v>7</v>
      </c>
      <c r="B1068" s="38" t="s">
        <v>4801</v>
      </c>
      <c r="C1068" s="43" t="s">
        <v>4802</v>
      </c>
      <c r="D1068" s="38" t="s">
        <v>12644</v>
      </c>
      <c r="E1068" s="44">
        <v>63</v>
      </c>
      <c r="F1068" s="45">
        <v>278704</v>
      </c>
      <c r="G1068" s="44">
        <v>82</v>
      </c>
      <c r="H1068" s="45">
        <v>424300</v>
      </c>
      <c r="I1068" s="45">
        <v>4423.8730158730159</v>
      </c>
      <c r="J1068" s="45">
        <v>5174.3902439024387</v>
      </c>
      <c r="K1068" s="46">
        <v>0.16965162095217018</v>
      </c>
    </row>
    <row r="1069" spans="1:11" x14ac:dyDescent="0.2">
      <c r="A1069" s="38" t="s">
        <v>7</v>
      </c>
      <c r="B1069" s="38" t="s">
        <v>4804</v>
      </c>
      <c r="C1069" s="43" t="s">
        <v>4805</v>
      </c>
      <c r="D1069" s="38" t="s">
        <v>12645</v>
      </c>
      <c r="G1069" s="44">
        <v>14</v>
      </c>
      <c r="H1069" s="45">
        <v>69849</v>
      </c>
      <c r="J1069" s="45">
        <v>4989.2142857142853</v>
      </c>
    </row>
    <row r="1070" spans="1:11" x14ac:dyDescent="0.2">
      <c r="A1070" s="38" t="s">
        <v>7</v>
      </c>
      <c r="B1070" s="38" t="s">
        <v>4807</v>
      </c>
      <c r="C1070" s="43" t="s">
        <v>4808</v>
      </c>
      <c r="D1070" s="38" t="s">
        <v>12646</v>
      </c>
      <c r="E1070" s="44">
        <v>23</v>
      </c>
      <c r="F1070" s="45">
        <v>65291</v>
      </c>
      <c r="G1070" s="44">
        <v>51</v>
      </c>
      <c r="H1070" s="45">
        <v>162039</v>
      </c>
      <c r="I1070" s="45">
        <v>2838.7391304347825</v>
      </c>
      <c r="J1070" s="45">
        <v>3177.2352941176468</v>
      </c>
      <c r="K1070" s="46">
        <v>0.11924172956006004</v>
      </c>
    </row>
    <row r="1071" spans="1:11" x14ac:dyDescent="0.2">
      <c r="A1071" s="38" t="s">
        <v>7</v>
      </c>
      <c r="B1071" s="38" t="s">
        <v>4810</v>
      </c>
      <c r="C1071" s="43" t="s">
        <v>4811</v>
      </c>
      <c r="D1071" s="38" t="s">
        <v>12647</v>
      </c>
      <c r="E1071" s="44">
        <v>2</v>
      </c>
      <c r="F1071" s="45">
        <v>10464</v>
      </c>
      <c r="G1071" s="44">
        <v>6</v>
      </c>
      <c r="H1071" s="45">
        <v>27566</v>
      </c>
      <c r="I1071" s="45">
        <v>5232</v>
      </c>
      <c r="J1071" s="45">
        <v>4594.333333333333</v>
      </c>
      <c r="K1071" s="46">
        <v>-0.12187818552497458</v>
      </c>
    </row>
    <row r="1072" spans="1:11" x14ac:dyDescent="0.2">
      <c r="A1072" s="38" t="s">
        <v>7</v>
      </c>
      <c r="B1072" s="38" t="s">
        <v>4816</v>
      </c>
      <c r="C1072" s="43" t="s">
        <v>4817</v>
      </c>
      <c r="D1072" s="38" t="s">
        <v>12648</v>
      </c>
      <c r="G1072" s="44">
        <v>1</v>
      </c>
      <c r="H1072" s="45">
        <v>3492</v>
      </c>
      <c r="J1072" s="45">
        <v>3492</v>
      </c>
    </row>
    <row r="1073" spans="1:11" x14ac:dyDescent="0.2">
      <c r="A1073" s="38" t="s">
        <v>7</v>
      </c>
      <c r="B1073" s="38" t="s">
        <v>4822</v>
      </c>
      <c r="C1073" s="43" t="s">
        <v>4823</v>
      </c>
      <c r="D1073" s="38" t="s">
        <v>12649</v>
      </c>
      <c r="E1073" s="44">
        <v>17</v>
      </c>
      <c r="F1073" s="45">
        <v>140554</v>
      </c>
      <c r="G1073" s="44">
        <v>9</v>
      </c>
      <c r="H1073" s="45">
        <v>76068</v>
      </c>
      <c r="I1073" s="45">
        <v>8267.8823529411766</v>
      </c>
      <c r="J1073" s="45">
        <v>8452</v>
      </c>
      <c r="K1073" s="46">
        <v>2.226902115912744E-2</v>
      </c>
    </row>
    <row r="1074" spans="1:11" x14ac:dyDescent="0.2">
      <c r="A1074" s="38" t="s">
        <v>7</v>
      </c>
      <c r="B1074" s="38" t="s">
        <v>4825</v>
      </c>
      <c r="C1074" s="43" t="s">
        <v>4826</v>
      </c>
      <c r="D1074" s="38" t="s">
        <v>12650</v>
      </c>
      <c r="E1074" s="44">
        <v>5</v>
      </c>
      <c r="F1074" s="45">
        <v>26009</v>
      </c>
      <c r="G1074" s="44">
        <v>5</v>
      </c>
      <c r="H1074" s="45">
        <v>21644</v>
      </c>
      <c r="I1074" s="45">
        <v>5201.8</v>
      </c>
      <c r="J1074" s="45">
        <v>4328.8</v>
      </c>
      <c r="K1074" s="46">
        <v>-0.16782652158868083</v>
      </c>
    </row>
    <row r="1075" spans="1:11" x14ac:dyDescent="0.2">
      <c r="A1075" s="38" t="s">
        <v>7</v>
      </c>
      <c r="B1075" s="38" t="s">
        <v>4828</v>
      </c>
      <c r="C1075" s="43" t="s">
        <v>4829</v>
      </c>
      <c r="D1075" s="38" t="s">
        <v>12651</v>
      </c>
      <c r="G1075" s="44">
        <v>1</v>
      </c>
      <c r="H1075" s="45">
        <v>7452</v>
      </c>
      <c r="J1075" s="45">
        <v>7452</v>
      </c>
    </row>
    <row r="1076" spans="1:11" x14ac:dyDescent="0.2">
      <c r="A1076" s="38" t="s">
        <v>7</v>
      </c>
      <c r="B1076" s="38" t="s">
        <v>4834</v>
      </c>
      <c r="C1076" s="43" t="s">
        <v>4835</v>
      </c>
      <c r="D1076" s="38" t="s">
        <v>12652</v>
      </c>
      <c r="E1076" s="44">
        <v>3</v>
      </c>
      <c r="F1076" s="45">
        <v>15970</v>
      </c>
      <c r="G1076" s="44">
        <v>0</v>
      </c>
      <c r="H1076" s="45">
        <v>0</v>
      </c>
      <c r="I1076" s="45">
        <v>5323.333333333333</v>
      </c>
    </row>
    <row r="1077" spans="1:11" x14ac:dyDescent="0.2">
      <c r="A1077" s="38" t="s">
        <v>7</v>
      </c>
      <c r="B1077" s="38" t="s">
        <v>4837</v>
      </c>
      <c r="C1077" s="43" t="s">
        <v>4838</v>
      </c>
      <c r="D1077" s="38" t="s">
        <v>12653</v>
      </c>
      <c r="E1077" s="44">
        <v>3</v>
      </c>
      <c r="F1077" s="45">
        <v>13202</v>
      </c>
      <c r="G1077" s="44">
        <v>2</v>
      </c>
      <c r="H1077" s="45">
        <v>8896</v>
      </c>
      <c r="I1077" s="45">
        <v>4400.666666666667</v>
      </c>
      <c r="J1077" s="45">
        <v>4448</v>
      </c>
      <c r="K1077" s="46">
        <v>1.0755946068777389E-2</v>
      </c>
    </row>
    <row r="1078" spans="1:11" x14ac:dyDescent="0.2">
      <c r="A1078" s="38" t="s">
        <v>7</v>
      </c>
      <c r="B1078" s="38" t="s">
        <v>4840</v>
      </c>
      <c r="C1078" s="43" t="s">
        <v>4841</v>
      </c>
      <c r="D1078" s="38" t="s">
        <v>12654</v>
      </c>
      <c r="E1078" s="44">
        <v>62</v>
      </c>
      <c r="F1078" s="45">
        <v>400888</v>
      </c>
      <c r="G1078" s="44">
        <v>83</v>
      </c>
      <c r="H1078" s="45">
        <v>540202</v>
      </c>
      <c r="I1078" s="45">
        <v>6465.9354838709678</v>
      </c>
      <c r="J1078" s="45">
        <v>6508.4578313253014</v>
      </c>
      <c r="K1078" s="46">
        <v>6.5763643266166212E-3</v>
      </c>
    </row>
    <row r="1079" spans="1:11" x14ac:dyDescent="0.2">
      <c r="A1079" s="38" t="s">
        <v>7</v>
      </c>
      <c r="B1079" s="38" t="s">
        <v>4852</v>
      </c>
      <c r="C1079" s="43" t="s">
        <v>4853</v>
      </c>
      <c r="D1079" s="38" t="s">
        <v>12655</v>
      </c>
      <c r="G1079" s="44">
        <v>1</v>
      </c>
      <c r="H1079" s="45">
        <v>3586</v>
      </c>
      <c r="J1079" s="45">
        <v>3586</v>
      </c>
    </row>
    <row r="1080" spans="1:11" x14ac:dyDescent="0.2">
      <c r="A1080" s="38" t="s">
        <v>7</v>
      </c>
      <c r="B1080" s="38" t="s">
        <v>4858</v>
      </c>
      <c r="C1080" s="43" t="s">
        <v>4859</v>
      </c>
      <c r="D1080" s="38" t="s">
        <v>12656</v>
      </c>
      <c r="G1080" s="44">
        <v>1</v>
      </c>
      <c r="H1080" s="45">
        <v>2529.6799999999998</v>
      </c>
      <c r="J1080" s="45">
        <v>2529.6799999999998</v>
      </c>
    </row>
    <row r="1081" spans="1:11" x14ac:dyDescent="0.2">
      <c r="A1081" s="38" t="s">
        <v>7</v>
      </c>
      <c r="B1081" s="38" t="s">
        <v>4878</v>
      </c>
      <c r="C1081" s="43" t="s">
        <v>4879</v>
      </c>
      <c r="D1081" s="38" t="s">
        <v>12657</v>
      </c>
      <c r="E1081" s="44">
        <v>5</v>
      </c>
      <c r="F1081" s="45">
        <v>135</v>
      </c>
      <c r="G1081" s="44">
        <v>9</v>
      </c>
      <c r="H1081" s="45">
        <v>243</v>
      </c>
      <c r="I1081" s="45">
        <v>27</v>
      </c>
      <c r="J1081" s="45">
        <v>27</v>
      </c>
      <c r="K1081" s="46">
        <v>0</v>
      </c>
    </row>
    <row r="1082" spans="1:11" x14ac:dyDescent="0.2">
      <c r="A1082" s="38" t="s">
        <v>7</v>
      </c>
      <c r="B1082" s="38" t="s">
        <v>4884</v>
      </c>
      <c r="C1082" s="43" t="s">
        <v>4885</v>
      </c>
      <c r="D1082" s="38" t="s">
        <v>12658</v>
      </c>
      <c r="G1082" s="44">
        <v>16</v>
      </c>
      <c r="H1082" s="45">
        <v>5.92</v>
      </c>
      <c r="J1082" s="45">
        <v>0.37</v>
      </c>
    </row>
    <row r="1083" spans="1:11" x14ac:dyDescent="0.2">
      <c r="A1083" s="38" t="s">
        <v>7</v>
      </c>
      <c r="B1083" s="38" t="s">
        <v>4887</v>
      </c>
      <c r="C1083" s="43" t="s">
        <v>4888</v>
      </c>
      <c r="D1083" s="38" t="s">
        <v>12658</v>
      </c>
      <c r="E1083" s="44">
        <v>2237</v>
      </c>
      <c r="F1083" s="45">
        <v>1484.11</v>
      </c>
      <c r="G1083" s="44">
        <v>2108</v>
      </c>
      <c r="H1083" s="45">
        <v>1562.08</v>
      </c>
      <c r="I1083" s="45">
        <v>0.66343763969602143</v>
      </c>
      <c r="J1083" s="45">
        <v>0.74102466793168875</v>
      </c>
      <c r="K1083" s="46">
        <v>0.11694697978127484</v>
      </c>
    </row>
    <row r="1084" spans="1:11" x14ac:dyDescent="0.2">
      <c r="A1084" s="38" t="s">
        <v>7</v>
      </c>
      <c r="B1084" s="38" t="s">
        <v>4890</v>
      </c>
      <c r="C1084" s="43" t="s">
        <v>4891</v>
      </c>
      <c r="D1084" s="38" t="s">
        <v>12658</v>
      </c>
      <c r="E1084" s="44">
        <v>7885</v>
      </c>
      <c r="F1084" s="45">
        <v>7885</v>
      </c>
      <c r="G1084" s="44">
        <v>9024</v>
      </c>
      <c r="H1084" s="45">
        <v>9024</v>
      </c>
      <c r="I1084" s="45">
        <v>1</v>
      </c>
      <c r="J1084" s="45">
        <v>1</v>
      </c>
      <c r="K1084" s="46">
        <v>0</v>
      </c>
    </row>
    <row r="1085" spans="1:11" x14ac:dyDescent="0.2">
      <c r="A1085" s="38" t="s">
        <v>7</v>
      </c>
      <c r="B1085" s="38" t="s">
        <v>4893</v>
      </c>
      <c r="C1085" s="43" t="s">
        <v>4894</v>
      </c>
      <c r="D1085" s="38" t="s">
        <v>12657</v>
      </c>
      <c r="G1085" s="44">
        <v>78</v>
      </c>
      <c r="H1085" s="45">
        <v>2154</v>
      </c>
      <c r="J1085" s="45">
        <v>27.615384615384617</v>
      </c>
    </row>
    <row r="1086" spans="1:11" x14ac:dyDescent="0.2">
      <c r="A1086" s="38" t="s">
        <v>7</v>
      </c>
      <c r="B1086" s="38" t="s">
        <v>4896</v>
      </c>
      <c r="C1086" s="43" t="s">
        <v>4897</v>
      </c>
      <c r="D1086" s="38" t="s">
        <v>12657</v>
      </c>
      <c r="G1086" s="44">
        <v>79</v>
      </c>
      <c r="H1086" s="45">
        <v>2358</v>
      </c>
      <c r="J1086" s="45">
        <v>29.848101265822784</v>
      </c>
    </row>
    <row r="1087" spans="1:11" x14ac:dyDescent="0.2">
      <c r="A1087" s="38" t="s">
        <v>7</v>
      </c>
      <c r="B1087" s="38" t="s">
        <v>4899</v>
      </c>
      <c r="C1087" s="43" t="s">
        <v>4900</v>
      </c>
      <c r="D1087" s="38" t="s">
        <v>12657</v>
      </c>
      <c r="G1087" s="44">
        <v>75</v>
      </c>
      <c r="H1087" s="45">
        <v>5630</v>
      </c>
      <c r="J1087" s="45">
        <v>75.066666666666663</v>
      </c>
    </row>
    <row r="1088" spans="1:11" x14ac:dyDescent="0.2">
      <c r="A1088" s="38" t="s">
        <v>7</v>
      </c>
      <c r="B1088" s="38" t="s">
        <v>4908</v>
      </c>
      <c r="C1088" s="43" t="s">
        <v>4909</v>
      </c>
      <c r="D1088" s="38" t="s">
        <v>12657</v>
      </c>
      <c r="E1088" s="44">
        <v>6</v>
      </c>
      <c r="F1088" s="45">
        <v>804</v>
      </c>
      <c r="G1088" s="44">
        <v>19</v>
      </c>
      <c r="H1088" s="45">
        <v>2156</v>
      </c>
      <c r="I1088" s="45">
        <v>134</v>
      </c>
      <c r="J1088" s="45">
        <v>113.47368421052632</v>
      </c>
      <c r="K1088" s="46">
        <v>-0.15318146111547526</v>
      </c>
    </row>
    <row r="1089" spans="1:11" x14ac:dyDescent="0.2">
      <c r="A1089" s="38" t="s">
        <v>7</v>
      </c>
      <c r="B1089" s="38" t="s">
        <v>4911</v>
      </c>
      <c r="C1089" s="43" t="s">
        <v>4912</v>
      </c>
      <c r="D1089" s="38" t="s">
        <v>12657</v>
      </c>
      <c r="E1089" s="44">
        <v>447</v>
      </c>
      <c r="F1089" s="45">
        <v>19617</v>
      </c>
      <c r="G1089" s="44">
        <v>315</v>
      </c>
      <c r="H1089" s="45">
        <v>10391</v>
      </c>
      <c r="I1089" s="45">
        <v>43.885906040268459</v>
      </c>
      <c r="J1089" s="45">
        <v>32.987301587301587</v>
      </c>
      <c r="K1089" s="46">
        <v>-0.24833951116257283</v>
      </c>
    </row>
    <row r="1090" spans="1:11" x14ac:dyDescent="0.2">
      <c r="A1090" s="38" t="s">
        <v>7</v>
      </c>
      <c r="B1090" s="38" t="s">
        <v>4914</v>
      </c>
      <c r="C1090" s="43" t="s">
        <v>4915</v>
      </c>
      <c r="D1090" s="38" t="s">
        <v>12657</v>
      </c>
      <c r="E1090" s="44">
        <v>97</v>
      </c>
      <c r="F1090" s="45">
        <v>3575</v>
      </c>
      <c r="G1090" s="44">
        <v>89</v>
      </c>
      <c r="H1090" s="45">
        <v>3234</v>
      </c>
      <c r="I1090" s="45">
        <v>36.855670103092784</v>
      </c>
      <c r="J1090" s="45">
        <v>36.337078651685395</v>
      </c>
      <c r="K1090" s="46">
        <v>-1.4070872947277397E-2</v>
      </c>
    </row>
    <row r="1091" spans="1:11" x14ac:dyDescent="0.2">
      <c r="A1091" s="38" t="s">
        <v>7</v>
      </c>
      <c r="B1091" s="38" t="s">
        <v>4917</v>
      </c>
      <c r="C1091" s="43" t="s">
        <v>4918</v>
      </c>
      <c r="D1091" s="38" t="s">
        <v>12657</v>
      </c>
      <c r="E1091" s="44">
        <v>391</v>
      </c>
      <c r="F1091" s="45">
        <v>14146</v>
      </c>
      <c r="G1091" s="44">
        <v>439</v>
      </c>
      <c r="H1091" s="45">
        <v>13651</v>
      </c>
      <c r="I1091" s="45">
        <v>36.179028132992329</v>
      </c>
      <c r="J1091" s="45">
        <v>31.095671981776764</v>
      </c>
      <c r="K1091" s="46">
        <v>-0.14050560265271353</v>
      </c>
    </row>
    <row r="1092" spans="1:11" x14ac:dyDescent="0.2">
      <c r="A1092" s="38" t="s">
        <v>7</v>
      </c>
      <c r="B1092" s="38" t="s">
        <v>4920</v>
      </c>
      <c r="C1092" s="43" t="s">
        <v>4921</v>
      </c>
      <c r="D1092" s="38" t="s">
        <v>12657</v>
      </c>
      <c r="E1092" s="44">
        <v>298</v>
      </c>
      <c r="F1092" s="45">
        <v>15998</v>
      </c>
      <c r="G1092" s="44">
        <v>389</v>
      </c>
      <c r="H1092" s="45">
        <v>15941</v>
      </c>
      <c r="I1092" s="45">
        <v>53.68456375838926</v>
      </c>
      <c r="J1092" s="45">
        <v>40.979434447300768</v>
      </c>
      <c r="K1092" s="46">
        <v>-0.23666261624605392</v>
      </c>
    </row>
    <row r="1093" spans="1:11" x14ac:dyDescent="0.2">
      <c r="A1093" s="38" t="s">
        <v>7</v>
      </c>
      <c r="B1093" s="38" t="s">
        <v>4923</v>
      </c>
      <c r="C1093" s="43" t="s">
        <v>4924</v>
      </c>
      <c r="D1093" s="38" t="s">
        <v>12657</v>
      </c>
      <c r="G1093" s="44">
        <v>18</v>
      </c>
      <c r="H1093" s="45">
        <v>405</v>
      </c>
      <c r="J1093" s="45">
        <v>22.5</v>
      </c>
    </row>
    <row r="1094" spans="1:11" x14ac:dyDescent="0.2">
      <c r="A1094" s="38" t="s">
        <v>7</v>
      </c>
      <c r="B1094" s="38" t="s">
        <v>4926</v>
      </c>
      <c r="C1094" s="43" t="s">
        <v>4927</v>
      </c>
      <c r="D1094" s="38" t="s">
        <v>12657</v>
      </c>
      <c r="G1094" s="44">
        <v>7</v>
      </c>
      <c r="H1094" s="45">
        <v>231</v>
      </c>
      <c r="J1094" s="45">
        <v>33</v>
      </c>
    </row>
    <row r="1095" spans="1:11" x14ac:dyDescent="0.2">
      <c r="A1095" s="38" t="s">
        <v>7</v>
      </c>
      <c r="B1095" s="38" t="s">
        <v>4932</v>
      </c>
      <c r="C1095" s="43" t="s">
        <v>4933</v>
      </c>
      <c r="D1095" s="38" t="s">
        <v>12657</v>
      </c>
      <c r="E1095" s="44">
        <v>793</v>
      </c>
      <c r="F1095" s="45">
        <v>45855</v>
      </c>
      <c r="G1095" s="44">
        <v>1287</v>
      </c>
      <c r="H1095" s="45">
        <v>61284</v>
      </c>
      <c r="I1095" s="45">
        <v>57.82471626733922</v>
      </c>
      <c r="J1095" s="45">
        <v>47.617715617715618</v>
      </c>
      <c r="K1095" s="46">
        <v>-0.17651622538766801</v>
      </c>
    </row>
    <row r="1096" spans="1:11" x14ac:dyDescent="0.2">
      <c r="A1096" s="38" t="s">
        <v>7</v>
      </c>
      <c r="B1096" s="38" t="s">
        <v>4935</v>
      </c>
      <c r="C1096" s="43" t="s">
        <v>4936</v>
      </c>
      <c r="D1096" s="38" t="s">
        <v>12657</v>
      </c>
      <c r="G1096" s="44">
        <v>34</v>
      </c>
      <c r="H1096" s="45">
        <v>1258</v>
      </c>
      <c r="J1096" s="45">
        <v>37</v>
      </c>
    </row>
    <row r="1097" spans="1:11" x14ac:dyDescent="0.2">
      <c r="A1097" s="38" t="s">
        <v>7</v>
      </c>
      <c r="B1097" s="38" t="s">
        <v>4938</v>
      </c>
      <c r="C1097" s="43" t="s">
        <v>4939</v>
      </c>
      <c r="D1097" s="38" t="s">
        <v>12657</v>
      </c>
      <c r="E1097" s="44">
        <v>124</v>
      </c>
      <c r="F1097" s="45">
        <v>4000</v>
      </c>
      <c r="G1097" s="44">
        <v>106</v>
      </c>
      <c r="H1097" s="45">
        <v>2958</v>
      </c>
      <c r="I1097" s="45">
        <v>32.258064516129032</v>
      </c>
      <c r="J1097" s="45">
        <v>27.90566037735849</v>
      </c>
      <c r="K1097" s="46">
        <v>-0.13492452830188678</v>
      </c>
    </row>
    <row r="1098" spans="1:11" x14ac:dyDescent="0.2">
      <c r="A1098" s="38" t="s">
        <v>7</v>
      </c>
      <c r="B1098" s="38" t="s">
        <v>4941</v>
      </c>
      <c r="C1098" s="43" t="s">
        <v>4942</v>
      </c>
      <c r="D1098" s="38" t="s">
        <v>12657</v>
      </c>
      <c r="G1098" s="44">
        <v>65</v>
      </c>
      <c r="H1098" s="45">
        <v>1820</v>
      </c>
      <c r="J1098" s="45">
        <v>28</v>
      </c>
    </row>
    <row r="1099" spans="1:11" x14ac:dyDescent="0.2">
      <c r="A1099" s="38" t="s">
        <v>7</v>
      </c>
      <c r="B1099" s="38" t="s">
        <v>4944</v>
      </c>
      <c r="C1099" s="43" t="s">
        <v>4945</v>
      </c>
      <c r="D1099" s="38" t="s">
        <v>12657</v>
      </c>
      <c r="E1099" s="44">
        <v>98</v>
      </c>
      <c r="F1099" s="45">
        <v>2902</v>
      </c>
      <c r="G1099" s="44">
        <v>217</v>
      </c>
      <c r="H1099" s="45">
        <v>5418</v>
      </c>
      <c r="I1099" s="45">
        <v>29.612244897959183</v>
      </c>
      <c r="J1099" s="45">
        <v>24.967741935483872</v>
      </c>
      <c r="K1099" s="46">
        <v>-0.15684400080033786</v>
      </c>
    </row>
    <row r="1100" spans="1:11" x14ac:dyDescent="0.2">
      <c r="A1100" s="38" t="s">
        <v>7</v>
      </c>
      <c r="B1100" s="38" t="s">
        <v>4947</v>
      </c>
      <c r="C1100" s="43" t="s">
        <v>4948</v>
      </c>
      <c r="D1100" s="38" t="s">
        <v>12657</v>
      </c>
      <c r="G1100" s="44">
        <v>2</v>
      </c>
      <c r="H1100" s="45">
        <v>86</v>
      </c>
      <c r="J1100" s="45">
        <v>43</v>
      </c>
    </row>
    <row r="1101" spans="1:11" x14ac:dyDescent="0.2">
      <c r="A1101" s="38" t="s">
        <v>7</v>
      </c>
      <c r="B1101" s="38" t="s">
        <v>4950</v>
      </c>
      <c r="C1101" s="43" t="s">
        <v>4951</v>
      </c>
      <c r="D1101" s="38" t="s">
        <v>12657</v>
      </c>
      <c r="E1101" s="44">
        <v>98</v>
      </c>
      <c r="F1101" s="45">
        <v>2856</v>
      </c>
      <c r="G1101" s="44">
        <v>204</v>
      </c>
      <c r="H1101" s="45">
        <v>4438</v>
      </c>
      <c r="I1101" s="45">
        <v>29.142857142857142</v>
      </c>
      <c r="J1101" s="45">
        <v>21.754901960784313</v>
      </c>
      <c r="K1101" s="46">
        <v>-0.25350826605151866</v>
      </c>
    </row>
    <row r="1102" spans="1:11" x14ac:dyDescent="0.2">
      <c r="A1102" s="38" t="s">
        <v>7</v>
      </c>
      <c r="B1102" s="38" t="s">
        <v>4953</v>
      </c>
      <c r="C1102" s="43" t="s">
        <v>4954</v>
      </c>
      <c r="D1102" s="38" t="s">
        <v>12657</v>
      </c>
      <c r="E1102" s="44">
        <v>2340</v>
      </c>
      <c r="F1102" s="45">
        <v>118444</v>
      </c>
      <c r="G1102" s="44">
        <v>3129</v>
      </c>
      <c r="H1102" s="45">
        <v>128436</v>
      </c>
      <c r="I1102" s="45">
        <v>50.617094017094018</v>
      </c>
      <c r="J1102" s="45">
        <v>41.04697986577181</v>
      </c>
      <c r="K1102" s="46">
        <v>-0.18906881829467062</v>
      </c>
    </row>
    <row r="1103" spans="1:11" x14ac:dyDescent="0.2">
      <c r="A1103" s="38" t="s">
        <v>7</v>
      </c>
      <c r="B1103" s="38" t="s">
        <v>4959</v>
      </c>
      <c r="C1103" s="43" t="s">
        <v>4960</v>
      </c>
      <c r="D1103" s="38" t="s">
        <v>12657</v>
      </c>
      <c r="E1103" s="44">
        <v>163</v>
      </c>
      <c r="F1103" s="45">
        <v>16731</v>
      </c>
      <c r="G1103" s="44">
        <v>248</v>
      </c>
      <c r="H1103" s="45">
        <v>18364</v>
      </c>
      <c r="I1103" s="45">
        <v>102.6441717791411</v>
      </c>
      <c r="J1103" s="45">
        <v>74.048387096774192</v>
      </c>
      <c r="K1103" s="46">
        <v>-0.27859141134575377</v>
      </c>
    </row>
    <row r="1104" spans="1:11" x14ac:dyDescent="0.2">
      <c r="A1104" s="38" t="s">
        <v>7</v>
      </c>
      <c r="B1104" s="38" t="s">
        <v>4962</v>
      </c>
      <c r="C1104" s="43" t="s">
        <v>4963</v>
      </c>
      <c r="D1104" s="38" t="s">
        <v>12657</v>
      </c>
      <c r="E1104" s="44">
        <v>15</v>
      </c>
      <c r="F1104" s="45">
        <v>1343</v>
      </c>
      <c r="G1104" s="44">
        <v>71</v>
      </c>
      <c r="H1104" s="45">
        <v>4911</v>
      </c>
      <c r="I1104" s="45">
        <v>89.533333333333331</v>
      </c>
      <c r="J1104" s="45">
        <v>69.16901408450704</v>
      </c>
      <c r="K1104" s="46">
        <v>-0.22744958207922142</v>
      </c>
    </row>
    <row r="1105" spans="1:11" x14ac:dyDescent="0.2">
      <c r="A1105" s="38" t="s">
        <v>7</v>
      </c>
      <c r="B1105" s="38" t="s">
        <v>4965</v>
      </c>
      <c r="C1105" s="43" t="s">
        <v>4966</v>
      </c>
      <c r="D1105" s="38" t="s">
        <v>12657</v>
      </c>
      <c r="G1105" s="44">
        <v>18</v>
      </c>
      <c r="H1105" s="45">
        <v>746</v>
      </c>
      <c r="J1105" s="45">
        <v>41.444444444444443</v>
      </c>
    </row>
    <row r="1106" spans="1:11" x14ac:dyDescent="0.2">
      <c r="A1106" s="38" t="s">
        <v>7</v>
      </c>
      <c r="B1106" s="38" t="s">
        <v>4968</v>
      </c>
      <c r="C1106" s="43" t="s">
        <v>4969</v>
      </c>
      <c r="D1106" s="38" t="s">
        <v>12657</v>
      </c>
      <c r="G1106" s="44">
        <v>18</v>
      </c>
      <c r="H1106" s="45">
        <v>90</v>
      </c>
      <c r="J1106" s="45">
        <v>5</v>
      </c>
    </row>
    <row r="1107" spans="1:11" x14ac:dyDescent="0.2">
      <c r="A1107" s="38" t="s">
        <v>7</v>
      </c>
      <c r="B1107" s="38" t="s">
        <v>4971</v>
      </c>
      <c r="C1107" s="43" t="s">
        <v>4972</v>
      </c>
      <c r="D1107" s="38" t="s">
        <v>12657</v>
      </c>
      <c r="E1107" s="44">
        <v>24</v>
      </c>
      <c r="F1107" s="45">
        <v>1416</v>
      </c>
      <c r="G1107" s="44">
        <v>34</v>
      </c>
      <c r="H1107" s="45">
        <v>1344</v>
      </c>
      <c r="I1107" s="45">
        <v>59</v>
      </c>
      <c r="J1107" s="45">
        <v>39.529411764705884</v>
      </c>
      <c r="K1107" s="46">
        <v>-0.33000997008973076</v>
      </c>
    </row>
    <row r="1108" spans="1:11" x14ac:dyDescent="0.2">
      <c r="A1108" s="38" t="s">
        <v>7</v>
      </c>
      <c r="B1108" s="38" t="s">
        <v>4974</v>
      </c>
      <c r="C1108" s="43" t="s">
        <v>4975</v>
      </c>
      <c r="D1108" s="38" t="s">
        <v>12657</v>
      </c>
      <c r="E1108" s="44">
        <v>1767</v>
      </c>
      <c r="F1108" s="45">
        <v>41204</v>
      </c>
      <c r="G1108" s="44">
        <v>2943</v>
      </c>
      <c r="H1108" s="45">
        <v>105912</v>
      </c>
      <c r="I1108" s="45">
        <v>23.318619128466327</v>
      </c>
      <c r="J1108" s="45">
        <v>35.98776758409786</v>
      </c>
      <c r="K1108" s="46">
        <v>0.54330611885013391</v>
      </c>
    </row>
    <row r="1109" spans="1:11" x14ac:dyDescent="0.2">
      <c r="A1109" s="38" t="s">
        <v>7</v>
      </c>
      <c r="B1109" s="38" t="s">
        <v>4976</v>
      </c>
      <c r="C1109" s="43" t="s">
        <v>4977</v>
      </c>
      <c r="D1109" s="38" t="s">
        <v>12657</v>
      </c>
      <c r="E1109" s="44">
        <v>833</v>
      </c>
      <c r="F1109" s="45">
        <v>19594</v>
      </c>
      <c r="G1109" s="44">
        <v>1194</v>
      </c>
      <c r="H1109" s="45">
        <v>42678</v>
      </c>
      <c r="I1109" s="45">
        <v>23.522208883553422</v>
      </c>
      <c r="J1109" s="45">
        <v>35.743718592964825</v>
      </c>
      <c r="K1109" s="46">
        <v>0.51957321567519132</v>
      </c>
    </row>
    <row r="1110" spans="1:11" x14ac:dyDescent="0.2">
      <c r="A1110" s="38" t="s">
        <v>7</v>
      </c>
      <c r="B1110" s="38" t="s">
        <v>4979</v>
      </c>
      <c r="C1110" s="43" t="s">
        <v>4980</v>
      </c>
      <c r="D1110" s="38" t="s">
        <v>12657</v>
      </c>
      <c r="E1110" s="44">
        <v>4</v>
      </c>
      <c r="F1110" s="45">
        <v>382</v>
      </c>
      <c r="G1110" s="44">
        <v>16</v>
      </c>
      <c r="H1110" s="45">
        <v>1584</v>
      </c>
      <c r="I1110" s="45">
        <v>95.5</v>
      </c>
      <c r="J1110" s="45">
        <v>99</v>
      </c>
      <c r="K1110" s="46">
        <v>3.6649214659685861E-2</v>
      </c>
    </row>
    <row r="1111" spans="1:11" x14ac:dyDescent="0.2">
      <c r="A1111" s="38" t="s">
        <v>7</v>
      </c>
      <c r="B1111" s="38" t="s">
        <v>4982</v>
      </c>
      <c r="C1111" s="43" t="s">
        <v>4983</v>
      </c>
      <c r="D1111" s="38" t="s">
        <v>12657</v>
      </c>
      <c r="G1111" s="44">
        <v>33</v>
      </c>
      <c r="H1111" s="45">
        <v>2754</v>
      </c>
      <c r="J1111" s="45">
        <v>83.454545454545453</v>
      </c>
    </row>
    <row r="1112" spans="1:11" x14ac:dyDescent="0.2">
      <c r="A1112" s="38" t="s">
        <v>7</v>
      </c>
      <c r="B1112" s="38" t="s">
        <v>4985</v>
      </c>
      <c r="C1112" s="43" t="s">
        <v>4986</v>
      </c>
      <c r="D1112" s="38" t="s">
        <v>12657</v>
      </c>
      <c r="E1112" s="44">
        <v>15</v>
      </c>
      <c r="F1112" s="45">
        <v>1212</v>
      </c>
      <c r="G1112" s="44">
        <v>38</v>
      </c>
      <c r="H1112" s="45">
        <v>2387</v>
      </c>
      <c r="I1112" s="45">
        <v>80.8</v>
      </c>
      <c r="J1112" s="45">
        <v>62.815789473684212</v>
      </c>
      <c r="K1112" s="46">
        <v>-0.22257686294945278</v>
      </c>
    </row>
    <row r="1113" spans="1:11" x14ac:dyDescent="0.2">
      <c r="A1113" s="38" t="s">
        <v>7</v>
      </c>
      <c r="B1113" s="38" t="s">
        <v>4988</v>
      </c>
      <c r="C1113" s="43" t="s">
        <v>4989</v>
      </c>
      <c r="D1113" s="38" t="s">
        <v>12657</v>
      </c>
      <c r="G1113" s="44">
        <v>43</v>
      </c>
      <c r="H1113" s="45">
        <v>4348</v>
      </c>
      <c r="J1113" s="45">
        <v>101.11627906976744</v>
      </c>
    </row>
    <row r="1114" spans="1:11" x14ac:dyDescent="0.2">
      <c r="A1114" s="38" t="s">
        <v>7</v>
      </c>
      <c r="B1114" s="38" t="s">
        <v>4991</v>
      </c>
      <c r="C1114" s="43" t="s">
        <v>4992</v>
      </c>
      <c r="D1114" s="38" t="s">
        <v>12658</v>
      </c>
      <c r="E1114" s="44">
        <v>1031</v>
      </c>
      <c r="F1114" s="45">
        <v>33307</v>
      </c>
      <c r="G1114" s="44">
        <v>701</v>
      </c>
      <c r="H1114" s="45">
        <v>17853</v>
      </c>
      <c r="I1114" s="45">
        <v>32.305528612997087</v>
      </c>
      <c r="J1114" s="45">
        <v>25.467902995720401</v>
      </c>
      <c r="K1114" s="46">
        <v>-0.21165496776690376</v>
      </c>
    </row>
    <row r="1115" spans="1:11" x14ac:dyDescent="0.2">
      <c r="A1115" s="38" t="s">
        <v>7</v>
      </c>
      <c r="B1115" s="38" t="s">
        <v>4994</v>
      </c>
      <c r="C1115" s="43" t="s">
        <v>4995</v>
      </c>
      <c r="D1115" s="38" t="s">
        <v>12658</v>
      </c>
      <c r="E1115" s="44">
        <v>195</v>
      </c>
      <c r="F1115" s="45">
        <v>120.7</v>
      </c>
      <c r="G1115" s="44">
        <v>117</v>
      </c>
      <c r="H1115" s="45">
        <v>81</v>
      </c>
      <c r="I1115" s="45">
        <v>0.61897435897435904</v>
      </c>
      <c r="J1115" s="45">
        <v>0.69230769230769229</v>
      </c>
      <c r="K1115" s="46">
        <v>0.11847555923777947</v>
      </c>
    </row>
    <row r="1116" spans="1:11" x14ac:dyDescent="0.2">
      <c r="A1116" s="38" t="s">
        <v>7</v>
      </c>
      <c r="B1116" s="38" t="s">
        <v>4996</v>
      </c>
      <c r="C1116" s="43" t="s">
        <v>4997</v>
      </c>
      <c r="D1116" s="38" t="s">
        <v>12658</v>
      </c>
      <c r="E1116" s="44">
        <v>1604</v>
      </c>
      <c r="F1116" s="45">
        <v>1604</v>
      </c>
      <c r="G1116" s="44">
        <v>2020</v>
      </c>
      <c r="H1116" s="45">
        <v>2020</v>
      </c>
      <c r="I1116" s="45">
        <v>1</v>
      </c>
      <c r="J1116" s="45">
        <v>1</v>
      </c>
      <c r="K1116" s="46">
        <v>0</v>
      </c>
    </row>
    <row r="1117" spans="1:11" x14ac:dyDescent="0.2">
      <c r="A1117" s="38" t="s">
        <v>7</v>
      </c>
      <c r="B1117" s="38" t="s">
        <v>4999</v>
      </c>
      <c r="C1117" s="43" t="s">
        <v>5000</v>
      </c>
      <c r="D1117" s="38" t="s">
        <v>12658</v>
      </c>
      <c r="E1117" s="44">
        <v>1902</v>
      </c>
      <c r="F1117" s="45">
        <v>1902</v>
      </c>
      <c r="G1117" s="44">
        <v>1950</v>
      </c>
      <c r="H1117" s="45">
        <v>1950</v>
      </c>
      <c r="I1117" s="45">
        <v>1</v>
      </c>
      <c r="J1117" s="45">
        <v>1</v>
      </c>
      <c r="K1117" s="46">
        <v>0</v>
      </c>
    </row>
    <row r="1118" spans="1:11" x14ac:dyDescent="0.2">
      <c r="A1118" s="38" t="s">
        <v>7</v>
      </c>
      <c r="B1118" s="38" t="s">
        <v>5002</v>
      </c>
      <c r="C1118" s="43" t="s">
        <v>5003</v>
      </c>
      <c r="D1118" s="38" t="s">
        <v>12658</v>
      </c>
      <c r="E1118" s="44">
        <v>797</v>
      </c>
      <c r="F1118" s="45">
        <v>497.08</v>
      </c>
      <c r="G1118" s="44">
        <v>764</v>
      </c>
      <c r="H1118" s="45">
        <v>537.20000000000005</v>
      </c>
      <c r="I1118" s="45">
        <v>0.62368883312421575</v>
      </c>
      <c r="J1118" s="45">
        <v>0.70314136125654458</v>
      </c>
      <c r="K1118" s="46">
        <v>0.12739129500576585</v>
      </c>
    </row>
    <row r="1119" spans="1:11" x14ac:dyDescent="0.2">
      <c r="A1119" s="38" t="s">
        <v>7</v>
      </c>
      <c r="B1119" s="38" t="s">
        <v>5008</v>
      </c>
      <c r="C1119" s="43" t="s">
        <v>5009</v>
      </c>
      <c r="D1119" s="38" t="s">
        <v>12657</v>
      </c>
      <c r="E1119" s="44">
        <v>128</v>
      </c>
      <c r="F1119" s="45">
        <v>4144</v>
      </c>
      <c r="G1119" s="44">
        <v>99</v>
      </c>
      <c r="H1119" s="45">
        <v>2883</v>
      </c>
      <c r="I1119" s="45">
        <v>32.375</v>
      </c>
      <c r="J1119" s="45">
        <v>29.121212121212121</v>
      </c>
      <c r="K1119" s="46">
        <v>-0.1005031005031005</v>
      </c>
    </row>
    <row r="1120" spans="1:11" x14ac:dyDescent="0.2">
      <c r="A1120" s="38" t="s">
        <v>7</v>
      </c>
      <c r="B1120" s="38" t="s">
        <v>5011</v>
      </c>
      <c r="C1120" s="43" t="s">
        <v>5012</v>
      </c>
      <c r="D1120" s="38" t="s">
        <v>12657</v>
      </c>
      <c r="E1120" s="44">
        <v>110</v>
      </c>
      <c r="F1120" s="45">
        <v>5524</v>
      </c>
      <c r="G1120" s="44">
        <v>105</v>
      </c>
      <c r="H1120" s="45">
        <v>4287</v>
      </c>
      <c r="I1120" s="45">
        <v>50.218181818181819</v>
      </c>
      <c r="J1120" s="45">
        <v>40.828571428571429</v>
      </c>
      <c r="K1120" s="46">
        <v>-0.18697631116168409</v>
      </c>
    </row>
    <row r="1121" spans="1:11" x14ac:dyDescent="0.2">
      <c r="A1121" s="38" t="s">
        <v>7</v>
      </c>
      <c r="B1121" s="38" t="s">
        <v>5014</v>
      </c>
      <c r="C1121" s="43" t="s">
        <v>5015</v>
      </c>
      <c r="D1121" s="38" t="s">
        <v>12657</v>
      </c>
      <c r="E1121" s="44">
        <v>473</v>
      </c>
      <c r="F1121" s="45">
        <v>27243</v>
      </c>
      <c r="G1121" s="44">
        <v>569</v>
      </c>
      <c r="H1121" s="45">
        <v>27814</v>
      </c>
      <c r="I1121" s="45">
        <v>57.596194503171247</v>
      </c>
      <c r="J1121" s="45">
        <v>48.882249560632687</v>
      </c>
      <c r="K1121" s="46">
        <v>-0.15129376198732664</v>
      </c>
    </row>
    <row r="1122" spans="1:11" x14ac:dyDescent="0.2">
      <c r="A1122" s="38" t="s">
        <v>7</v>
      </c>
      <c r="B1122" s="38" t="s">
        <v>5017</v>
      </c>
      <c r="C1122" s="43" t="s">
        <v>5018</v>
      </c>
      <c r="D1122" s="38" t="s">
        <v>12657</v>
      </c>
      <c r="E1122" s="44">
        <v>675</v>
      </c>
      <c r="F1122" s="45">
        <v>25629</v>
      </c>
      <c r="G1122" s="44">
        <v>863</v>
      </c>
      <c r="H1122" s="45">
        <v>24925</v>
      </c>
      <c r="I1122" s="45">
        <v>37.968888888888891</v>
      </c>
      <c r="J1122" s="45">
        <v>28.881807647740441</v>
      </c>
      <c r="K1122" s="46">
        <v>-0.23932965928343686</v>
      </c>
    </row>
    <row r="1123" spans="1:11" x14ac:dyDescent="0.2">
      <c r="A1123" s="38" t="s">
        <v>7</v>
      </c>
      <c r="B1123" s="38" t="s">
        <v>5020</v>
      </c>
      <c r="C1123" s="43" t="s">
        <v>5021</v>
      </c>
      <c r="D1123" s="38" t="s">
        <v>12657</v>
      </c>
      <c r="E1123" s="44">
        <v>2951</v>
      </c>
      <c r="F1123" s="45">
        <v>77763</v>
      </c>
      <c r="G1123" s="44">
        <v>3885</v>
      </c>
      <c r="H1123" s="45">
        <v>89559</v>
      </c>
      <c r="I1123" s="45">
        <v>26.351406302948153</v>
      </c>
      <c r="J1123" s="45">
        <v>23.052509652509652</v>
      </c>
      <c r="K1123" s="46">
        <v>-0.12518863746825631</v>
      </c>
    </row>
    <row r="1124" spans="1:11" x14ac:dyDescent="0.2">
      <c r="A1124" s="38" t="s">
        <v>7</v>
      </c>
      <c r="B1124" s="38" t="s">
        <v>5023</v>
      </c>
      <c r="C1124" s="43" t="s">
        <v>5024</v>
      </c>
      <c r="D1124" s="38" t="s">
        <v>12659</v>
      </c>
      <c r="E1124" s="44">
        <v>20</v>
      </c>
      <c r="F1124" s="45">
        <v>760</v>
      </c>
      <c r="G1124" s="44">
        <v>38</v>
      </c>
      <c r="H1124" s="45">
        <v>850</v>
      </c>
      <c r="I1124" s="45">
        <v>38</v>
      </c>
      <c r="J1124" s="45">
        <v>22.368421052631579</v>
      </c>
      <c r="K1124" s="46">
        <v>-0.41135734072022162</v>
      </c>
    </row>
    <row r="1125" spans="1:11" x14ac:dyDescent="0.2">
      <c r="A1125" s="38" t="s">
        <v>7</v>
      </c>
      <c r="B1125" s="38" t="s">
        <v>5026</v>
      </c>
      <c r="C1125" s="43" t="s">
        <v>5027</v>
      </c>
      <c r="D1125" s="38" t="s">
        <v>12657</v>
      </c>
      <c r="E1125" s="44">
        <v>595</v>
      </c>
      <c r="F1125" s="45">
        <v>68329</v>
      </c>
      <c r="G1125" s="44">
        <v>654</v>
      </c>
      <c r="H1125" s="45">
        <v>70560</v>
      </c>
      <c r="I1125" s="45">
        <v>114.83865546218487</v>
      </c>
      <c r="J1125" s="45">
        <v>107.88990825688073</v>
      </c>
      <c r="K1125" s="46">
        <v>-6.050878232018566E-2</v>
      </c>
    </row>
    <row r="1126" spans="1:11" x14ac:dyDescent="0.2">
      <c r="A1126" s="38" t="s">
        <v>7</v>
      </c>
      <c r="B1126" s="38" t="s">
        <v>5029</v>
      </c>
      <c r="C1126" s="43" t="s">
        <v>5030</v>
      </c>
      <c r="D1126" s="38" t="s">
        <v>12657</v>
      </c>
      <c r="E1126" s="44">
        <v>288</v>
      </c>
      <c r="F1126" s="45">
        <v>12087</v>
      </c>
      <c r="G1126" s="44">
        <v>365</v>
      </c>
      <c r="H1126" s="45">
        <v>13316</v>
      </c>
      <c r="I1126" s="45">
        <v>41.96875</v>
      </c>
      <c r="J1126" s="45">
        <v>36.482191780821921</v>
      </c>
      <c r="K1126" s="46">
        <v>-0.13072960760513666</v>
      </c>
    </row>
    <row r="1127" spans="1:11" x14ac:dyDescent="0.2">
      <c r="A1127" s="38" t="s">
        <v>7</v>
      </c>
      <c r="B1127" s="38" t="s">
        <v>5038</v>
      </c>
      <c r="C1127" s="43" t="s">
        <v>5039</v>
      </c>
      <c r="D1127" s="38" t="s">
        <v>12657</v>
      </c>
      <c r="G1127" s="44">
        <v>16</v>
      </c>
      <c r="H1127" s="45">
        <v>480</v>
      </c>
      <c r="J1127" s="45">
        <v>30</v>
      </c>
    </row>
    <row r="1128" spans="1:11" x14ac:dyDescent="0.2">
      <c r="A1128" s="38" t="s">
        <v>7</v>
      </c>
      <c r="B1128" s="38" t="s">
        <v>5044</v>
      </c>
      <c r="C1128" s="43" t="s">
        <v>5045</v>
      </c>
      <c r="D1128" s="38" t="s">
        <v>12657</v>
      </c>
      <c r="G1128" s="44">
        <v>1</v>
      </c>
      <c r="H1128" s="45">
        <v>45</v>
      </c>
      <c r="J1128" s="45">
        <v>45</v>
      </c>
    </row>
    <row r="1129" spans="1:11" x14ac:dyDescent="0.2">
      <c r="A1129" s="38" t="s">
        <v>7</v>
      </c>
      <c r="B1129" s="38" t="s">
        <v>5050</v>
      </c>
      <c r="C1129" s="43" t="s">
        <v>5051</v>
      </c>
      <c r="D1129" s="38" t="s">
        <v>12658</v>
      </c>
      <c r="E1129" s="44">
        <v>179</v>
      </c>
      <c r="F1129" s="45">
        <v>179</v>
      </c>
      <c r="G1129" s="44">
        <v>227</v>
      </c>
      <c r="H1129" s="45">
        <v>250</v>
      </c>
      <c r="I1129" s="45">
        <v>1</v>
      </c>
      <c r="J1129" s="45">
        <v>1.1013215859030836</v>
      </c>
      <c r="K1129" s="46">
        <v>0.1013215859030836</v>
      </c>
    </row>
    <row r="1130" spans="1:11" x14ac:dyDescent="0.2">
      <c r="A1130" s="38" t="s">
        <v>7</v>
      </c>
      <c r="B1130" s="38" t="s">
        <v>5056</v>
      </c>
      <c r="C1130" s="43" t="s">
        <v>5057</v>
      </c>
      <c r="D1130" s="38" t="s">
        <v>12657</v>
      </c>
      <c r="E1130" s="44">
        <v>122</v>
      </c>
      <c r="F1130" s="45">
        <v>3930</v>
      </c>
      <c r="G1130" s="44">
        <v>195</v>
      </c>
      <c r="H1130" s="45">
        <v>5188</v>
      </c>
      <c r="I1130" s="45">
        <v>32.213114754098363</v>
      </c>
      <c r="J1130" s="45">
        <v>26.605128205128207</v>
      </c>
      <c r="K1130" s="46">
        <v>-0.17409016767795396</v>
      </c>
    </row>
    <row r="1131" spans="1:11" x14ac:dyDescent="0.2">
      <c r="A1131" s="38" t="s">
        <v>7</v>
      </c>
      <c r="B1131" s="38" t="s">
        <v>5059</v>
      </c>
      <c r="C1131" s="43" t="s">
        <v>5060</v>
      </c>
      <c r="D1131" s="38" t="s">
        <v>12657</v>
      </c>
      <c r="E1131" s="44">
        <v>71</v>
      </c>
      <c r="F1131" s="45">
        <v>2301</v>
      </c>
      <c r="G1131" s="44">
        <v>93</v>
      </c>
      <c r="H1131" s="45">
        <v>1533</v>
      </c>
      <c r="I1131" s="45">
        <v>32.408450704225352</v>
      </c>
      <c r="J1131" s="45">
        <v>16.483870967741936</v>
      </c>
      <c r="K1131" s="46">
        <v>-0.49137121307706327</v>
      </c>
    </row>
    <row r="1132" spans="1:11" x14ac:dyDescent="0.2">
      <c r="A1132" s="38" t="s">
        <v>7</v>
      </c>
      <c r="B1132" s="38" t="s">
        <v>5062</v>
      </c>
      <c r="C1132" s="43" t="s">
        <v>5063</v>
      </c>
      <c r="D1132" s="38" t="s">
        <v>12657</v>
      </c>
      <c r="E1132" s="44">
        <v>9</v>
      </c>
      <c r="F1132" s="45">
        <v>90</v>
      </c>
      <c r="G1132" s="44">
        <v>68</v>
      </c>
      <c r="H1132" s="45">
        <v>664</v>
      </c>
      <c r="I1132" s="45">
        <v>10</v>
      </c>
      <c r="J1132" s="45">
        <v>9.764705882352942</v>
      </c>
      <c r="K1132" s="46">
        <v>-2.3529411764705799E-2</v>
      </c>
    </row>
    <row r="1133" spans="1:11" x14ac:dyDescent="0.2">
      <c r="A1133" s="38" t="s">
        <v>7</v>
      </c>
      <c r="B1133" s="38" t="s">
        <v>5071</v>
      </c>
      <c r="C1133" s="43" t="s">
        <v>5072</v>
      </c>
      <c r="D1133" s="38" t="s">
        <v>12657</v>
      </c>
      <c r="G1133" s="44">
        <v>6</v>
      </c>
      <c r="H1133" s="45">
        <v>24</v>
      </c>
      <c r="J1133" s="45">
        <v>4</v>
      </c>
    </row>
    <row r="1134" spans="1:11" x14ac:dyDescent="0.2">
      <c r="A1134" s="38" t="s">
        <v>7</v>
      </c>
      <c r="B1134" s="38" t="s">
        <v>5074</v>
      </c>
      <c r="C1134" s="43" t="s">
        <v>5075</v>
      </c>
      <c r="D1134" s="38" t="s">
        <v>12658</v>
      </c>
      <c r="E1134" s="44">
        <v>189</v>
      </c>
      <c r="F1134" s="45">
        <v>4796</v>
      </c>
      <c r="G1134" s="44">
        <v>179</v>
      </c>
      <c r="H1134" s="45">
        <v>3654</v>
      </c>
      <c r="I1134" s="45">
        <v>25.375661375661377</v>
      </c>
      <c r="J1134" s="45">
        <v>20.41340782122905</v>
      </c>
      <c r="K1134" s="46">
        <v>-0.19555169345031476</v>
      </c>
    </row>
    <row r="1135" spans="1:11" x14ac:dyDescent="0.2">
      <c r="A1135" s="38" t="s">
        <v>7</v>
      </c>
      <c r="B1135" s="38" t="s">
        <v>5077</v>
      </c>
      <c r="C1135" s="43" t="s">
        <v>5078</v>
      </c>
      <c r="D1135" s="38" t="s">
        <v>12657</v>
      </c>
      <c r="E1135" s="44">
        <v>11</v>
      </c>
      <c r="F1135" s="45">
        <v>108</v>
      </c>
      <c r="G1135" s="44">
        <v>147</v>
      </c>
      <c r="H1135" s="45">
        <v>1212</v>
      </c>
      <c r="I1135" s="45">
        <v>9.8181818181818183</v>
      </c>
      <c r="J1135" s="45">
        <v>8.2448979591836729</v>
      </c>
      <c r="K1135" s="46">
        <v>-0.1602418745275889</v>
      </c>
    </row>
    <row r="1136" spans="1:11" x14ac:dyDescent="0.2">
      <c r="A1136" s="38" t="s">
        <v>7</v>
      </c>
      <c r="B1136" s="38" t="s">
        <v>5080</v>
      </c>
      <c r="C1136" s="43" t="s">
        <v>5081</v>
      </c>
      <c r="D1136" s="38" t="s">
        <v>12657</v>
      </c>
      <c r="G1136" s="44">
        <v>81</v>
      </c>
      <c r="H1136" s="45">
        <v>784.3</v>
      </c>
      <c r="J1136" s="45">
        <v>9.6827160493827158</v>
      </c>
    </row>
    <row r="1137" spans="1:11" x14ac:dyDescent="0.2">
      <c r="A1137" s="38" t="s">
        <v>7</v>
      </c>
      <c r="B1137" s="38" t="s">
        <v>5083</v>
      </c>
      <c r="C1137" s="43" t="s">
        <v>5084</v>
      </c>
      <c r="D1137" s="38" t="s">
        <v>12657</v>
      </c>
      <c r="G1137" s="44">
        <v>9</v>
      </c>
      <c r="H1137" s="45">
        <v>459</v>
      </c>
      <c r="J1137" s="45">
        <v>51</v>
      </c>
    </row>
    <row r="1138" spans="1:11" x14ac:dyDescent="0.2">
      <c r="A1138" s="38" t="s">
        <v>7</v>
      </c>
      <c r="B1138" s="38" t="s">
        <v>5086</v>
      </c>
      <c r="C1138" s="43" t="s">
        <v>5087</v>
      </c>
      <c r="D1138" s="38" t="s">
        <v>12657</v>
      </c>
      <c r="E1138" s="44">
        <v>164</v>
      </c>
      <c r="F1138" s="45">
        <v>5268</v>
      </c>
      <c r="G1138" s="44">
        <v>211</v>
      </c>
      <c r="H1138" s="45">
        <v>4883</v>
      </c>
      <c r="I1138" s="45">
        <v>32.121951219512198</v>
      </c>
      <c r="J1138" s="45">
        <v>23.142180094786731</v>
      </c>
      <c r="K1138" s="46">
        <v>-0.27955247996487781</v>
      </c>
    </row>
    <row r="1139" spans="1:11" x14ac:dyDescent="0.2">
      <c r="A1139" s="38" t="s">
        <v>7</v>
      </c>
      <c r="B1139" s="38" t="s">
        <v>5092</v>
      </c>
      <c r="C1139" s="43" t="s">
        <v>5093</v>
      </c>
      <c r="D1139" s="38" t="s">
        <v>12657</v>
      </c>
      <c r="E1139" s="44">
        <v>43</v>
      </c>
      <c r="F1139" s="45">
        <v>1415</v>
      </c>
      <c r="G1139" s="44">
        <v>8</v>
      </c>
      <c r="H1139" s="45">
        <v>114</v>
      </c>
      <c r="I1139" s="45">
        <v>32.906976744186046</v>
      </c>
      <c r="J1139" s="45">
        <v>14.25</v>
      </c>
      <c r="K1139" s="46">
        <v>-0.56696113074204946</v>
      </c>
    </row>
    <row r="1140" spans="1:11" x14ac:dyDescent="0.2">
      <c r="A1140" s="38" t="s">
        <v>7</v>
      </c>
      <c r="B1140" s="38" t="s">
        <v>5095</v>
      </c>
      <c r="C1140" s="43" t="s">
        <v>5096</v>
      </c>
      <c r="D1140" s="38" t="s">
        <v>12657</v>
      </c>
      <c r="E1140" s="44">
        <v>7</v>
      </c>
      <c r="F1140" s="45">
        <v>267</v>
      </c>
      <c r="G1140" s="44">
        <v>59</v>
      </c>
      <c r="H1140" s="45">
        <v>761</v>
      </c>
      <c r="I1140" s="45">
        <v>38.142857142857146</v>
      </c>
      <c r="J1140" s="45">
        <v>12.898305084745763</v>
      </c>
      <c r="K1140" s="46">
        <v>-0.6618421887894369</v>
      </c>
    </row>
    <row r="1141" spans="1:11" x14ac:dyDescent="0.2">
      <c r="A1141" s="38" t="s">
        <v>7</v>
      </c>
      <c r="B1141" s="38" t="s">
        <v>5098</v>
      </c>
      <c r="C1141" s="43" t="s">
        <v>5099</v>
      </c>
      <c r="D1141" s="38" t="s">
        <v>12657</v>
      </c>
      <c r="G1141" s="44">
        <v>18</v>
      </c>
      <c r="H1141" s="45">
        <v>243</v>
      </c>
      <c r="J1141" s="45">
        <v>13.5</v>
      </c>
    </row>
    <row r="1142" spans="1:11" x14ac:dyDescent="0.2">
      <c r="A1142" s="38" t="s">
        <v>7</v>
      </c>
      <c r="B1142" s="38" t="s">
        <v>5101</v>
      </c>
      <c r="C1142" s="43" t="s">
        <v>5102</v>
      </c>
      <c r="D1142" s="38" t="s">
        <v>12657</v>
      </c>
      <c r="E1142" s="44">
        <v>62</v>
      </c>
      <c r="F1142" s="45">
        <v>1794</v>
      </c>
      <c r="G1142" s="44">
        <v>47</v>
      </c>
      <c r="H1142" s="45">
        <v>1294</v>
      </c>
      <c r="I1142" s="45">
        <v>28.93548387096774</v>
      </c>
      <c r="J1142" s="45">
        <v>27.531914893617021</v>
      </c>
      <c r="K1142" s="46">
        <v>-4.8506843141440693E-2</v>
      </c>
    </row>
    <row r="1143" spans="1:11" x14ac:dyDescent="0.2">
      <c r="A1143" s="38" t="s">
        <v>7</v>
      </c>
      <c r="B1143" s="38" t="s">
        <v>5104</v>
      </c>
      <c r="C1143" s="43" t="s">
        <v>5105</v>
      </c>
      <c r="D1143" s="38" t="s">
        <v>12657</v>
      </c>
      <c r="E1143" s="44">
        <v>272</v>
      </c>
      <c r="F1143" s="45">
        <v>8082</v>
      </c>
      <c r="G1143" s="44">
        <v>265</v>
      </c>
      <c r="H1143" s="45">
        <v>6578</v>
      </c>
      <c r="I1143" s="45">
        <v>29.713235294117649</v>
      </c>
      <c r="J1143" s="45">
        <v>24.822641509433961</v>
      </c>
      <c r="K1143" s="46">
        <v>-0.16459310930882987</v>
      </c>
    </row>
    <row r="1144" spans="1:11" x14ac:dyDescent="0.2">
      <c r="A1144" s="38" t="s">
        <v>7</v>
      </c>
      <c r="B1144" s="38" t="s">
        <v>5107</v>
      </c>
      <c r="C1144" s="43" t="s">
        <v>5108</v>
      </c>
      <c r="D1144" s="38" t="s">
        <v>12657</v>
      </c>
      <c r="E1144" s="44">
        <v>517</v>
      </c>
      <c r="F1144" s="45">
        <v>16869</v>
      </c>
      <c r="G1144" s="44">
        <v>1054</v>
      </c>
      <c r="H1144" s="45">
        <v>27742</v>
      </c>
      <c r="I1144" s="45">
        <v>32.628626692456479</v>
      </c>
      <c r="J1144" s="45">
        <v>26.320683111954459</v>
      </c>
      <c r="K1144" s="46">
        <v>-0.19332543903726032</v>
      </c>
    </row>
    <row r="1145" spans="1:11" x14ac:dyDescent="0.2">
      <c r="A1145" s="38" t="s">
        <v>7</v>
      </c>
      <c r="B1145" s="38" t="s">
        <v>5110</v>
      </c>
      <c r="C1145" s="43" t="s">
        <v>5111</v>
      </c>
      <c r="D1145" s="38" t="s">
        <v>12657</v>
      </c>
      <c r="G1145" s="44">
        <v>9</v>
      </c>
      <c r="H1145" s="45">
        <v>277</v>
      </c>
      <c r="J1145" s="45">
        <v>30.777777777777779</v>
      </c>
    </row>
    <row r="1146" spans="1:11" x14ac:dyDescent="0.2">
      <c r="A1146" s="38" t="s">
        <v>7</v>
      </c>
      <c r="B1146" s="38" t="s">
        <v>5113</v>
      </c>
      <c r="C1146" s="43" t="s">
        <v>5114</v>
      </c>
      <c r="D1146" s="38" t="s">
        <v>12657</v>
      </c>
      <c r="E1146" s="44">
        <v>67</v>
      </c>
      <c r="F1146" s="45">
        <v>2909</v>
      </c>
      <c r="G1146" s="44">
        <v>99</v>
      </c>
      <c r="H1146" s="45">
        <v>3348</v>
      </c>
      <c r="I1146" s="45">
        <v>43.417910447761194</v>
      </c>
      <c r="J1146" s="45">
        <v>33.81818181818182</v>
      </c>
      <c r="K1146" s="46">
        <v>-0.22110065939560608</v>
      </c>
    </row>
    <row r="1147" spans="1:11" x14ac:dyDescent="0.2">
      <c r="A1147" s="38" t="s">
        <v>7</v>
      </c>
      <c r="B1147" s="38" t="s">
        <v>5116</v>
      </c>
      <c r="C1147" s="43" t="s">
        <v>5117</v>
      </c>
      <c r="D1147" s="38" t="s">
        <v>12658</v>
      </c>
      <c r="E1147" s="44">
        <v>628</v>
      </c>
      <c r="F1147" s="45">
        <v>16034</v>
      </c>
      <c r="G1147" s="44">
        <v>814</v>
      </c>
      <c r="H1147" s="45">
        <v>17516</v>
      </c>
      <c r="I1147" s="45">
        <v>25.53184713375796</v>
      </c>
      <c r="J1147" s="45">
        <v>21.518427518427519</v>
      </c>
      <c r="K1147" s="46">
        <v>-0.15719268544514889</v>
      </c>
    </row>
    <row r="1148" spans="1:11" x14ac:dyDescent="0.2">
      <c r="A1148" s="38" t="s">
        <v>7</v>
      </c>
      <c r="B1148" s="38" t="s">
        <v>5119</v>
      </c>
      <c r="C1148" s="43" t="s">
        <v>5120</v>
      </c>
      <c r="D1148" s="38" t="s">
        <v>12658</v>
      </c>
      <c r="G1148" s="44">
        <v>11</v>
      </c>
      <c r="H1148" s="45">
        <v>4.18</v>
      </c>
      <c r="J1148" s="45">
        <v>0.37999999999999995</v>
      </c>
    </row>
    <row r="1149" spans="1:11" x14ac:dyDescent="0.2">
      <c r="A1149" s="38" t="s">
        <v>7</v>
      </c>
      <c r="B1149" s="38" t="s">
        <v>5125</v>
      </c>
      <c r="C1149" s="43" t="s">
        <v>5126</v>
      </c>
      <c r="D1149" s="38" t="s">
        <v>12658</v>
      </c>
      <c r="E1149" s="44">
        <v>60</v>
      </c>
      <c r="F1149" s="45">
        <v>873</v>
      </c>
      <c r="G1149" s="44">
        <v>51</v>
      </c>
      <c r="H1149" s="45">
        <v>569</v>
      </c>
      <c r="I1149" s="45">
        <v>14.55</v>
      </c>
      <c r="J1149" s="45">
        <v>11.156862745098039</v>
      </c>
      <c r="K1149" s="46">
        <v>-0.23320530961525512</v>
      </c>
    </row>
    <row r="1150" spans="1:11" x14ac:dyDescent="0.2">
      <c r="A1150" s="38" t="s">
        <v>7</v>
      </c>
      <c r="B1150" s="38" t="s">
        <v>5128</v>
      </c>
      <c r="C1150" s="43" t="s">
        <v>5129</v>
      </c>
      <c r="D1150" s="38" t="s">
        <v>12658</v>
      </c>
      <c r="E1150" s="44">
        <v>134</v>
      </c>
      <c r="F1150" s="45">
        <v>5005</v>
      </c>
      <c r="G1150" s="44">
        <v>235</v>
      </c>
      <c r="H1150" s="45">
        <v>5748</v>
      </c>
      <c r="I1150" s="45">
        <v>37.350746268656714</v>
      </c>
      <c r="J1150" s="45">
        <v>24.459574468085105</v>
      </c>
      <c r="K1150" s="46">
        <v>-0.34513826598932984</v>
      </c>
    </row>
    <row r="1151" spans="1:11" x14ac:dyDescent="0.2">
      <c r="A1151" s="38" t="s">
        <v>7</v>
      </c>
      <c r="B1151" s="38" t="s">
        <v>5131</v>
      </c>
      <c r="C1151" s="43" t="s">
        <v>5132</v>
      </c>
      <c r="D1151" s="38" t="s">
        <v>12658</v>
      </c>
      <c r="E1151" s="44">
        <v>127</v>
      </c>
      <c r="F1151" s="45">
        <v>1730</v>
      </c>
      <c r="G1151" s="44">
        <v>218</v>
      </c>
      <c r="H1151" s="45">
        <v>2532</v>
      </c>
      <c r="I1151" s="45">
        <v>13.622047244094489</v>
      </c>
      <c r="J1151" s="45">
        <v>11.614678899082568</v>
      </c>
      <c r="K1151" s="46">
        <v>-0.14736172243729129</v>
      </c>
    </row>
    <row r="1152" spans="1:11" x14ac:dyDescent="0.2">
      <c r="A1152" s="38" t="s">
        <v>7</v>
      </c>
      <c r="B1152" s="38" t="s">
        <v>5134</v>
      </c>
      <c r="C1152" s="43" t="s">
        <v>5135</v>
      </c>
      <c r="D1152" s="38" t="s">
        <v>12658</v>
      </c>
      <c r="G1152" s="44">
        <v>28</v>
      </c>
      <c r="H1152" s="45">
        <v>12.6</v>
      </c>
      <c r="J1152" s="45">
        <v>0.45</v>
      </c>
    </row>
    <row r="1153" spans="1:11" x14ac:dyDescent="0.2">
      <c r="A1153" s="38" t="s">
        <v>7</v>
      </c>
      <c r="B1153" s="38" t="s">
        <v>5137</v>
      </c>
      <c r="C1153" s="43" t="s">
        <v>5138</v>
      </c>
      <c r="D1153" s="38" t="s">
        <v>12658</v>
      </c>
      <c r="E1153" s="44">
        <v>1</v>
      </c>
      <c r="F1153" s="45">
        <v>3</v>
      </c>
      <c r="G1153" s="44">
        <v>20</v>
      </c>
      <c r="H1153" s="45">
        <v>60</v>
      </c>
      <c r="I1153" s="45">
        <v>3</v>
      </c>
      <c r="J1153" s="45">
        <v>3</v>
      </c>
      <c r="K1153" s="46">
        <v>0</v>
      </c>
    </row>
    <row r="1154" spans="1:11" x14ac:dyDescent="0.2">
      <c r="A1154" s="38" t="s">
        <v>7</v>
      </c>
      <c r="B1154" s="38" t="s">
        <v>5140</v>
      </c>
      <c r="C1154" s="43" t="s">
        <v>5141</v>
      </c>
      <c r="D1154" s="38" t="s">
        <v>12657</v>
      </c>
      <c r="G1154" s="44">
        <v>11</v>
      </c>
      <c r="H1154" s="45">
        <v>418</v>
      </c>
      <c r="J1154" s="45">
        <v>38</v>
      </c>
    </row>
    <row r="1155" spans="1:11" x14ac:dyDescent="0.2">
      <c r="A1155" s="38" t="s">
        <v>7</v>
      </c>
      <c r="B1155" s="38" t="s">
        <v>5146</v>
      </c>
      <c r="C1155" s="43" t="s">
        <v>5147</v>
      </c>
      <c r="D1155" s="38" t="s">
        <v>12657</v>
      </c>
      <c r="G1155" s="44">
        <v>166</v>
      </c>
      <c r="H1155" s="45">
        <v>7262</v>
      </c>
      <c r="J1155" s="45">
        <v>43.746987951807228</v>
      </c>
    </row>
    <row r="1156" spans="1:11" x14ac:dyDescent="0.2">
      <c r="A1156" s="38" t="s">
        <v>7</v>
      </c>
      <c r="B1156" s="38" t="s">
        <v>5149</v>
      </c>
      <c r="C1156" s="43" t="s">
        <v>5150</v>
      </c>
      <c r="D1156" s="38" t="s">
        <v>12657</v>
      </c>
      <c r="G1156" s="44">
        <v>29</v>
      </c>
      <c r="H1156" s="45">
        <v>957</v>
      </c>
      <c r="J1156" s="45">
        <v>33</v>
      </c>
    </row>
    <row r="1157" spans="1:11" x14ac:dyDescent="0.2">
      <c r="A1157" s="38" t="s">
        <v>7</v>
      </c>
      <c r="B1157" s="38" t="s">
        <v>5152</v>
      </c>
      <c r="C1157" s="43" t="s">
        <v>5153</v>
      </c>
      <c r="D1157" s="38" t="s">
        <v>12657</v>
      </c>
      <c r="E1157" s="44">
        <v>598</v>
      </c>
      <c r="F1157" s="45">
        <v>22244</v>
      </c>
      <c r="G1157" s="44">
        <v>976</v>
      </c>
      <c r="H1157" s="45">
        <v>32722</v>
      </c>
      <c r="I1157" s="45">
        <v>37.197324414715716</v>
      </c>
      <c r="J1157" s="45">
        <v>33.526639344262293</v>
      </c>
      <c r="K1157" s="46">
        <v>-9.8681427447003561E-2</v>
      </c>
    </row>
    <row r="1158" spans="1:11" x14ac:dyDescent="0.2">
      <c r="A1158" s="38" t="s">
        <v>7</v>
      </c>
      <c r="B1158" s="38" t="s">
        <v>5155</v>
      </c>
      <c r="C1158" s="43" t="s">
        <v>5156</v>
      </c>
      <c r="D1158" s="38" t="s">
        <v>12657</v>
      </c>
      <c r="E1158" s="44">
        <v>39</v>
      </c>
      <c r="F1158" s="45">
        <v>1467</v>
      </c>
      <c r="G1158" s="44">
        <v>46</v>
      </c>
      <c r="H1158" s="45">
        <v>1748</v>
      </c>
      <c r="I1158" s="45">
        <v>37.615384615384613</v>
      </c>
      <c r="J1158" s="45">
        <v>38</v>
      </c>
      <c r="K1158" s="46">
        <v>1.0224948875255683E-2</v>
      </c>
    </row>
    <row r="1159" spans="1:11" x14ac:dyDescent="0.2">
      <c r="A1159" s="38" t="s">
        <v>7</v>
      </c>
      <c r="B1159" s="38" t="s">
        <v>5158</v>
      </c>
      <c r="C1159" s="43" t="s">
        <v>5159</v>
      </c>
      <c r="D1159" s="38" t="s">
        <v>12657</v>
      </c>
      <c r="E1159" s="44">
        <v>57</v>
      </c>
      <c r="F1159" s="45">
        <v>2085</v>
      </c>
      <c r="G1159" s="44">
        <v>46</v>
      </c>
      <c r="H1159" s="45">
        <v>1748</v>
      </c>
      <c r="I1159" s="45">
        <v>36.578947368421055</v>
      </c>
      <c r="J1159" s="45">
        <v>38</v>
      </c>
      <c r="K1159" s="46">
        <v>3.8848920863309287E-2</v>
      </c>
    </row>
    <row r="1160" spans="1:11" x14ac:dyDescent="0.2">
      <c r="A1160" s="38" t="s">
        <v>7</v>
      </c>
      <c r="B1160" s="38" t="s">
        <v>5161</v>
      </c>
      <c r="C1160" s="43" t="s">
        <v>5162</v>
      </c>
      <c r="D1160" s="38" t="s">
        <v>12657</v>
      </c>
      <c r="E1160" s="44">
        <v>165</v>
      </c>
      <c r="F1160" s="45">
        <v>8560</v>
      </c>
      <c r="G1160" s="44">
        <v>236</v>
      </c>
      <c r="H1160" s="45">
        <v>10946</v>
      </c>
      <c r="I1160" s="45">
        <v>51.878787878787875</v>
      </c>
      <c r="J1160" s="45">
        <v>46.381355932203391</v>
      </c>
      <c r="K1160" s="46">
        <v>-0.10596685411056542</v>
      </c>
    </row>
    <row r="1161" spans="1:11" x14ac:dyDescent="0.2">
      <c r="A1161" s="38" t="s">
        <v>7</v>
      </c>
      <c r="B1161" s="38" t="s">
        <v>5167</v>
      </c>
      <c r="C1161" s="43" t="s">
        <v>5168</v>
      </c>
      <c r="D1161" s="38" t="s">
        <v>12657</v>
      </c>
      <c r="E1161" s="44">
        <v>474</v>
      </c>
      <c r="F1161" s="45">
        <v>13938</v>
      </c>
      <c r="G1161" s="44">
        <v>650</v>
      </c>
      <c r="H1161" s="45">
        <v>14541</v>
      </c>
      <c r="I1161" s="45">
        <v>29.405063291139239</v>
      </c>
      <c r="J1161" s="45">
        <v>22.370769230769231</v>
      </c>
      <c r="K1161" s="46">
        <v>-0.23922050399019831</v>
      </c>
    </row>
    <row r="1162" spans="1:11" x14ac:dyDescent="0.2">
      <c r="A1162" s="38" t="s">
        <v>7</v>
      </c>
      <c r="B1162" s="38" t="s">
        <v>5170</v>
      </c>
      <c r="C1162" s="43" t="s">
        <v>5171</v>
      </c>
      <c r="D1162" s="38" t="s">
        <v>12657</v>
      </c>
      <c r="E1162" s="44">
        <v>417</v>
      </c>
      <c r="F1162" s="45">
        <v>12306</v>
      </c>
      <c r="G1162" s="44">
        <v>673</v>
      </c>
      <c r="H1162" s="45">
        <v>18566</v>
      </c>
      <c r="I1162" s="45">
        <v>29.510791366906474</v>
      </c>
      <c r="J1162" s="45">
        <v>27.586924219910848</v>
      </c>
      <c r="K1162" s="46">
        <v>-6.5191987672450519E-2</v>
      </c>
    </row>
    <row r="1163" spans="1:11" x14ac:dyDescent="0.2">
      <c r="A1163" s="38" t="s">
        <v>7</v>
      </c>
      <c r="B1163" s="38" t="s">
        <v>5173</v>
      </c>
      <c r="C1163" s="43" t="s">
        <v>5174</v>
      </c>
      <c r="D1163" s="38" t="s">
        <v>12657</v>
      </c>
      <c r="E1163" s="44">
        <v>210</v>
      </c>
      <c r="F1163" s="45">
        <v>7557</v>
      </c>
      <c r="G1163" s="44">
        <v>362</v>
      </c>
      <c r="H1163" s="45">
        <v>9686</v>
      </c>
      <c r="I1163" s="45">
        <v>35.985714285714288</v>
      </c>
      <c r="J1163" s="45">
        <v>26.756906077348066</v>
      </c>
      <c r="K1163" s="46">
        <v>-0.25645755243574253</v>
      </c>
    </row>
    <row r="1164" spans="1:11" x14ac:dyDescent="0.2">
      <c r="A1164" s="38" t="s">
        <v>7</v>
      </c>
      <c r="B1164" s="38" t="s">
        <v>5176</v>
      </c>
      <c r="C1164" s="43" t="s">
        <v>5177</v>
      </c>
      <c r="D1164" s="38" t="s">
        <v>12657</v>
      </c>
      <c r="E1164" s="44">
        <v>138</v>
      </c>
      <c r="F1164" s="45">
        <v>5220</v>
      </c>
      <c r="G1164" s="44">
        <v>269</v>
      </c>
      <c r="H1164" s="45">
        <v>9275</v>
      </c>
      <c r="I1164" s="45">
        <v>37.826086956521742</v>
      </c>
      <c r="J1164" s="45">
        <v>34.479553903345725</v>
      </c>
      <c r="K1164" s="46">
        <v>-8.8471563474768269E-2</v>
      </c>
    </row>
    <row r="1165" spans="1:11" x14ac:dyDescent="0.2">
      <c r="A1165" s="38" t="s">
        <v>7</v>
      </c>
      <c r="B1165" s="38" t="s">
        <v>5179</v>
      </c>
      <c r="C1165" s="43" t="s">
        <v>5180</v>
      </c>
      <c r="D1165" s="38" t="s">
        <v>12657</v>
      </c>
      <c r="G1165" s="44">
        <v>32</v>
      </c>
      <c r="H1165" s="45">
        <v>960</v>
      </c>
      <c r="J1165" s="45">
        <v>30</v>
      </c>
    </row>
    <row r="1166" spans="1:11" x14ac:dyDescent="0.2">
      <c r="A1166" s="38" t="s">
        <v>7</v>
      </c>
      <c r="B1166" s="38" t="s">
        <v>5182</v>
      </c>
      <c r="C1166" s="43" t="s">
        <v>5183</v>
      </c>
      <c r="D1166" s="38" t="s">
        <v>12657</v>
      </c>
      <c r="G1166" s="44">
        <v>18</v>
      </c>
      <c r="H1166" s="45">
        <v>1314</v>
      </c>
      <c r="J1166" s="45">
        <v>73</v>
      </c>
    </row>
    <row r="1167" spans="1:11" x14ac:dyDescent="0.2">
      <c r="A1167" s="38" t="s">
        <v>7</v>
      </c>
      <c r="B1167" s="38" t="s">
        <v>5188</v>
      </c>
      <c r="C1167" s="43" t="s">
        <v>5189</v>
      </c>
      <c r="D1167" s="38" t="s">
        <v>12657</v>
      </c>
      <c r="G1167" s="44">
        <v>16</v>
      </c>
      <c r="H1167" s="45">
        <v>2032</v>
      </c>
      <c r="J1167" s="45">
        <v>127</v>
      </c>
    </row>
    <row r="1168" spans="1:11" x14ac:dyDescent="0.2">
      <c r="A1168" s="38" t="s">
        <v>7</v>
      </c>
      <c r="B1168" s="38" t="s">
        <v>5191</v>
      </c>
      <c r="C1168" s="43" t="s">
        <v>5192</v>
      </c>
      <c r="D1168" s="38" t="s">
        <v>12657</v>
      </c>
      <c r="E1168" s="44">
        <v>1421</v>
      </c>
      <c r="F1168" s="45">
        <v>37387</v>
      </c>
      <c r="G1168" s="44">
        <v>786</v>
      </c>
      <c r="H1168" s="45">
        <v>18502</v>
      </c>
      <c r="I1168" s="45">
        <v>26.310344827586206</v>
      </c>
      <c r="J1168" s="45">
        <v>23.539440203562339</v>
      </c>
      <c r="K1168" s="46">
        <v>-0.10531616526434096</v>
      </c>
    </row>
    <row r="1169" spans="1:11" x14ac:dyDescent="0.2">
      <c r="A1169" s="38" t="s">
        <v>7</v>
      </c>
      <c r="B1169" s="38" t="s">
        <v>5197</v>
      </c>
      <c r="C1169" s="43" t="s">
        <v>5198</v>
      </c>
      <c r="D1169" s="38" t="s">
        <v>12657</v>
      </c>
      <c r="G1169" s="44">
        <v>20</v>
      </c>
      <c r="H1169" s="45">
        <v>1180</v>
      </c>
      <c r="J1169" s="45">
        <v>59</v>
      </c>
    </row>
    <row r="1170" spans="1:11" x14ac:dyDescent="0.2">
      <c r="A1170" s="38" t="s">
        <v>7</v>
      </c>
      <c r="B1170" s="38" t="s">
        <v>5200</v>
      </c>
      <c r="C1170" s="43" t="s">
        <v>5201</v>
      </c>
      <c r="D1170" s="38" t="s">
        <v>12657</v>
      </c>
      <c r="E1170" s="44">
        <v>171</v>
      </c>
      <c r="F1170" s="45">
        <v>17983</v>
      </c>
      <c r="G1170" s="44">
        <v>194</v>
      </c>
      <c r="H1170" s="45">
        <v>12454</v>
      </c>
      <c r="I1170" s="45">
        <v>105.16374269005848</v>
      </c>
      <c r="J1170" s="45">
        <v>64.19587628865979</v>
      </c>
      <c r="K1170" s="46">
        <v>-0.3895626510948772</v>
      </c>
    </row>
    <row r="1171" spans="1:11" x14ac:dyDescent="0.2">
      <c r="A1171" s="38" t="s">
        <v>7</v>
      </c>
      <c r="B1171" s="38" t="s">
        <v>5203</v>
      </c>
      <c r="C1171" s="43" t="s">
        <v>5204</v>
      </c>
      <c r="D1171" s="38" t="s">
        <v>12657</v>
      </c>
      <c r="E1171" s="44">
        <v>7</v>
      </c>
      <c r="F1171" s="45">
        <v>266</v>
      </c>
      <c r="G1171" s="44">
        <v>93</v>
      </c>
      <c r="H1171" s="45">
        <v>2239</v>
      </c>
      <c r="I1171" s="45">
        <v>38</v>
      </c>
      <c r="J1171" s="45">
        <v>24.0752688172043</v>
      </c>
      <c r="K1171" s="46">
        <v>-0.36644029428409736</v>
      </c>
    </row>
    <row r="1172" spans="1:11" x14ac:dyDescent="0.2">
      <c r="A1172" s="38" t="s">
        <v>7</v>
      </c>
      <c r="B1172" s="38" t="s">
        <v>5206</v>
      </c>
      <c r="C1172" s="43" t="s">
        <v>5207</v>
      </c>
      <c r="D1172" s="38" t="s">
        <v>12657</v>
      </c>
      <c r="G1172" s="44">
        <v>13</v>
      </c>
      <c r="H1172" s="45">
        <v>559</v>
      </c>
      <c r="J1172" s="45">
        <v>43</v>
      </c>
    </row>
    <row r="1173" spans="1:11" x14ac:dyDescent="0.2">
      <c r="A1173" s="38" t="s">
        <v>7</v>
      </c>
      <c r="B1173" s="38" t="s">
        <v>5209</v>
      </c>
      <c r="C1173" s="43" t="s">
        <v>5210</v>
      </c>
      <c r="D1173" s="38" t="s">
        <v>12657</v>
      </c>
      <c r="E1173" s="44">
        <v>96</v>
      </c>
      <c r="F1173" s="45">
        <v>4071</v>
      </c>
      <c r="G1173" s="44">
        <v>108</v>
      </c>
      <c r="H1173" s="45">
        <v>4480</v>
      </c>
      <c r="I1173" s="45">
        <v>42.40625</v>
      </c>
      <c r="J1173" s="45">
        <v>41.481481481481481</v>
      </c>
      <c r="K1173" s="46">
        <v>-2.1807363738093302E-2</v>
      </c>
    </row>
    <row r="1174" spans="1:11" x14ac:dyDescent="0.2">
      <c r="A1174" s="38" t="s">
        <v>7</v>
      </c>
      <c r="B1174" s="38" t="s">
        <v>5212</v>
      </c>
      <c r="C1174" s="43" t="s">
        <v>5213</v>
      </c>
      <c r="D1174" s="38" t="s">
        <v>12657</v>
      </c>
      <c r="G1174" s="44">
        <v>21</v>
      </c>
      <c r="H1174" s="45">
        <v>810</v>
      </c>
      <c r="J1174" s="45">
        <v>38.571428571428569</v>
      </c>
    </row>
    <row r="1175" spans="1:11" x14ac:dyDescent="0.2">
      <c r="A1175" s="38" t="s">
        <v>7</v>
      </c>
      <c r="B1175" s="38" t="s">
        <v>5215</v>
      </c>
      <c r="C1175" s="43" t="s">
        <v>5216</v>
      </c>
      <c r="D1175" s="38" t="s">
        <v>12657</v>
      </c>
      <c r="G1175" s="44">
        <v>20</v>
      </c>
      <c r="H1175" s="45">
        <v>404</v>
      </c>
      <c r="J1175" s="45">
        <v>20.2</v>
      </c>
    </row>
    <row r="1176" spans="1:11" x14ac:dyDescent="0.2">
      <c r="A1176" s="38" t="s">
        <v>7</v>
      </c>
      <c r="B1176" s="38" t="s">
        <v>5221</v>
      </c>
      <c r="C1176" s="43" t="s">
        <v>5222</v>
      </c>
      <c r="D1176" s="38" t="s">
        <v>12657</v>
      </c>
      <c r="G1176" s="44">
        <v>37</v>
      </c>
      <c r="H1176" s="45">
        <v>1332</v>
      </c>
      <c r="J1176" s="45">
        <v>36</v>
      </c>
    </row>
    <row r="1177" spans="1:11" x14ac:dyDescent="0.2">
      <c r="A1177" s="38" t="s">
        <v>7</v>
      </c>
      <c r="B1177" s="38" t="s">
        <v>5224</v>
      </c>
      <c r="C1177" s="43" t="s">
        <v>5225</v>
      </c>
      <c r="D1177" s="38" t="s">
        <v>12657</v>
      </c>
      <c r="E1177" s="44">
        <v>40</v>
      </c>
      <c r="F1177" s="45">
        <v>3282</v>
      </c>
      <c r="G1177" s="44">
        <v>125</v>
      </c>
      <c r="H1177" s="45">
        <v>2820</v>
      </c>
      <c r="I1177" s="45">
        <v>82.05</v>
      </c>
      <c r="J1177" s="45">
        <v>22.56</v>
      </c>
      <c r="K1177" s="46">
        <v>-0.72504570383912248</v>
      </c>
    </row>
    <row r="1178" spans="1:11" x14ac:dyDescent="0.2">
      <c r="A1178" s="38" t="s">
        <v>7</v>
      </c>
      <c r="B1178" s="38" t="s">
        <v>5227</v>
      </c>
      <c r="C1178" s="43" t="s">
        <v>5228</v>
      </c>
      <c r="D1178" s="38" t="s">
        <v>12657</v>
      </c>
      <c r="E1178" s="44">
        <v>27</v>
      </c>
      <c r="F1178" s="45">
        <v>316</v>
      </c>
      <c r="G1178" s="44">
        <v>21</v>
      </c>
      <c r="H1178" s="45">
        <v>241</v>
      </c>
      <c r="I1178" s="45">
        <v>11.703703703703704</v>
      </c>
      <c r="J1178" s="45">
        <v>11.476190476190476</v>
      </c>
      <c r="K1178" s="46">
        <v>-1.9439421338155547E-2</v>
      </c>
    </row>
    <row r="1179" spans="1:11" x14ac:dyDescent="0.2">
      <c r="A1179" s="38" t="s">
        <v>7</v>
      </c>
      <c r="B1179" s="38" t="s">
        <v>5230</v>
      </c>
      <c r="C1179" s="43" t="s">
        <v>5231</v>
      </c>
      <c r="D1179" s="38" t="s">
        <v>12657</v>
      </c>
      <c r="E1179" s="44">
        <v>116</v>
      </c>
      <c r="F1179" s="45">
        <v>4758</v>
      </c>
      <c r="G1179" s="44">
        <v>135</v>
      </c>
      <c r="H1179" s="45">
        <v>4399</v>
      </c>
      <c r="I1179" s="45">
        <v>41.017241379310342</v>
      </c>
      <c r="J1179" s="45">
        <v>32.585185185185182</v>
      </c>
      <c r="K1179" s="46">
        <v>-0.2055734591253717</v>
      </c>
    </row>
    <row r="1180" spans="1:11" x14ac:dyDescent="0.2">
      <c r="A1180" s="38" t="s">
        <v>7</v>
      </c>
      <c r="B1180" s="38" t="s">
        <v>5233</v>
      </c>
      <c r="C1180" s="43" t="s">
        <v>5234</v>
      </c>
      <c r="D1180" s="38" t="s">
        <v>12657</v>
      </c>
      <c r="E1180" s="44">
        <v>105</v>
      </c>
      <c r="F1180" s="45">
        <v>7674</v>
      </c>
      <c r="G1180" s="44">
        <v>96</v>
      </c>
      <c r="H1180" s="45">
        <v>1371</v>
      </c>
      <c r="I1180" s="45">
        <v>73.085714285714289</v>
      </c>
      <c r="J1180" s="45">
        <v>14.28125</v>
      </c>
      <c r="K1180" s="46">
        <v>-0.80459587568412827</v>
      </c>
    </row>
    <row r="1181" spans="1:11" x14ac:dyDescent="0.2">
      <c r="A1181" s="38" t="s">
        <v>7</v>
      </c>
      <c r="B1181" s="38" t="s">
        <v>5236</v>
      </c>
      <c r="C1181" s="43" t="s">
        <v>5237</v>
      </c>
      <c r="D1181" s="38" t="s">
        <v>12657</v>
      </c>
      <c r="E1181" s="44">
        <v>180</v>
      </c>
      <c r="F1181" s="45">
        <v>23360</v>
      </c>
      <c r="G1181" s="44">
        <v>278</v>
      </c>
      <c r="H1181" s="45">
        <v>24021</v>
      </c>
      <c r="I1181" s="45">
        <v>129.77777777777777</v>
      </c>
      <c r="J1181" s="45">
        <v>86.406474820143885</v>
      </c>
      <c r="K1181" s="46">
        <v>-0.33419668374889128</v>
      </c>
    </row>
    <row r="1182" spans="1:11" x14ac:dyDescent="0.2">
      <c r="A1182" s="38" t="s">
        <v>7</v>
      </c>
      <c r="B1182" s="38" t="s">
        <v>5239</v>
      </c>
      <c r="C1182" s="43" t="s">
        <v>5240</v>
      </c>
      <c r="D1182" s="38" t="s">
        <v>12657</v>
      </c>
      <c r="E1182" s="44">
        <v>238</v>
      </c>
      <c r="F1182" s="45">
        <v>14784</v>
      </c>
      <c r="G1182" s="44">
        <v>115</v>
      </c>
      <c r="H1182" s="45">
        <v>6269</v>
      </c>
      <c r="I1182" s="45">
        <v>62.117647058823529</v>
      </c>
      <c r="J1182" s="45">
        <v>54.513043478260869</v>
      </c>
      <c r="K1182" s="46">
        <v>-0.12242259552042162</v>
      </c>
    </row>
    <row r="1183" spans="1:11" x14ac:dyDescent="0.2">
      <c r="A1183" s="38" t="s">
        <v>7</v>
      </c>
      <c r="B1183" s="38" t="s">
        <v>5242</v>
      </c>
      <c r="C1183" s="43" t="s">
        <v>5243</v>
      </c>
      <c r="D1183" s="38" t="s">
        <v>12657</v>
      </c>
      <c r="E1183" s="44">
        <v>62</v>
      </c>
      <c r="F1183" s="45">
        <v>905</v>
      </c>
      <c r="G1183" s="44">
        <v>125</v>
      </c>
      <c r="H1183" s="45">
        <v>1611</v>
      </c>
      <c r="I1183" s="45">
        <v>14.596774193548388</v>
      </c>
      <c r="J1183" s="45">
        <v>12.888</v>
      </c>
      <c r="K1183" s="46">
        <v>-0.1170651933701658</v>
      </c>
    </row>
    <row r="1184" spans="1:11" x14ac:dyDescent="0.2">
      <c r="A1184" s="38" t="s">
        <v>7</v>
      </c>
      <c r="B1184" s="38" t="s">
        <v>5245</v>
      </c>
      <c r="C1184" s="43" t="s">
        <v>5246</v>
      </c>
      <c r="D1184" s="38" t="s">
        <v>12657</v>
      </c>
      <c r="E1184" s="44">
        <v>118</v>
      </c>
      <c r="F1184" s="45">
        <v>3836</v>
      </c>
      <c r="G1184" s="44">
        <v>140</v>
      </c>
      <c r="H1184" s="45">
        <v>4140</v>
      </c>
      <c r="I1184" s="45">
        <v>32.508474576271183</v>
      </c>
      <c r="J1184" s="45">
        <v>29.571428571428573</v>
      </c>
      <c r="K1184" s="46">
        <v>-9.0347087740205431E-2</v>
      </c>
    </row>
    <row r="1185" spans="1:11" x14ac:dyDescent="0.2">
      <c r="A1185" s="38" t="s">
        <v>7</v>
      </c>
      <c r="B1185" s="38" t="s">
        <v>5248</v>
      </c>
      <c r="C1185" s="43" t="s">
        <v>5249</v>
      </c>
      <c r="D1185" s="38" t="s">
        <v>12657</v>
      </c>
      <c r="E1185" s="44">
        <v>118</v>
      </c>
      <c r="F1185" s="45">
        <v>4479</v>
      </c>
      <c r="G1185" s="44">
        <v>818</v>
      </c>
      <c r="H1185" s="45">
        <v>21908</v>
      </c>
      <c r="I1185" s="45">
        <v>37.957627118644069</v>
      </c>
      <c r="J1185" s="45">
        <v>26.78239608801956</v>
      </c>
      <c r="K1185" s="46">
        <v>-0.29441332029776557</v>
      </c>
    </row>
    <row r="1186" spans="1:11" x14ac:dyDescent="0.2">
      <c r="A1186" s="38" t="s">
        <v>7</v>
      </c>
      <c r="B1186" s="38" t="s">
        <v>5251</v>
      </c>
      <c r="C1186" s="43" t="s">
        <v>5252</v>
      </c>
      <c r="D1186" s="38" t="s">
        <v>12657</v>
      </c>
      <c r="E1186" s="44">
        <v>1710</v>
      </c>
      <c r="F1186" s="45">
        <v>98602</v>
      </c>
      <c r="G1186" s="44">
        <v>1825</v>
      </c>
      <c r="H1186" s="45">
        <v>89521</v>
      </c>
      <c r="I1186" s="45">
        <v>57.661988304093569</v>
      </c>
      <c r="J1186" s="45">
        <v>49.052602739726026</v>
      </c>
      <c r="K1186" s="46">
        <v>-0.14930781642429664</v>
      </c>
    </row>
    <row r="1187" spans="1:11" x14ac:dyDescent="0.2">
      <c r="A1187" s="38" t="s">
        <v>7</v>
      </c>
      <c r="B1187" s="38" t="s">
        <v>5254</v>
      </c>
      <c r="C1187" s="43" t="s">
        <v>5255</v>
      </c>
      <c r="D1187" s="38" t="s">
        <v>12657</v>
      </c>
      <c r="E1187" s="44">
        <v>88</v>
      </c>
      <c r="F1187" s="45">
        <v>3263</v>
      </c>
      <c r="G1187" s="44">
        <v>74</v>
      </c>
      <c r="H1187" s="45">
        <v>2112</v>
      </c>
      <c r="I1187" s="45">
        <v>37.079545454545453</v>
      </c>
      <c r="J1187" s="45">
        <v>28.54054054054054</v>
      </c>
      <c r="K1187" s="46">
        <v>-0.2302888239143219</v>
      </c>
    </row>
    <row r="1188" spans="1:11" x14ac:dyDescent="0.2">
      <c r="A1188" s="38" t="s">
        <v>7</v>
      </c>
      <c r="B1188" s="38" t="s">
        <v>5260</v>
      </c>
      <c r="C1188" s="43" t="s">
        <v>5261</v>
      </c>
      <c r="D1188" s="38" t="s">
        <v>12657</v>
      </c>
      <c r="E1188" s="44">
        <v>835</v>
      </c>
      <c r="F1188" s="45">
        <v>42875</v>
      </c>
      <c r="G1188" s="44">
        <v>1000</v>
      </c>
      <c r="H1188" s="45">
        <v>46676</v>
      </c>
      <c r="I1188" s="45">
        <v>51.34730538922156</v>
      </c>
      <c r="J1188" s="45">
        <v>46.676000000000002</v>
      </c>
      <c r="K1188" s="46">
        <v>-9.0974693877551041E-2</v>
      </c>
    </row>
    <row r="1189" spans="1:11" x14ac:dyDescent="0.2">
      <c r="A1189" s="38" t="s">
        <v>7</v>
      </c>
      <c r="B1189" s="38" t="s">
        <v>5263</v>
      </c>
      <c r="C1189" s="43" t="s">
        <v>5264</v>
      </c>
      <c r="D1189" s="38" t="s">
        <v>12657</v>
      </c>
      <c r="E1189" s="44">
        <v>67</v>
      </c>
      <c r="F1189" s="45">
        <v>1958</v>
      </c>
      <c r="G1189" s="44">
        <v>108</v>
      </c>
      <c r="H1189" s="45">
        <v>3184</v>
      </c>
      <c r="I1189" s="45">
        <v>29.223880597014926</v>
      </c>
      <c r="J1189" s="45">
        <v>29.481481481481481</v>
      </c>
      <c r="K1189" s="46">
        <v>8.8147391518177704E-3</v>
      </c>
    </row>
    <row r="1190" spans="1:11" x14ac:dyDescent="0.2">
      <c r="A1190" s="38" t="s">
        <v>7</v>
      </c>
      <c r="B1190" s="38" t="s">
        <v>5266</v>
      </c>
      <c r="C1190" s="43" t="s">
        <v>5267</v>
      </c>
      <c r="D1190" s="38" t="s">
        <v>12657</v>
      </c>
      <c r="E1190" s="44">
        <v>32</v>
      </c>
      <c r="F1190" s="45">
        <v>373</v>
      </c>
      <c r="G1190" s="44">
        <v>92</v>
      </c>
      <c r="H1190" s="45">
        <v>950</v>
      </c>
      <c r="I1190" s="45">
        <v>11.65625</v>
      </c>
      <c r="J1190" s="45">
        <v>10.326086956521738</v>
      </c>
      <c r="K1190" s="46">
        <v>-0.11411586431985087</v>
      </c>
    </row>
    <row r="1191" spans="1:11" x14ac:dyDescent="0.2">
      <c r="A1191" s="38" t="s">
        <v>7</v>
      </c>
      <c r="B1191" s="38" t="s">
        <v>5269</v>
      </c>
      <c r="C1191" s="43" t="s">
        <v>5270</v>
      </c>
      <c r="D1191" s="38" t="s">
        <v>12657</v>
      </c>
      <c r="E1191" s="44">
        <v>205</v>
      </c>
      <c r="F1191" s="45">
        <v>10798</v>
      </c>
      <c r="G1191" s="44">
        <v>459</v>
      </c>
      <c r="H1191" s="45">
        <v>19963</v>
      </c>
      <c r="I1191" s="45">
        <v>52.673170731707316</v>
      </c>
      <c r="J1191" s="45">
        <v>43.492374727668846</v>
      </c>
      <c r="K1191" s="46">
        <v>-0.17429738662973573</v>
      </c>
    </row>
    <row r="1192" spans="1:11" x14ac:dyDescent="0.2">
      <c r="A1192" s="38" t="s">
        <v>7</v>
      </c>
      <c r="B1192" s="38" t="s">
        <v>5275</v>
      </c>
      <c r="C1192" s="43" t="s">
        <v>5276</v>
      </c>
      <c r="D1192" s="38" t="s">
        <v>12660</v>
      </c>
      <c r="G1192" s="44">
        <v>14</v>
      </c>
      <c r="H1192" s="45">
        <v>175</v>
      </c>
      <c r="J1192" s="45">
        <v>12.5</v>
      </c>
    </row>
    <row r="1193" spans="1:11" x14ac:dyDescent="0.2">
      <c r="A1193" s="38" t="s">
        <v>7</v>
      </c>
      <c r="B1193" s="38" t="s">
        <v>5278</v>
      </c>
      <c r="C1193" s="43" t="s">
        <v>5279</v>
      </c>
      <c r="D1193" s="38" t="s">
        <v>12660</v>
      </c>
      <c r="G1193" s="44">
        <v>139</v>
      </c>
      <c r="H1193" s="45">
        <v>2259</v>
      </c>
      <c r="J1193" s="45">
        <v>16.25179856115108</v>
      </c>
    </row>
    <row r="1194" spans="1:11" x14ac:dyDescent="0.2">
      <c r="A1194" s="38" t="s">
        <v>7</v>
      </c>
      <c r="B1194" s="38" t="s">
        <v>5281</v>
      </c>
      <c r="C1194" s="43" t="s">
        <v>5282</v>
      </c>
      <c r="D1194" s="38" t="s">
        <v>12657</v>
      </c>
      <c r="G1194" s="44">
        <v>22</v>
      </c>
      <c r="H1194" s="45">
        <v>528</v>
      </c>
      <c r="J1194" s="45">
        <v>24</v>
      </c>
    </row>
    <row r="1195" spans="1:11" x14ac:dyDescent="0.2">
      <c r="A1195" s="38" t="s">
        <v>7</v>
      </c>
      <c r="B1195" s="38" t="s">
        <v>5284</v>
      </c>
      <c r="C1195" s="43" t="s">
        <v>5285</v>
      </c>
      <c r="D1195" s="38" t="s">
        <v>12657</v>
      </c>
      <c r="G1195" s="44">
        <v>1</v>
      </c>
      <c r="H1195" s="45">
        <v>30</v>
      </c>
      <c r="J1195" s="45">
        <v>30</v>
      </c>
    </row>
    <row r="1196" spans="1:11" x14ac:dyDescent="0.2">
      <c r="A1196" s="38" t="s">
        <v>7</v>
      </c>
      <c r="B1196" s="38" t="s">
        <v>5287</v>
      </c>
      <c r="C1196" s="43" t="s">
        <v>5288</v>
      </c>
      <c r="D1196" s="38" t="s">
        <v>12657</v>
      </c>
      <c r="G1196" s="44">
        <v>2</v>
      </c>
      <c r="H1196" s="45">
        <v>92</v>
      </c>
      <c r="J1196" s="45">
        <v>46</v>
      </c>
    </row>
    <row r="1197" spans="1:11" x14ac:dyDescent="0.2">
      <c r="A1197" s="38" t="s">
        <v>7</v>
      </c>
      <c r="B1197" s="38" t="s">
        <v>5293</v>
      </c>
      <c r="C1197" s="43" t="s">
        <v>5294</v>
      </c>
      <c r="D1197" s="38" t="s">
        <v>12657</v>
      </c>
      <c r="E1197" s="44">
        <v>6</v>
      </c>
      <c r="F1197" s="45">
        <v>72</v>
      </c>
      <c r="G1197" s="44">
        <v>14</v>
      </c>
      <c r="H1197" s="45">
        <v>168</v>
      </c>
      <c r="I1197" s="45">
        <v>12</v>
      </c>
      <c r="J1197" s="45">
        <v>12</v>
      </c>
      <c r="K1197" s="46">
        <v>0</v>
      </c>
    </row>
    <row r="1198" spans="1:11" x14ac:dyDescent="0.2">
      <c r="A1198" s="38" t="s">
        <v>7</v>
      </c>
      <c r="B1198" s="38" t="s">
        <v>5296</v>
      </c>
      <c r="C1198" s="43" t="s">
        <v>5297</v>
      </c>
      <c r="D1198" s="38" t="s">
        <v>12657</v>
      </c>
      <c r="E1198" s="44">
        <v>301</v>
      </c>
      <c r="F1198" s="45">
        <v>19607</v>
      </c>
      <c r="G1198" s="44">
        <v>314</v>
      </c>
      <c r="H1198" s="45">
        <v>19445</v>
      </c>
      <c r="I1198" s="45">
        <v>65.139534883720927</v>
      </c>
      <c r="J1198" s="45">
        <v>61.926751592356688</v>
      </c>
      <c r="K1198" s="46">
        <v>-4.9321557132689146E-2</v>
      </c>
    </row>
    <row r="1199" spans="1:11" x14ac:dyDescent="0.2">
      <c r="A1199" s="38" t="s">
        <v>7</v>
      </c>
      <c r="B1199" s="38" t="s">
        <v>5299</v>
      </c>
      <c r="C1199" s="43" t="s">
        <v>5300</v>
      </c>
      <c r="D1199" s="38" t="s">
        <v>12657</v>
      </c>
      <c r="G1199" s="44">
        <v>10</v>
      </c>
      <c r="H1199" s="45">
        <v>370</v>
      </c>
      <c r="J1199" s="45">
        <v>37</v>
      </c>
    </row>
    <row r="1200" spans="1:11" x14ac:dyDescent="0.2">
      <c r="A1200" s="38" t="s">
        <v>7</v>
      </c>
      <c r="B1200" s="38" t="s">
        <v>5302</v>
      </c>
      <c r="C1200" s="43" t="s">
        <v>5303</v>
      </c>
      <c r="D1200" s="38" t="s">
        <v>12657</v>
      </c>
      <c r="E1200" s="44">
        <v>28</v>
      </c>
      <c r="F1200" s="45">
        <v>1174</v>
      </c>
      <c r="G1200" s="44">
        <v>20</v>
      </c>
      <c r="H1200" s="45">
        <v>482</v>
      </c>
      <c r="I1200" s="45">
        <v>41.928571428571431</v>
      </c>
      <c r="J1200" s="45">
        <v>24.1</v>
      </c>
      <c r="K1200" s="46">
        <v>-0.42521294718909708</v>
      </c>
    </row>
    <row r="1201" spans="1:11" x14ac:dyDescent="0.2">
      <c r="A1201" s="38" t="s">
        <v>7</v>
      </c>
      <c r="B1201" s="38" t="s">
        <v>5305</v>
      </c>
      <c r="C1201" s="43" t="s">
        <v>5306</v>
      </c>
      <c r="D1201" s="38" t="s">
        <v>12657</v>
      </c>
      <c r="E1201" s="44">
        <v>258</v>
      </c>
      <c r="F1201" s="45">
        <v>14442</v>
      </c>
      <c r="G1201" s="44">
        <v>204</v>
      </c>
      <c r="H1201" s="45">
        <v>8772</v>
      </c>
      <c r="I1201" s="45">
        <v>55.97674418604651</v>
      </c>
      <c r="J1201" s="45">
        <v>43</v>
      </c>
      <c r="K1201" s="46">
        <v>-0.23182384711258827</v>
      </c>
    </row>
    <row r="1202" spans="1:11" x14ac:dyDescent="0.2">
      <c r="A1202" s="38" t="s">
        <v>7</v>
      </c>
      <c r="B1202" s="38" t="s">
        <v>5308</v>
      </c>
      <c r="C1202" s="43" t="s">
        <v>5309</v>
      </c>
      <c r="D1202" s="38" t="s">
        <v>12657</v>
      </c>
      <c r="G1202" s="44">
        <v>1</v>
      </c>
      <c r="H1202" s="45">
        <v>46</v>
      </c>
      <c r="J1202" s="45">
        <v>46</v>
      </c>
    </row>
    <row r="1203" spans="1:11" x14ac:dyDescent="0.2">
      <c r="A1203" s="38" t="s">
        <v>7</v>
      </c>
      <c r="B1203" s="38" t="s">
        <v>5311</v>
      </c>
      <c r="C1203" s="43" t="s">
        <v>5312</v>
      </c>
      <c r="D1203" s="38" t="s">
        <v>12657</v>
      </c>
      <c r="G1203" s="44">
        <v>25</v>
      </c>
      <c r="H1203" s="45">
        <v>825</v>
      </c>
      <c r="J1203" s="45">
        <v>33</v>
      </c>
    </row>
    <row r="1204" spans="1:11" x14ac:dyDescent="0.2">
      <c r="A1204" s="38" t="s">
        <v>7</v>
      </c>
      <c r="B1204" s="38" t="s">
        <v>5314</v>
      </c>
      <c r="C1204" s="43" t="s">
        <v>5315</v>
      </c>
      <c r="D1204" s="38" t="s">
        <v>12657</v>
      </c>
      <c r="E1204" s="44">
        <v>77</v>
      </c>
      <c r="F1204" s="45">
        <v>2699</v>
      </c>
      <c r="G1204" s="44">
        <v>166</v>
      </c>
      <c r="H1204" s="45">
        <v>6142</v>
      </c>
      <c r="I1204" s="45">
        <v>35.051948051948052</v>
      </c>
      <c r="J1204" s="45">
        <v>37</v>
      </c>
      <c r="K1204" s="46">
        <v>5.5576139310855859E-2</v>
      </c>
    </row>
    <row r="1205" spans="1:11" x14ac:dyDescent="0.2">
      <c r="A1205" s="38" t="s">
        <v>7</v>
      </c>
      <c r="B1205" s="38" t="s">
        <v>5317</v>
      </c>
      <c r="C1205" s="43" t="s">
        <v>5318</v>
      </c>
      <c r="D1205" s="38" t="s">
        <v>12657</v>
      </c>
      <c r="E1205" s="44">
        <v>64</v>
      </c>
      <c r="F1205" s="45">
        <v>2347</v>
      </c>
      <c r="G1205" s="44">
        <v>204</v>
      </c>
      <c r="H1205" s="45">
        <v>5799</v>
      </c>
      <c r="I1205" s="45">
        <v>36.671875</v>
      </c>
      <c r="J1205" s="45">
        <v>28.426470588235293</v>
      </c>
      <c r="K1205" s="46">
        <v>-0.22484272788791701</v>
      </c>
    </row>
    <row r="1206" spans="1:11" x14ac:dyDescent="0.2">
      <c r="A1206" s="38" t="s">
        <v>7</v>
      </c>
      <c r="B1206" s="38" t="s">
        <v>5320</v>
      </c>
      <c r="C1206" s="43" t="s">
        <v>5321</v>
      </c>
      <c r="D1206" s="38" t="s">
        <v>12657</v>
      </c>
      <c r="E1206" s="44">
        <v>211</v>
      </c>
      <c r="F1206" s="45">
        <v>6867</v>
      </c>
      <c r="G1206" s="44">
        <v>250</v>
      </c>
      <c r="H1206" s="45">
        <v>7061</v>
      </c>
      <c r="I1206" s="45">
        <v>32.545023696682463</v>
      </c>
      <c r="J1206" s="45">
        <v>28.244</v>
      </c>
      <c r="K1206" s="46">
        <v>-0.13215610892675111</v>
      </c>
    </row>
    <row r="1207" spans="1:11" x14ac:dyDescent="0.2">
      <c r="A1207" s="38" t="s">
        <v>7</v>
      </c>
      <c r="B1207" s="38" t="s">
        <v>5326</v>
      </c>
      <c r="C1207" s="43" t="s">
        <v>5327</v>
      </c>
      <c r="D1207" s="38" t="s">
        <v>12657</v>
      </c>
      <c r="E1207" s="44">
        <v>837</v>
      </c>
      <c r="F1207" s="45">
        <v>27143</v>
      </c>
      <c r="G1207" s="44">
        <v>971</v>
      </c>
      <c r="H1207" s="45">
        <v>28621</v>
      </c>
      <c r="I1207" s="45">
        <v>32.428912783751493</v>
      </c>
      <c r="J1207" s="45">
        <v>29.47579814624099</v>
      </c>
      <c r="K1207" s="46">
        <v>-9.1064250510123804E-2</v>
      </c>
    </row>
    <row r="1208" spans="1:11" x14ac:dyDescent="0.2">
      <c r="A1208" s="38" t="s">
        <v>7</v>
      </c>
      <c r="B1208" s="38" t="s">
        <v>5338</v>
      </c>
      <c r="C1208" s="43" t="s">
        <v>5339</v>
      </c>
      <c r="D1208" s="38" t="s">
        <v>12657</v>
      </c>
      <c r="E1208" s="44">
        <v>1</v>
      </c>
      <c r="F1208" s="45">
        <v>38</v>
      </c>
      <c r="G1208" s="44">
        <v>48</v>
      </c>
      <c r="H1208" s="45">
        <v>1776</v>
      </c>
      <c r="I1208" s="45">
        <v>38</v>
      </c>
      <c r="J1208" s="45">
        <v>37</v>
      </c>
      <c r="K1208" s="46">
        <v>-2.6315789473684209E-2</v>
      </c>
    </row>
    <row r="1209" spans="1:11" x14ac:dyDescent="0.2">
      <c r="A1209" s="38" t="s">
        <v>7</v>
      </c>
      <c r="B1209" s="38" t="s">
        <v>5341</v>
      </c>
      <c r="C1209" s="43" t="s">
        <v>5342</v>
      </c>
      <c r="D1209" s="38" t="s">
        <v>12657</v>
      </c>
      <c r="E1209" s="44">
        <v>110</v>
      </c>
      <c r="F1209" s="45">
        <v>4054</v>
      </c>
      <c r="G1209" s="44">
        <v>137</v>
      </c>
      <c r="H1209" s="45">
        <v>4378</v>
      </c>
      <c r="I1209" s="45">
        <v>36.854545454545452</v>
      </c>
      <c r="J1209" s="45">
        <v>31.956204379562045</v>
      </c>
      <c r="K1209" s="46">
        <v>-0.13291009330246048</v>
      </c>
    </row>
    <row r="1210" spans="1:11" x14ac:dyDescent="0.2">
      <c r="A1210" s="38" t="s">
        <v>7</v>
      </c>
      <c r="B1210" s="38" t="s">
        <v>5344</v>
      </c>
      <c r="C1210" s="43" t="s">
        <v>5345</v>
      </c>
      <c r="D1210" s="38" t="s">
        <v>12657</v>
      </c>
      <c r="E1210" s="44">
        <v>90</v>
      </c>
      <c r="F1210" s="45">
        <v>3879</v>
      </c>
      <c r="G1210" s="44">
        <v>122</v>
      </c>
      <c r="H1210" s="45">
        <v>4671</v>
      </c>
      <c r="I1210" s="45">
        <v>43.1</v>
      </c>
      <c r="J1210" s="45">
        <v>38.286885245901637</v>
      </c>
      <c r="K1210" s="46">
        <v>-0.11167319615077412</v>
      </c>
    </row>
    <row r="1211" spans="1:11" x14ac:dyDescent="0.2">
      <c r="A1211" s="38" t="s">
        <v>7</v>
      </c>
      <c r="B1211" s="38" t="s">
        <v>5347</v>
      </c>
      <c r="C1211" s="43" t="s">
        <v>5348</v>
      </c>
      <c r="D1211" s="38" t="s">
        <v>12657</v>
      </c>
      <c r="E1211" s="44">
        <v>96</v>
      </c>
      <c r="F1211" s="45">
        <v>5612</v>
      </c>
      <c r="G1211" s="44">
        <v>50</v>
      </c>
      <c r="H1211" s="45">
        <v>1600</v>
      </c>
      <c r="I1211" s="45">
        <v>58.458333333333336</v>
      </c>
      <c r="J1211" s="45">
        <v>32</v>
      </c>
      <c r="K1211" s="46">
        <v>-0.45260156806842483</v>
      </c>
    </row>
    <row r="1212" spans="1:11" x14ac:dyDescent="0.2">
      <c r="A1212" s="38" t="s">
        <v>7</v>
      </c>
      <c r="B1212" s="38" t="s">
        <v>5350</v>
      </c>
      <c r="C1212" s="43" t="s">
        <v>5351</v>
      </c>
      <c r="D1212" s="38" t="s">
        <v>12657</v>
      </c>
      <c r="G1212" s="44">
        <v>1</v>
      </c>
      <c r="H1212" s="45">
        <v>87</v>
      </c>
      <c r="J1212" s="45">
        <v>87</v>
      </c>
    </row>
    <row r="1213" spans="1:11" x14ac:dyDescent="0.2">
      <c r="A1213" s="38" t="s">
        <v>7</v>
      </c>
      <c r="B1213" s="38" t="s">
        <v>5353</v>
      </c>
      <c r="C1213" s="43" t="s">
        <v>5354</v>
      </c>
      <c r="D1213" s="38" t="s">
        <v>12658</v>
      </c>
      <c r="E1213" s="44">
        <v>425</v>
      </c>
      <c r="F1213" s="45">
        <v>22619</v>
      </c>
      <c r="G1213" s="44">
        <v>272</v>
      </c>
      <c r="H1213" s="45">
        <v>12422</v>
      </c>
      <c r="I1213" s="45">
        <v>53.221176470588233</v>
      </c>
      <c r="J1213" s="45">
        <v>45.669117647058826</v>
      </c>
      <c r="K1213" s="46">
        <v>-0.14189950926212469</v>
      </c>
    </row>
    <row r="1214" spans="1:11" x14ac:dyDescent="0.2">
      <c r="A1214" s="38" t="s">
        <v>7</v>
      </c>
      <c r="B1214" s="38" t="s">
        <v>5356</v>
      </c>
      <c r="C1214" s="43" t="s">
        <v>5357</v>
      </c>
      <c r="D1214" s="38" t="s">
        <v>12657</v>
      </c>
      <c r="E1214" s="44">
        <v>27</v>
      </c>
      <c r="F1214" s="45">
        <v>875</v>
      </c>
      <c r="G1214" s="44">
        <v>7</v>
      </c>
      <c r="H1214" s="45">
        <v>103</v>
      </c>
      <c r="I1214" s="45">
        <v>32.407407407407405</v>
      </c>
      <c r="J1214" s="45">
        <v>14.714285714285714</v>
      </c>
      <c r="K1214" s="46">
        <v>-0.54595918367346929</v>
      </c>
    </row>
    <row r="1215" spans="1:11" x14ac:dyDescent="0.2">
      <c r="A1215" s="38" t="s">
        <v>7</v>
      </c>
      <c r="B1215" s="38" t="s">
        <v>5359</v>
      </c>
      <c r="C1215" s="43" t="s">
        <v>5360</v>
      </c>
      <c r="D1215" s="38" t="s">
        <v>12657</v>
      </c>
      <c r="E1215" s="44">
        <v>18</v>
      </c>
      <c r="F1215" s="45">
        <v>786</v>
      </c>
      <c r="G1215" s="44">
        <v>127</v>
      </c>
      <c r="H1215" s="45">
        <v>5588</v>
      </c>
      <c r="I1215" s="45">
        <v>43.666666666666664</v>
      </c>
      <c r="J1215" s="45">
        <v>44</v>
      </c>
      <c r="K1215" s="46">
        <v>7.6335877862595963E-3</v>
      </c>
    </row>
    <row r="1216" spans="1:11" x14ac:dyDescent="0.2">
      <c r="A1216" s="38" t="s">
        <v>7</v>
      </c>
      <c r="B1216" s="38" t="s">
        <v>5365</v>
      </c>
      <c r="C1216" s="43" t="s">
        <v>5366</v>
      </c>
      <c r="D1216" s="38" t="s">
        <v>12657</v>
      </c>
      <c r="E1216" s="44">
        <v>89</v>
      </c>
      <c r="F1216" s="45">
        <v>947</v>
      </c>
      <c r="G1216" s="44">
        <v>201</v>
      </c>
      <c r="H1216" s="45">
        <v>871</v>
      </c>
      <c r="I1216" s="45">
        <v>10.640449438202246</v>
      </c>
      <c r="J1216" s="45">
        <v>4.333333333333333</v>
      </c>
      <c r="K1216" s="46">
        <v>-0.59274903203097495</v>
      </c>
    </row>
    <row r="1217" spans="1:11" x14ac:dyDescent="0.2">
      <c r="A1217" s="38" t="s">
        <v>7</v>
      </c>
      <c r="B1217" s="38" t="s">
        <v>5368</v>
      </c>
      <c r="C1217" s="43" t="s">
        <v>5369</v>
      </c>
      <c r="D1217" s="38" t="s">
        <v>12657</v>
      </c>
      <c r="G1217" s="44">
        <v>5</v>
      </c>
      <c r="H1217" s="45">
        <v>5</v>
      </c>
      <c r="J1217" s="45">
        <v>1</v>
      </c>
    </row>
    <row r="1218" spans="1:11" x14ac:dyDescent="0.2">
      <c r="A1218" s="38" t="s">
        <v>7</v>
      </c>
      <c r="B1218" s="38" t="s">
        <v>5371</v>
      </c>
      <c r="C1218" s="43" t="s">
        <v>5372</v>
      </c>
      <c r="D1218" s="38" t="s">
        <v>12657</v>
      </c>
      <c r="E1218" s="44">
        <v>78</v>
      </c>
      <c r="F1218" s="45">
        <v>4094</v>
      </c>
      <c r="G1218" s="44">
        <v>160</v>
      </c>
      <c r="H1218" s="45">
        <v>7511</v>
      </c>
      <c r="I1218" s="45">
        <v>52.487179487179489</v>
      </c>
      <c r="J1218" s="45">
        <v>46.943750000000001</v>
      </c>
      <c r="K1218" s="46">
        <v>-0.10561492427943332</v>
      </c>
    </row>
    <row r="1219" spans="1:11" x14ac:dyDescent="0.2">
      <c r="A1219" s="38" t="s">
        <v>7</v>
      </c>
      <c r="B1219" s="38" t="s">
        <v>5374</v>
      </c>
      <c r="C1219" s="43" t="s">
        <v>5375</v>
      </c>
      <c r="D1219" s="38" t="s">
        <v>12657</v>
      </c>
      <c r="G1219" s="44">
        <v>2</v>
      </c>
      <c r="H1219" s="45">
        <v>34</v>
      </c>
      <c r="J1219" s="45">
        <v>17</v>
      </c>
    </row>
    <row r="1220" spans="1:11" x14ac:dyDescent="0.2">
      <c r="A1220" s="38" t="s">
        <v>7</v>
      </c>
      <c r="B1220" s="38" t="s">
        <v>5377</v>
      </c>
      <c r="C1220" s="43" t="s">
        <v>5378</v>
      </c>
      <c r="D1220" s="38" t="s">
        <v>12657</v>
      </c>
      <c r="E1220" s="44">
        <v>105</v>
      </c>
      <c r="F1220" s="45">
        <v>3134</v>
      </c>
      <c r="G1220" s="44">
        <v>84</v>
      </c>
      <c r="H1220" s="45">
        <v>2115</v>
      </c>
      <c r="I1220" s="45">
        <v>29.847619047619048</v>
      </c>
      <c r="J1220" s="45">
        <v>25.178571428571427</v>
      </c>
      <c r="K1220" s="46">
        <v>-0.15642948308870461</v>
      </c>
    </row>
    <row r="1221" spans="1:11" x14ac:dyDescent="0.2">
      <c r="A1221" s="38" t="s">
        <v>7</v>
      </c>
      <c r="B1221" s="38" t="s">
        <v>5380</v>
      </c>
      <c r="C1221" s="43" t="s">
        <v>5381</v>
      </c>
      <c r="D1221" s="38" t="s">
        <v>12658</v>
      </c>
      <c r="E1221" s="44">
        <v>2359</v>
      </c>
      <c r="F1221" s="45">
        <v>62111</v>
      </c>
      <c r="G1221" s="44">
        <v>2872</v>
      </c>
      <c r="H1221" s="45">
        <v>62880</v>
      </c>
      <c r="I1221" s="45">
        <v>26.329376854599406</v>
      </c>
      <c r="J1221" s="45">
        <v>21.894150417827298</v>
      </c>
      <c r="K1221" s="46">
        <v>-0.16845162957198248</v>
      </c>
    </row>
    <row r="1222" spans="1:11" x14ac:dyDescent="0.2">
      <c r="A1222" s="38" t="s">
        <v>7</v>
      </c>
      <c r="B1222" s="38" t="s">
        <v>5383</v>
      </c>
      <c r="C1222" s="43" t="s">
        <v>5384</v>
      </c>
      <c r="D1222" s="38" t="s">
        <v>12658</v>
      </c>
      <c r="E1222" s="44">
        <v>30</v>
      </c>
      <c r="F1222" s="45">
        <v>986</v>
      </c>
      <c r="G1222" s="44">
        <v>43</v>
      </c>
      <c r="H1222" s="45">
        <v>1387</v>
      </c>
      <c r="I1222" s="45">
        <v>32.866666666666667</v>
      </c>
      <c r="J1222" s="45">
        <v>32.255813953488371</v>
      </c>
      <c r="K1222" s="46">
        <v>-1.8585782348224028E-2</v>
      </c>
    </row>
    <row r="1223" spans="1:11" x14ac:dyDescent="0.2">
      <c r="A1223" s="38" t="s">
        <v>7</v>
      </c>
      <c r="B1223" s="38" t="s">
        <v>5386</v>
      </c>
      <c r="C1223" s="43" t="s">
        <v>5387</v>
      </c>
      <c r="D1223" s="38" t="s">
        <v>12657</v>
      </c>
      <c r="E1223" s="44">
        <v>518</v>
      </c>
      <c r="F1223" s="45">
        <v>36979</v>
      </c>
      <c r="G1223" s="44">
        <v>766</v>
      </c>
      <c r="H1223" s="45">
        <v>42814</v>
      </c>
      <c r="I1223" s="45">
        <v>71.388030888030883</v>
      </c>
      <c r="J1223" s="45">
        <v>55.892950391644909</v>
      </c>
      <c r="K1223" s="46">
        <v>-0.21705431994180305</v>
      </c>
    </row>
    <row r="1224" spans="1:11" x14ac:dyDescent="0.2">
      <c r="A1224" s="38" t="s">
        <v>7</v>
      </c>
      <c r="B1224" s="38" t="s">
        <v>5395</v>
      </c>
      <c r="C1224" s="43" t="s">
        <v>5396</v>
      </c>
      <c r="D1224" s="38" t="s">
        <v>12657</v>
      </c>
      <c r="E1224" s="44">
        <v>172</v>
      </c>
      <c r="F1224" s="45">
        <v>6371</v>
      </c>
      <c r="G1224" s="44">
        <v>241</v>
      </c>
      <c r="H1224" s="45">
        <v>7530</v>
      </c>
      <c r="I1224" s="45">
        <v>37.040697674418603</v>
      </c>
      <c r="J1224" s="45">
        <v>31.244813278008298</v>
      </c>
      <c r="K1224" s="46">
        <v>-0.15647341330757691</v>
      </c>
    </row>
    <row r="1225" spans="1:11" x14ac:dyDescent="0.2">
      <c r="A1225" s="38" t="s">
        <v>7</v>
      </c>
      <c r="B1225" s="38" t="s">
        <v>5400</v>
      </c>
      <c r="C1225" s="43" t="s">
        <v>5401</v>
      </c>
      <c r="D1225" s="38" t="s">
        <v>12657</v>
      </c>
      <c r="G1225" s="44">
        <v>24</v>
      </c>
      <c r="H1225" s="45">
        <v>768</v>
      </c>
      <c r="J1225" s="45">
        <v>32</v>
      </c>
    </row>
    <row r="1226" spans="1:11" x14ac:dyDescent="0.2">
      <c r="A1226" s="38" t="s">
        <v>7</v>
      </c>
      <c r="B1226" s="38" t="s">
        <v>5404</v>
      </c>
      <c r="C1226" s="43" t="s">
        <v>5405</v>
      </c>
      <c r="D1226" s="38" t="s">
        <v>12657</v>
      </c>
      <c r="E1226" s="44">
        <v>1</v>
      </c>
      <c r="F1226" s="45">
        <v>9</v>
      </c>
      <c r="G1226" s="44">
        <v>0</v>
      </c>
      <c r="H1226" s="45">
        <v>0</v>
      </c>
      <c r="I1226" s="45">
        <v>9</v>
      </c>
    </row>
    <row r="1227" spans="1:11" x14ac:dyDescent="0.2">
      <c r="A1227" s="38" t="s">
        <v>7</v>
      </c>
      <c r="B1227" s="38" t="s">
        <v>5407</v>
      </c>
      <c r="C1227" s="43" t="s">
        <v>5408</v>
      </c>
      <c r="D1227" s="38" t="s">
        <v>12657</v>
      </c>
      <c r="E1227" s="44">
        <v>93</v>
      </c>
      <c r="F1227" s="45">
        <v>5267</v>
      </c>
      <c r="G1227" s="44">
        <v>180</v>
      </c>
      <c r="H1227" s="45">
        <v>6573</v>
      </c>
      <c r="I1227" s="45">
        <v>56.634408602150536</v>
      </c>
      <c r="J1227" s="45">
        <v>36.516666666666666</v>
      </c>
      <c r="K1227" s="46">
        <v>-0.35522118853237139</v>
      </c>
    </row>
    <row r="1228" spans="1:11" x14ac:dyDescent="0.2">
      <c r="A1228" s="38" t="s">
        <v>7</v>
      </c>
      <c r="B1228" s="38" t="s">
        <v>5410</v>
      </c>
      <c r="C1228" s="43" t="s">
        <v>5411</v>
      </c>
      <c r="D1228" s="38" t="s">
        <v>12657</v>
      </c>
      <c r="E1228" s="44">
        <v>11</v>
      </c>
      <c r="F1228" s="45">
        <v>278</v>
      </c>
      <c r="G1228" s="44">
        <v>49</v>
      </c>
      <c r="H1228" s="45">
        <v>3098</v>
      </c>
      <c r="I1228" s="45">
        <v>25.272727272727273</v>
      </c>
      <c r="J1228" s="45">
        <v>63.224489795918366</v>
      </c>
      <c r="K1228" s="46">
        <v>1.5016884451622374</v>
      </c>
    </row>
    <row r="1229" spans="1:11" x14ac:dyDescent="0.2">
      <c r="A1229" s="38" t="s">
        <v>7</v>
      </c>
      <c r="B1229" s="38" t="s">
        <v>5413</v>
      </c>
      <c r="C1229" s="43" t="s">
        <v>5414</v>
      </c>
      <c r="D1229" s="38" t="s">
        <v>12657</v>
      </c>
      <c r="E1229" s="44">
        <v>87</v>
      </c>
      <c r="F1229" s="45">
        <v>3258</v>
      </c>
      <c r="G1229" s="44">
        <v>86</v>
      </c>
      <c r="H1229" s="45">
        <v>2668</v>
      </c>
      <c r="I1229" s="45">
        <v>37.448275862068968</v>
      </c>
      <c r="J1229" s="45">
        <v>31.023255813953487</v>
      </c>
      <c r="K1229" s="46">
        <v>-0.17157051693862702</v>
      </c>
    </row>
    <row r="1230" spans="1:11" x14ac:dyDescent="0.2">
      <c r="A1230" s="38" t="s">
        <v>7</v>
      </c>
      <c r="B1230" s="38" t="s">
        <v>5416</v>
      </c>
      <c r="C1230" s="43" t="s">
        <v>5417</v>
      </c>
      <c r="D1230" s="38" t="s">
        <v>12657</v>
      </c>
      <c r="E1230" s="44">
        <v>408</v>
      </c>
      <c r="F1230" s="45">
        <v>14745</v>
      </c>
      <c r="G1230" s="44">
        <v>785</v>
      </c>
      <c r="H1230" s="45">
        <v>20168</v>
      </c>
      <c r="I1230" s="45">
        <v>36.139705882352942</v>
      </c>
      <c r="J1230" s="45">
        <v>25.69171974522293</v>
      </c>
      <c r="K1230" s="46">
        <v>-0.28909992159708681</v>
      </c>
    </row>
    <row r="1231" spans="1:11" x14ac:dyDescent="0.2">
      <c r="A1231" s="38" t="s">
        <v>7</v>
      </c>
      <c r="B1231" s="38" t="s">
        <v>5419</v>
      </c>
      <c r="C1231" s="43" t="s">
        <v>5420</v>
      </c>
      <c r="D1231" s="38" t="s">
        <v>12657</v>
      </c>
      <c r="E1231" s="44">
        <v>30</v>
      </c>
      <c r="F1231" s="45">
        <v>756</v>
      </c>
      <c r="G1231" s="44">
        <v>34</v>
      </c>
      <c r="H1231" s="45">
        <v>815</v>
      </c>
      <c r="I1231" s="45">
        <v>25.2</v>
      </c>
      <c r="J1231" s="45">
        <v>23.970588235294116</v>
      </c>
      <c r="K1231" s="46">
        <v>-4.8786181139122357E-2</v>
      </c>
    </row>
    <row r="1232" spans="1:11" x14ac:dyDescent="0.2">
      <c r="A1232" s="38" t="s">
        <v>7</v>
      </c>
      <c r="B1232" s="38" t="s">
        <v>5425</v>
      </c>
      <c r="C1232" s="43" t="s">
        <v>5426</v>
      </c>
      <c r="D1232" s="38" t="s">
        <v>12657</v>
      </c>
      <c r="E1232" s="44">
        <v>3</v>
      </c>
      <c r="F1232" s="45">
        <v>108</v>
      </c>
      <c r="G1232" s="44">
        <v>4</v>
      </c>
      <c r="H1232" s="45">
        <v>152</v>
      </c>
      <c r="I1232" s="45">
        <v>36</v>
      </c>
      <c r="J1232" s="45">
        <v>38</v>
      </c>
      <c r="K1232" s="46">
        <v>5.5555555555555552E-2</v>
      </c>
    </row>
    <row r="1233" spans="1:11" x14ac:dyDescent="0.2">
      <c r="A1233" s="38" t="s">
        <v>7</v>
      </c>
      <c r="B1233" s="38" t="s">
        <v>5428</v>
      </c>
      <c r="C1233" s="43" t="s">
        <v>5429</v>
      </c>
      <c r="D1233" s="38" t="s">
        <v>12657</v>
      </c>
      <c r="G1233" s="44">
        <v>19</v>
      </c>
      <c r="H1233" s="45">
        <v>492</v>
      </c>
      <c r="J1233" s="45">
        <v>25.894736842105264</v>
      </c>
    </row>
    <row r="1234" spans="1:11" x14ac:dyDescent="0.2">
      <c r="A1234" s="38" t="s">
        <v>7</v>
      </c>
      <c r="B1234" s="38" t="s">
        <v>5431</v>
      </c>
      <c r="C1234" s="43" t="s">
        <v>5432</v>
      </c>
      <c r="D1234" s="38" t="s">
        <v>12657</v>
      </c>
      <c r="G1234" s="44">
        <v>1</v>
      </c>
      <c r="H1234" s="45">
        <v>81</v>
      </c>
      <c r="J1234" s="45">
        <v>81</v>
      </c>
    </row>
    <row r="1235" spans="1:11" x14ac:dyDescent="0.2">
      <c r="A1235" s="38" t="s">
        <v>7</v>
      </c>
      <c r="B1235" s="38" t="s">
        <v>5434</v>
      </c>
      <c r="C1235" s="43" t="s">
        <v>5435</v>
      </c>
      <c r="D1235" s="38" t="s">
        <v>12657</v>
      </c>
      <c r="G1235" s="44">
        <v>4</v>
      </c>
      <c r="H1235" s="45">
        <v>884</v>
      </c>
      <c r="J1235" s="45">
        <v>221</v>
      </c>
    </row>
    <row r="1236" spans="1:11" x14ac:dyDescent="0.2">
      <c r="A1236" s="38" t="s">
        <v>7</v>
      </c>
      <c r="B1236" s="38" t="s">
        <v>5440</v>
      </c>
      <c r="C1236" s="43" t="s">
        <v>5441</v>
      </c>
      <c r="D1236" s="38" t="s">
        <v>12657</v>
      </c>
      <c r="G1236" s="44">
        <v>50</v>
      </c>
      <c r="H1236" s="45">
        <v>810</v>
      </c>
      <c r="J1236" s="45">
        <v>16.2</v>
      </c>
    </row>
    <row r="1237" spans="1:11" x14ac:dyDescent="0.2">
      <c r="A1237" s="38" t="s">
        <v>7</v>
      </c>
      <c r="B1237" s="38" t="s">
        <v>5443</v>
      </c>
      <c r="C1237" s="43" t="s">
        <v>5444</v>
      </c>
      <c r="D1237" s="38" t="s">
        <v>12657</v>
      </c>
      <c r="E1237" s="44">
        <v>13</v>
      </c>
      <c r="F1237" s="45">
        <v>419</v>
      </c>
      <c r="G1237" s="44">
        <v>17</v>
      </c>
      <c r="H1237" s="45">
        <v>437</v>
      </c>
      <c r="I1237" s="45">
        <v>32.230769230769234</v>
      </c>
      <c r="J1237" s="45">
        <v>25.705882352941178</v>
      </c>
      <c r="K1237" s="46">
        <v>-0.20244279095886569</v>
      </c>
    </row>
    <row r="1238" spans="1:11" x14ac:dyDescent="0.2">
      <c r="A1238" s="38" t="s">
        <v>7</v>
      </c>
      <c r="B1238" s="38" t="s">
        <v>5446</v>
      </c>
      <c r="C1238" s="43" t="s">
        <v>5447</v>
      </c>
      <c r="D1238" s="38" t="s">
        <v>12657</v>
      </c>
      <c r="E1238" s="44">
        <v>2</v>
      </c>
      <c r="F1238" s="45">
        <v>97.6</v>
      </c>
      <c r="G1238" s="44">
        <v>92</v>
      </c>
      <c r="H1238" s="45">
        <v>7310</v>
      </c>
      <c r="I1238" s="45">
        <v>48.8</v>
      </c>
      <c r="J1238" s="45">
        <v>79.456521739130437</v>
      </c>
      <c r="K1238" s="46">
        <v>0.62820741268709923</v>
      </c>
    </row>
    <row r="1239" spans="1:11" x14ac:dyDescent="0.2">
      <c r="A1239" s="38" t="s">
        <v>7</v>
      </c>
      <c r="B1239" s="38" t="s">
        <v>5449</v>
      </c>
      <c r="C1239" s="43" t="s">
        <v>5450</v>
      </c>
      <c r="D1239" s="38" t="s">
        <v>12657</v>
      </c>
      <c r="E1239" s="44">
        <v>144</v>
      </c>
      <c r="F1239" s="45">
        <v>6834.24</v>
      </c>
      <c r="G1239" s="44">
        <v>451</v>
      </c>
      <c r="H1239" s="45">
        <v>35450.400000000001</v>
      </c>
      <c r="I1239" s="45">
        <v>47.46</v>
      </c>
      <c r="J1239" s="45">
        <v>78.603991130820404</v>
      </c>
      <c r="K1239" s="46">
        <v>0.65621557376359885</v>
      </c>
    </row>
    <row r="1240" spans="1:11" x14ac:dyDescent="0.2">
      <c r="A1240" s="38" t="s">
        <v>7</v>
      </c>
      <c r="B1240" s="38" t="s">
        <v>5455</v>
      </c>
      <c r="C1240" s="43" t="s">
        <v>5456</v>
      </c>
      <c r="D1240" s="38" t="s">
        <v>12657</v>
      </c>
      <c r="G1240" s="44">
        <v>12</v>
      </c>
      <c r="H1240" s="45">
        <v>211.28</v>
      </c>
      <c r="J1240" s="45">
        <v>17.606666666666666</v>
      </c>
    </row>
    <row r="1241" spans="1:11" x14ac:dyDescent="0.2">
      <c r="A1241" s="38" t="s">
        <v>7</v>
      </c>
      <c r="B1241" s="38" t="s">
        <v>5458</v>
      </c>
      <c r="C1241" s="43" t="s">
        <v>5459</v>
      </c>
      <c r="D1241" s="38" t="s">
        <v>12657</v>
      </c>
      <c r="E1241" s="44">
        <v>228</v>
      </c>
      <c r="F1241" s="45">
        <v>6006</v>
      </c>
      <c r="G1241" s="44">
        <v>265</v>
      </c>
      <c r="H1241" s="45">
        <v>5855</v>
      </c>
      <c r="I1241" s="45">
        <v>26.342105263157894</v>
      </c>
      <c r="J1241" s="45">
        <v>22.09433962264151</v>
      </c>
      <c r="K1241" s="46">
        <v>-0.16125384049912347</v>
      </c>
    </row>
    <row r="1242" spans="1:11" x14ac:dyDescent="0.2">
      <c r="A1242" s="38" t="s">
        <v>7</v>
      </c>
      <c r="B1242" s="38" t="s">
        <v>5461</v>
      </c>
      <c r="C1242" s="43" t="s">
        <v>5462</v>
      </c>
      <c r="D1242" s="38" t="s">
        <v>12657</v>
      </c>
      <c r="E1242" s="44">
        <v>161</v>
      </c>
      <c r="F1242" s="45">
        <v>7241</v>
      </c>
      <c r="G1242" s="44">
        <v>223</v>
      </c>
      <c r="H1242" s="45">
        <v>7420</v>
      </c>
      <c r="I1242" s="45">
        <v>44.975155279503106</v>
      </c>
      <c r="J1242" s="45">
        <v>33.27354260089686</v>
      </c>
      <c r="K1242" s="46">
        <v>-0.26017948367015681</v>
      </c>
    </row>
    <row r="1243" spans="1:11" x14ac:dyDescent="0.2">
      <c r="A1243" s="38" t="s">
        <v>7</v>
      </c>
      <c r="B1243" s="38" t="s">
        <v>5464</v>
      </c>
      <c r="C1243" s="43" t="s">
        <v>5465</v>
      </c>
      <c r="D1243" s="38" t="s">
        <v>12657</v>
      </c>
      <c r="G1243" s="44">
        <v>3</v>
      </c>
      <c r="H1243" s="45">
        <v>9</v>
      </c>
      <c r="J1243" s="45">
        <v>3</v>
      </c>
    </row>
    <row r="1244" spans="1:11" x14ac:dyDescent="0.2">
      <c r="A1244" s="38" t="s">
        <v>7</v>
      </c>
      <c r="B1244" s="38" t="s">
        <v>5467</v>
      </c>
      <c r="C1244" s="43" t="s">
        <v>5468</v>
      </c>
      <c r="D1244" s="38" t="s">
        <v>12657</v>
      </c>
      <c r="E1244" s="44">
        <v>26</v>
      </c>
      <c r="F1244" s="45">
        <v>690</v>
      </c>
      <c r="G1244" s="44">
        <v>33</v>
      </c>
      <c r="H1244" s="45">
        <v>579</v>
      </c>
      <c r="I1244" s="45">
        <v>26.53846153846154</v>
      </c>
      <c r="J1244" s="45">
        <v>17.545454545454547</v>
      </c>
      <c r="K1244" s="46">
        <v>-0.338866930171278</v>
      </c>
    </row>
    <row r="1245" spans="1:11" x14ac:dyDescent="0.2">
      <c r="A1245" s="38" t="s">
        <v>7</v>
      </c>
      <c r="B1245" s="38" t="s">
        <v>5473</v>
      </c>
      <c r="C1245" s="43" t="s">
        <v>5474</v>
      </c>
      <c r="D1245" s="38" t="s">
        <v>12657</v>
      </c>
      <c r="E1245" s="44">
        <v>148</v>
      </c>
      <c r="F1245" s="45">
        <v>3804</v>
      </c>
      <c r="G1245" s="44">
        <v>220</v>
      </c>
      <c r="H1245" s="45">
        <v>4270</v>
      </c>
      <c r="I1245" s="45">
        <v>25.702702702702702</v>
      </c>
      <c r="J1245" s="45">
        <v>19.40909090909091</v>
      </c>
      <c r="K1245" s="46">
        <v>-0.24486186789025899</v>
      </c>
    </row>
    <row r="1246" spans="1:11" x14ac:dyDescent="0.2">
      <c r="A1246" s="38" t="s">
        <v>7</v>
      </c>
      <c r="B1246" s="38" t="s">
        <v>5476</v>
      </c>
      <c r="C1246" s="43" t="s">
        <v>5477</v>
      </c>
      <c r="D1246" s="38" t="s">
        <v>12657</v>
      </c>
      <c r="E1246" s="44">
        <v>3255</v>
      </c>
      <c r="F1246" s="45">
        <v>221130</v>
      </c>
      <c r="G1246" s="44">
        <v>1723</v>
      </c>
      <c r="H1246" s="45">
        <v>95218</v>
      </c>
      <c r="I1246" s="45">
        <v>67.935483870967744</v>
      </c>
      <c r="J1246" s="45">
        <v>55.262913522925132</v>
      </c>
      <c r="K1246" s="46">
        <v>-0.18653830996643919</v>
      </c>
    </row>
    <row r="1247" spans="1:11" x14ac:dyDescent="0.2">
      <c r="A1247" s="38" t="s">
        <v>7</v>
      </c>
      <c r="B1247" s="38" t="s">
        <v>5479</v>
      </c>
      <c r="C1247" s="43" t="s">
        <v>5480</v>
      </c>
      <c r="D1247" s="38" t="s">
        <v>12657</v>
      </c>
      <c r="E1247" s="44">
        <v>39</v>
      </c>
      <c r="F1247" s="45">
        <v>1404</v>
      </c>
      <c r="G1247" s="44">
        <v>24</v>
      </c>
      <c r="H1247" s="45">
        <v>864</v>
      </c>
      <c r="I1247" s="45">
        <v>36</v>
      </c>
      <c r="J1247" s="45">
        <v>36</v>
      </c>
      <c r="K1247" s="46">
        <v>0</v>
      </c>
    </row>
    <row r="1248" spans="1:11" x14ac:dyDescent="0.2">
      <c r="A1248" s="38" t="s">
        <v>7</v>
      </c>
      <c r="B1248" s="38" t="s">
        <v>5482</v>
      </c>
      <c r="C1248" s="43" t="s">
        <v>5483</v>
      </c>
      <c r="D1248" s="38" t="s">
        <v>12657</v>
      </c>
      <c r="G1248" s="44">
        <v>43</v>
      </c>
      <c r="H1248" s="45">
        <v>766</v>
      </c>
      <c r="J1248" s="45">
        <v>17.813953488372093</v>
      </c>
    </row>
    <row r="1249" spans="1:11" x14ac:dyDescent="0.2">
      <c r="A1249" s="38" t="s">
        <v>7</v>
      </c>
      <c r="B1249" s="38" t="s">
        <v>5485</v>
      </c>
      <c r="C1249" s="43" t="s">
        <v>5486</v>
      </c>
      <c r="D1249" s="38" t="s">
        <v>12657</v>
      </c>
      <c r="E1249" s="44">
        <v>14</v>
      </c>
      <c r="F1249" s="45">
        <v>207</v>
      </c>
      <c r="G1249" s="44">
        <v>25</v>
      </c>
      <c r="H1249" s="45">
        <v>343</v>
      </c>
      <c r="I1249" s="45">
        <v>14.785714285714286</v>
      </c>
      <c r="J1249" s="45">
        <v>13.72</v>
      </c>
      <c r="K1249" s="46">
        <v>-7.2077294685990348E-2</v>
      </c>
    </row>
    <row r="1250" spans="1:11" x14ac:dyDescent="0.2">
      <c r="A1250" s="38" t="s">
        <v>7</v>
      </c>
      <c r="B1250" s="38" t="s">
        <v>5488</v>
      </c>
      <c r="C1250" s="43" t="s">
        <v>5489</v>
      </c>
      <c r="D1250" s="38" t="s">
        <v>12657</v>
      </c>
      <c r="E1250" s="44">
        <v>46</v>
      </c>
      <c r="F1250" s="45">
        <v>2444</v>
      </c>
      <c r="G1250" s="44">
        <v>30</v>
      </c>
      <c r="H1250" s="45">
        <v>1412</v>
      </c>
      <c r="I1250" s="45">
        <v>53.130434782608695</v>
      </c>
      <c r="J1250" s="45">
        <v>47.06666666666667</v>
      </c>
      <c r="K1250" s="46">
        <v>-0.11412984178941619</v>
      </c>
    </row>
    <row r="1251" spans="1:11" x14ac:dyDescent="0.2">
      <c r="A1251" s="38" t="s">
        <v>7</v>
      </c>
      <c r="B1251" s="38" t="s">
        <v>5491</v>
      </c>
      <c r="C1251" s="43" t="s">
        <v>5492</v>
      </c>
      <c r="D1251" s="38" t="s">
        <v>12657</v>
      </c>
      <c r="E1251" s="44">
        <v>93</v>
      </c>
      <c r="F1251" s="45">
        <v>2770</v>
      </c>
      <c r="G1251" s="44">
        <v>106</v>
      </c>
      <c r="H1251" s="45">
        <v>2748</v>
      </c>
      <c r="I1251" s="45">
        <v>29.78494623655914</v>
      </c>
      <c r="J1251" s="45">
        <v>25.924528301886792</v>
      </c>
      <c r="K1251" s="46">
        <v>-0.1296096996117431</v>
      </c>
    </row>
    <row r="1252" spans="1:11" x14ac:dyDescent="0.2">
      <c r="A1252" s="38" t="s">
        <v>7</v>
      </c>
      <c r="B1252" s="38" t="s">
        <v>5494</v>
      </c>
      <c r="C1252" s="43" t="s">
        <v>5495</v>
      </c>
      <c r="D1252" s="38" t="s">
        <v>12658</v>
      </c>
      <c r="E1252" s="44">
        <v>37</v>
      </c>
      <c r="F1252" s="45">
        <v>37</v>
      </c>
      <c r="G1252" s="44">
        <v>35</v>
      </c>
      <c r="H1252" s="45">
        <v>35</v>
      </c>
      <c r="I1252" s="45">
        <v>1</v>
      </c>
      <c r="J1252" s="45">
        <v>1</v>
      </c>
      <c r="K1252" s="46">
        <v>0</v>
      </c>
    </row>
    <row r="1253" spans="1:11" x14ac:dyDescent="0.2">
      <c r="A1253" s="38" t="s">
        <v>7</v>
      </c>
      <c r="B1253" s="38" t="s">
        <v>5500</v>
      </c>
      <c r="C1253" s="43" t="s">
        <v>5501</v>
      </c>
      <c r="D1253" s="38" t="s">
        <v>12658</v>
      </c>
      <c r="G1253" s="44">
        <v>43</v>
      </c>
      <c r="H1253" s="45">
        <v>215</v>
      </c>
      <c r="J1253" s="45">
        <v>5</v>
      </c>
    </row>
    <row r="1254" spans="1:11" x14ac:dyDescent="0.2">
      <c r="A1254" s="38" t="s">
        <v>7</v>
      </c>
      <c r="B1254" s="38" t="s">
        <v>5503</v>
      </c>
      <c r="C1254" s="43" t="s">
        <v>5504</v>
      </c>
      <c r="D1254" s="38" t="s">
        <v>12658</v>
      </c>
      <c r="E1254" s="44">
        <v>1271</v>
      </c>
      <c r="F1254" s="45">
        <v>41119</v>
      </c>
      <c r="G1254" s="44">
        <v>1218</v>
      </c>
      <c r="H1254" s="45">
        <v>36322</v>
      </c>
      <c r="I1254" s="45">
        <v>32.351691581431943</v>
      </c>
      <c r="J1254" s="45">
        <v>29.821018062397371</v>
      </c>
      <c r="K1254" s="46">
        <v>-7.822383916663686E-2</v>
      </c>
    </row>
    <row r="1255" spans="1:11" x14ac:dyDescent="0.2">
      <c r="A1255" s="38" t="s">
        <v>7</v>
      </c>
      <c r="B1255" s="38" t="s">
        <v>5506</v>
      </c>
      <c r="C1255" s="43" t="s">
        <v>5507</v>
      </c>
      <c r="D1255" s="38" t="s">
        <v>12658</v>
      </c>
      <c r="G1255" s="44">
        <v>10</v>
      </c>
      <c r="H1255" s="45">
        <v>330</v>
      </c>
      <c r="J1255" s="45">
        <v>33</v>
      </c>
    </row>
    <row r="1256" spans="1:11" x14ac:dyDescent="0.2">
      <c r="A1256" s="38" t="s">
        <v>7</v>
      </c>
      <c r="B1256" s="38" t="s">
        <v>5512</v>
      </c>
      <c r="C1256" s="43" t="s">
        <v>5513</v>
      </c>
      <c r="D1256" s="38" t="s">
        <v>12657</v>
      </c>
      <c r="E1256" s="44">
        <v>459</v>
      </c>
      <c r="F1256" s="45">
        <v>23843</v>
      </c>
      <c r="G1256" s="44">
        <v>517</v>
      </c>
      <c r="H1256" s="45">
        <v>21733</v>
      </c>
      <c r="I1256" s="45">
        <v>51.945533769063182</v>
      </c>
      <c r="J1256" s="45">
        <v>42.036750483558997</v>
      </c>
      <c r="K1256" s="46">
        <v>-0.19075332500299547</v>
      </c>
    </row>
    <row r="1257" spans="1:11" x14ac:dyDescent="0.2">
      <c r="A1257" s="38" t="s">
        <v>7</v>
      </c>
      <c r="B1257" s="38" t="s">
        <v>5515</v>
      </c>
      <c r="C1257" s="43" t="s">
        <v>5516</v>
      </c>
      <c r="D1257" s="38" t="s">
        <v>12657</v>
      </c>
      <c r="G1257" s="44">
        <v>64</v>
      </c>
      <c r="H1257" s="45">
        <v>58448</v>
      </c>
      <c r="J1257" s="45">
        <v>913.25</v>
      </c>
    </row>
    <row r="1258" spans="1:11" x14ac:dyDescent="0.2">
      <c r="A1258" s="38" t="s">
        <v>7</v>
      </c>
      <c r="B1258" s="38" t="s">
        <v>5518</v>
      </c>
      <c r="C1258" s="43" t="s">
        <v>5519</v>
      </c>
      <c r="D1258" s="38" t="s">
        <v>12657</v>
      </c>
      <c r="E1258" s="44">
        <v>45</v>
      </c>
      <c r="F1258" s="45">
        <v>1314</v>
      </c>
      <c r="G1258" s="44">
        <v>50</v>
      </c>
      <c r="H1258" s="45">
        <v>1384</v>
      </c>
      <c r="I1258" s="45">
        <v>29.2</v>
      </c>
      <c r="J1258" s="45">
        <v>27.68</v>
      </c>
      <c r="K1258" s="46">
        <v>-5.2054794520547933E-2</v>
      </c>
    </row>
    <row r="1259" spans="1:11" x14ac:dyDescent="0.2">
      <c r="A1259" s="38" t="s">
        <v>7</v>
      </c>
      <c r="B1259" s="38" t="s">
        <v>5524</v>
      </c>
      <c r="C1259" s="43" t="s">
        <v>5525</v>
      </c>
      <c r="D1259" s="38" t="s">
        <v>12657</v>
      </c>
      <c r="E1259" s="44">
        <v>282</v>
      </c>
      <c r="F1259" s="45">
        <v>47847</v>
      </c>
      <c r="G1259" s="44">
        <v>376</v>
      </c>
      <c r="H1259" s="45">
        <v>50217</v>
      </c>
      <c r="I1259" s="45">
        <v>169.67021276595744</v>
      </c>
      <c r="J1259" s="45">
        <v>133.55585106382978</v>
      </c>
      <c r="K1259" s="46">
        <v>-0.21285033544422852</v>
      </c>
    </row>
    <row r="1260" spans="1:11" x14ac:dyDescent="0.2">
      <c r="A1260" s="38" t="s">
        <v>7</v>
      </c>
      <c r="B1260" s="38" t="s">
        <v>5527</v>
      </c>
      <c r="C1260" s="43" t="s">
        <v>5528</v>
      </c>
      <c r="D1260" s="38" t="s">
        <v>12657</v>
      </c>
      <c r="E1260" s="44">
        <v>51</v>
      </c>
      <c r="F1260" s="45">
        <v>1665</v>
      </c>
      <c r="G1260" s="44">
        <v>60</v>
      </c>
      <c r="H1260" s="45">
        <v>936</v>
      </c>
      <c r="I1260" s="45">
        <v>32.647058823529413</v>
      </c>
      <c r="J1260" s="45">
        <v>15.6</v>
      </c>
      <c r="K1260" s="46">
        <v>-0.52216216216216216</v>
      </c>
    </row>
    <row r="1261" spans="1:11" x14ac:dyDescent="0.2">
      <c r="A1261" s="38" t="s">
        <v>7</v>
      </c>
      <c r="B1261" s="38" t="s">
        <v>5530</v>
      </c>
      <c r="C1261" s="43" t="s">
        <v>5531</v>
      </c>
      <c r="D1261" s="38" t="s">
        <v>12657</v>
      </c>
      <c r="E1261" s="44">
        <v>127</v>
      </c>
      <c r="F1261" s="45">
        <v>3224</v>
      </c>
      <c r="G1261" s="44">
        <v>167</v>
      </c>
      <c r="H1261" s="45">
        <v>3817</v>
      </c>
      <c r="I1261" s="45">
        <v>25.385826771653544</v>
      </c>
      <c r="J1261" s="45">
        <v>22.856287425149702</v>
      </c>
      <c r="K1261" s="46">
        <v>-9.9643764580021082E-2</v>
      </c>
    </row>
    <row r="1262" spans="1:11" x14ac:dyDescent="0.2">
      <c r="A1262" s="38" t="s">
        <v>7</v>
      </c>
      <c r="B1262" s="38" t="s">
        <v>5533</v>
      </c>
      <c r="C1262" s="43" t="s">
        <v>5534</v>
      </c>
      <c r="D1262" s="38" t="s">
        <v>12657</v>
      </c>
      <c r="E1262" s="44">
        <v>268</v>
      </c>
      <c r="F1262" s="45">
        <v>17313</v>
      </c>
      <c r="G1262" s="44">
        <v>456</v>
      </c>
      <c r="H1262" s="45">
        <v>20021</v>
      </c>
      <c r="I1262" s="45">
        <v>64.600746268656721</v>
      </c>
      <c r="J1262" s="45">
        <v>43.905701754385966</v>
      </c>
      <c r="K1262" s="46">
        <v>-0.32035302546205524</v>
      </c>
    </row>
    <row r="1263" spans="1:11" x14ac:dyDescent="0.2">
      <c r="A1263" s="38" t="s">
        <v>7</v>
      </c>
      <c r="B1263" s="38" t="s">
        <v>5536</v>
      </c>
      <c r="C1263" s="43" t="s">
        <v>5537</v>
      </c>
      <c r="D1263" s="38" t="s">
        <v>12657</v>
      </c>
      <c r="E1263" s="44">
        <v>480</v>
      </c>
      <c r="F1263" s="45">
        <v>17940</v>
      </c>
      <c r="G1263" s="44">
        <v>525</v>
      </c>
      <c r="H1263" s="45">
        <v>15991</v>
      </c>
      <c r="I1263" s="45">
        <v>37.375</v>
      </c>
      <c r="J1263" s="45">
        <v>30.45904761904762</v>
      </c>
      <c r="K1263" s="46">
        <v>-0.18504220417263892</v>
      </c>
    </row>
    <row r="1264" spans="1:11" x14ac:dyDescent="0.2">
      <c r="A1264" s="38" t="s">
        <v>7</v>
      </c>
      <c r="B1264" s="38" t="s">
        <v>5539</v>
      </c>
      <c r="C1264" s="43" t="s">
        <v>5540</v>
      </c>
      <c r="D1264" s="38" t="s">
        <v>12657</v>
      </c>
      <c r="E1264" s="44">
        <v>4</v>
      </c>
      <c r="F1264" s="45">
        <v>980</v>
      </c>
      <c r="G1264" s="44">
        <v>5</v>
      </c>
      <c r="H1264" s="45">
        <v>1622</v>
      </c>
      <c r="I1264" s="45">
        <v>245</v>
      </c>
      <c r="J1264" s="45">
        <v>324.39999999999998</v>
      </c>
      <c r="K1264" s="46">
        <v>0.32408163265306111</v>
      </c>
    </row>
    <row r="1265" spans="1:11" x14ac:dyDescent="0.2">
      <c r="A1265" s="38" t="s">
        <v>7</v>
      </c>
      <c r="B1265" s="38" t="s">
        <v>5545</v>
      </c>
      <c r="C1265" s="43" t="s">
        <v>5546</v>
      </c>
      <c r="D1265" s="38" t="s">
        <v>12657</v>
      </c>
      <c r="E1265" s="44">
        <v>524</v>
      </c>
      <c r="F1265" s="45">
        <v>16986</v>
      </c>
      <c r="G1265" s="44">
        <v>598</v>
      </c>
      <c r="H1265" s="45">
        <v>16118</v>
      </c>
      <c r="I1265" s="45">
        <v>32.416030534351144</v>
      </c>
      <c r="J1265" s="45">
        <v>26.953177257525084</v>
      </c>
      <c r="K1265" s="46">
        <v>-0.1685232024641973</v>
      </c>
    </row>
    <row r="1266" spans="1:11" x14ac:dyDescent="0.2">
      <c r="A1266" s="38" t="s">
        <v>7</v>
      </c>
      <c r="B1266" s="38" t="s">
        <v>5548</v>
      </c>
      <c r="C1266" s="43" t="s">
        <v>5549</v>
      </c>
      <c r="D1266" s="38" t="s">
        <v>12657</v>
      </c>
      <c r="E1266" s="44">
        <v>535</v>
      </c>
      <c r="F1266" s="45">
        <v>19177</v>
      </c>
      <c r="G1266" s="44">
        <v>722</v>
      </c>
      <c r="H1266" s="45">
        <v>21494</v>
      </c>
      <c r="I1266" s="45">
        <v>35.844859813084113</v>
      </c>
      <c r="J1266" s="45">
        <v>29.770083102493075</v>
      </c>
      <c r="K1266" s="46">
        <v>-0.1694741377778696</v>
      </c>
    </row>
    <row r="1267" spans="1:11" x14ac:dyDescent="0.2">
      <c r="A1267" s="38" t="s">
        <v>7</v>
      </c>
      <c r="B1267" s="38" t="s">
        <v>5551</v>
      </c>
      <c r="C1267" s="43" t="s">
        <v>5552</v>
      </c>
      <c r="D1267" s="38" t="s">
        <v>12657</v>
      </c>
      <c r="E1267" s="44">
        <v>1375</v>
      </c>
      <c r="F1267" s="45">
        <v>25672</v>
      </c>
      <c r="G1267" s="44">
        <v>1663</v>
      </c>
      <c r="H1267" s="45">
        <v>26215</v>
      </c>
      <c r="I1267" s="45">
        <v>18.670545454545454</v>
      </c>
      <c r="J1267" s="45">
        <v>15.763680096211665</v>
      </c>
      <c r="K1267" s="46">
        <v>-0.15569257820617638</v>
      </c>
    </row>
    <row r="1268" spans="1:11" x14ac:dyDescent="0.2">
      <c r="A1268" s="38" t="s">
        <v>7</v>
      </c>
      <c r="B1268" s="38" t="s">
        <v>5554</v>
      </c>
      <c r="C1268" s="43" t="s">
        <v>5555</v>
      </c>
      <c r="D1268" s="38" t="s">
        <v>12657</v>
      </c>
      <c r="E1268" s="44">
        <v>2420</v>
      </c>
      <c r="F1268" s="45">
        <v>78098</v>
      </c>
      <c r="G1268" s="44">
        <v>4197</v>
      </c>
      <c r="H1268" s="45">
        <v>99301</v>
      </c>
      <c r="I1268" s="45">
        <v>32.271900826446284</v>
      </c>
      <c r="J1268" s="45">
        <v>23.659995234691447</v>
      </c>
      <c r="K1268" s="46">
        <v>-0.26685461256430004</v>
      </c>
    </row>
    <row r="1269" spans="1:11" x14ac:dyDescent="0.2">
      <c r="A1269" s="38" t="s">
        <v>7</v>
      </c>
      <c r="B1269" s="38" t="s">
        <v>5557</v>
      </c>
      <c r="C1269" s="43" t="s">
        <v>5558</v>
      </c>
      <c r="D1269" s="38" t="s">
        <v>12657</v>
      </c>
      <c r="E1269" s="44">
        <v>662</v>
      </c>
      <c r="F1269" s="45">
        <v>16688</v>
      </c>
      <c r="G1269" s="44">
        <v>1290</v>
      </c>
      <c r="H1269" s="45">
        <v>26540</v>
      </c>
      <c r="I1269" s="45">
        <v>25.208459214501509</v>
      </c>
      <c r="J1269" s="45">
        <v>20.573643410852714</v>
      </c>
      <c r="K1269" s="46">
        <v>-0.18385954350524344</v>
      </c>
    </row>
    <row r="1270" spans="1:11" x14ac:dyDescent="0.2">
      <c r="A1270" s="38" t="s">
        <v>7</v>
      </c>
      <c r="B1270" s="38" t="s">
        <v>5560</v>
      </c>
      <c r="C1270" s="43" t="s">
        <v>5561</v>
      </c>
      <c r="D1270" s="38" t="s">
        <v>12657</v>
      </c>
      <c r="G1270" s="44">
        <v>124</v>
      </c>
      <c r="H1270" s="45">
        <v>1492</v>
      </c>
      <c r="J1270" s="45">
        <v>12.03225806451613</v>
      </c>
    </row>
    <row r="1271" spans="1:11" x14ac:dyDescent="0.2">
      <c r="A1271" s="38" t="s">
        <v>7</v>
      </c>
      <c r="B1271" s="38" t="s">
        <v>5563</v>
      </c>
      <c r="C1271" s="43" t="s">
        <v>5564</v>
      </c>
      <c r="D1271" s="38" t="s">
        <v>12657</v>
      </c>
      <c r="E1271" s="44">
        <v>68</v>
      </c>
      <c r="F1271" s="45">
        <v>2956</v>
      </c>
      <c r="G1271" s="44">
        <v>115</v>
      </c>
      <c r="H1271" s="45">
        <v>3707</v>
      </c>
      <c r="I1271" s="45">
        <v>43.470588235294116</v>
      </c>
      <c r="J1271" s="45">
        <v>32.234782608695653</v>
      </c>
      <c r="K1271" s="46">
        <v>-0.25846914161322582</v>
      </c>
    </row>
    <row r="1272" spans="1:11" x14ac:dyDescent="0.2">
      <c r="A1272" s="38" t="s">
        <v>7</v>
      </c>
      <c r="B1272" s="38" t="s">
        <v>5566</v>
      </c>
      <c r="C1272" s="43" t="s">
        <v>5567</v>
      </c>
      <c r="D1272" s="38" t="s">
        <v>12657</v>
      </c>
      <c r="E1272" s="44">
        <v>25</v>
      </c>
      <c r="F1272" s="45">
        <v>188</v>
      </c>
      <c r="G1272" s="44">
        <v>72</v>
      </c>
      <c r="H1272" s="45">
        <v>570</v>
      </c>
      <c r="I1272" s="45">
        <v>7.52</v>
      </c>
      <c r="J1272" s="45">
        <v>7.916666666666667</v>
      </c>
      <c r="K1272" s="46">
        <v>5.2748226950354707E-2</v>
      </c>
    </row>
    <row r="1273" spans="1:11" x14ac:dyDescent="0.2">
      <c r="A1273" s="38" t="s">
        <v>7</v>
      </c>
      <c r="B1273" s="38" t="s">
        <v>5569</v>
      </c>
      <c r="C1273" s="43" t="s">
        <v>5570</v>
      </c>
      <c r="D1273" s="38" t="s">
        <v>12657</v>
      </c>
      <c r="E1273" s="44">
        <v>1</v>
      </c>
      <c r="F1273" s="45">
        <v>19</v>
      </c>
      <c r="G1273" s="44">
        <v>0</v>
      </c>
      <c r="H1273" s="45">
        <v>0</v>
      </c>
      <c r="I1273" s="45">
        <v>19</v>
      </c>
    </row>
    <row r="1274" spans="1:11" x14ac:dyDescent="0.2">
      <c r="A1274" s="38" t="s">
        <v>7</v>
      </c>
      <c r="B1274" s="38" t="s">
        <v>5572</v>
      </c>
      <c r="C1274" s="43" t="s">
        <v>5573</v>
      </c>
      <c r="D1274" s="38" t="s">
        <v>12657</v>
      </c>
      <c r="E1274" s="44">
        <v>34</v>
      </c>
      <c r="F1274" s="45">
        <v>900</v>
      </c>
      <c r="G1274" s="44">
        <v>67</v>
      </c>
      <c r="H1274" s="45">
        <v>1809</v>
      </c>
      <c r="I1274" s="45">
        <v>26.470588235294116</v>
      </c>
      <c r="J1274" s="45">
        <v>27</v>
      </c>
      <c r="K1274" s="46">
        <v>2.0000000000000063E-2</v>
      </c>
    </row>
    <row r="1275" spans="1:11" x14ac:dyDescent="0.2">
      <c r="A1275" s="38" t="s">
        <v>7</v>
      </c>
      <c r="B1275" s="38" t="s">
        <v>5575</v>
      </c>
      <c r="C1275" s="43" t="s">
        <v>5576</v>
      </c>
      <c r="D1275" s="38" t="s">
        <v>12657</v>
      </c>
      <c r="G1275" s="44">
        <v>27</v>
      </c>
      <c r="H1275" s="45">
        <v>174</v>
      </c>
      <c r="J1275" s="45">
        <v>6.4444444444444446</v>
      </c>
    </row>
    <row r="1276" spans="1:11" x14ac:dyDescent="0.2">
      <c r="A1276" s="38" t="s">
        <v>7</v>
      </c>
      <c r="B1276" s="38" t="s">
        <v>5578</v>
      </c>
      <c r="C1276" s="43" t="s">
        <v>5579</v>
      </c>
      <c r="D1276" s="38" t="s">
        <v>12657</v>
      </c>
      <c r="E1276" s="44">
        <v>160</v>
      </c>
      <c r="F1276" s="45">
        <v>5839</v>
      </c>
      <c r="G1276" s="44">
        <v>116</v>
      </c>
      <c r="H1276" s="45">
        <v>3612</v>
      </c>
      <c r="I1276" s="45">
        <v>36.493749999999999</v>
      </c>
      <c r="J1276" s="45">
        <v>31.137931034482758</v>
      </c>
      <c r="K1276" s="46">
        <v>-0.1467598962977836</v>
      </c>
    </row>
    <row r="1277" spans="1:11" x14ac:dyDescent="0.2">
      <c r="A1277" s="38" t="s">
        <v>7</v>
      </c>
      <c r="B1277" s="38" t="s">
        <v>5592</v>
      </c>
      <c r="C1277" s="43" t="s">
        <v>5593</v>
      </c>
      <c r="D1277" s="38" t="s">
        <v>12657</v>
      </c>
      <c r="E1277" s="44">
        <v>89</v>
      </c>
      <c r="F1277" s="45">
        <v>2784</v>
      </c>
      <c r="G1277" s="44">
        <v>111</v>
      </c>
      <c r="H1277" s="45">
        <v>1932</v>
      </c>
      <c r="I1277" s="45">
        <v>31.280898876404493</v>
      </c>
      <c r="J1277" s="45">
        <v>17.405405405405407</v>
      </c>
      <c r="K1277" s="46">
        <v>-0.44357719788754263</v>
      </c>
    </row>
    <row r="1278" spans="1:11" x14ac:dyDescent="0.2">
      <c r="A1278" s="38" t="s">
        <v>7</v>
      </c>
      <c r="B1278" s="38" t="s">
        <v>5595</v>
      </c>
      <c r="C1278" s="43" t="s">
        <v>5596</v>
      </c>
      <c r="D1278" s="38" t="s">
        <v>12657</v>
      </c>
      <c r="E1278" s="44">
        <v>268</v>
      </c>
      <c r="F1278" s="45">
        <v>4512</v>
      </c>
      <c r="G1278" s="44">
        <v>264</v>
      </c>
      <c r="H1278" s="45">
        <v>4018</v>
      </c>
      <c r="I1278" s="45">
        <v>16.835820895522389</v>
      </c>
      <c r="J1278" s="45">
        <v>15.219696969696969</v>
      </c>
      <c r="K1278" s="46">
        <v>-9.5993176445304196E-2</v>
      </c>
    </row>
    <row r="1279" spans="1:11" x14ac:dyDescent="0.2">
      <c r="A1279" s="38" t="s">
        <v>7</v>
      </c>
      <c r="B1279" s="38" t="s">
        <v>5601</v>
      </c>
      <c r="C1279" s="43" t="s">
        <v>5602</v>
      </c>
      <c r="D1279" s="38" t="s">
        <v>12657</v>
      </c>
      <c r="G1279" s="44">
        <v>114</v>
      </c>
      <c r="H1279" s="45">
        <v>1032</v>
      </c>
      <c r="J1279" s="45">
        <v>9.0526315789473681</v>
      </c>
    </row>
    <row r="1280" spans="1:11" x14ac:dyDescent="0.2">
      <c r="A1280" s="38" t="s">
        <v>7</v>
      </c>
      <c r="B1280" s="38" t="s">
        <v>5604</v>
      </c>
      <c r="C1280" s="43" t="s">
        <v>5605</v>
      </c>
      <c r="D1280" s="38" t="s">
        <v>12657</v>
      </c>
      <c r="E1280" s="44">
        <v>104</v>
      </c>
      <c r="F1280" s="45">
        <v>4576</v>
      </c>
      <c r="G1280" s="44">
        <v>45</v>
      </c>
      <c r="H1280" s="45">
        <v>1941</v>
      </c>
      <c r="I1280" s="45">
        <v>44</v>
      </c>
      <c r="J1280" s="45">
        <v>43.133333333333333</v>
      </c>
      <c r="K1280" s="46">
        <v>-1.9696969696969709E-2</v>
      </c>
    </row>
    <row r="1281" spans="1:11" x14ac:dyDescent="0.2">
      <c r="A1281" s="38" t="s">
        <v>7</v>
      </c>
      <c r="B1281" s="38" t="s">
        <v>5607</v>
      </c>
      <c r="C1281" s="43" t="s">
        <v>5608</v>
      </c>
      <c r="D1281" s="38" t="s">
        <v>12657</v>
      </c>
      <c r="E1281" s="44">
        <v>70</v>
      </c>
      <c r="F1281" s="45">
        <v>2284</v>
      </c>
      <c r="G1281" s="44">
        <v>152</v>
      </c>
      <c r="H1281" s="45">
        <v>3384</v>
      </c>
      <c r="I1281" s="45">
        <v>32.628571428571426</v>
      </c>
      <c r="J1281" s="45">
        <v>22.263157894736842</v>
      </c>
      <c r="K1281" s="46">
        <v>-0.31767904876025432</v>
      </c>
    </row>
    <row r="1282" spans="1:11" x14ac:dyDescent="0.2">
      <c r="A1282" s="38" t="s">
        <v>7</v>
      </c>
      <c r="B1282" s="38" t="s">
        <v>5610</v>
      </c>
      <c r="C1282" s="43" t="s">
        <v>5611</v>
      </c>
      <c r="D1282" s="38" t="s">
        <v>12657</v>
      </c>
      <c r="E1282" s="44">
        <v>456</v>
      </c>
      <c r="F1282" s="45">
        <v>14742</v>
      </c>
      <c r="G1282" s="44">
        <v>873</v>
      </c>
      <c r="H1282" s="45">
        <v>26025</v>
      </c>
      <c r="I1282" s="45">
        <v>32.328947368421055</v>
      </c>
      <c r="J1282" s="45">
        <v>29.810996563573884</v>
      </c>
      <c r="K1282" s="46">
        <v>-7.7885332180864866E-2</v>
      </c>
    </row>
    <row r="1283" spans="1:11" x14ac:dyDescent="0.2">
      <c r="A1283" s="38" t="s">
        <v>7</v>
      </c>
      <c r="B1283" s="38" t="s">
        <v>5613</v>
      </c>
      <c r="C1283" s="43" t="s">
        <v>5614</v>
      </c>
      <c r="D1283" s="38" t="s">
        <v>12657</v>
      </c>
      <c r="E1283" s="44">
        <v>1064</v>
      </c>
      <c r="F1283" s="45">
        <v>34516</v>
      </c>
      <c r="G1283" s="44">
        <v>1556</v>
      </c>
      <c r="H1283" s="45">
        <v>44500</v>
      </c>
      <c r="I1283" s="45">
        <v>32.439849624060152</v>
      </c>
      <c r="J1283" s="45">
        <v>28.598971722365039</v>
      </c>
      <c r="K1283" s="46">
        <v>-0.11839999094343491</v>
      </c>
    </row>
    <row r="1284" spans="1:11" x14ac:dyDescent="0.2">
      <c r="A1284" s="38" t="s">
        <v>7</v>
      </c>
      <c r="B1284" s="38" t="s">
        <v>5616</v>
      </c>
      <c r="C1284" s="43" t="s">
        <v>5617</v>
      </c>
      <c r="D1284" s="38" t="s">
        <v>12657</v>
      </c>
      <c r="E1284" s="44">
        <v>107</v>
      </c>
      <c r="F1284" s="45">
        <v>214</v>
      </c>
      <c r="G1284" s="44">
        <v>143</v>
      </c>
      <c r="H1284" s="45">
        <v>260</v>
      </c>
      <c r="I1284" s="45">
        <v>2</v>
      </c>
      <c r="J1284" s="45">
        <v>1.8181818181818181</v>
      </c>
      <c r="K1284" s="46">
        <v>-9.0909090909090939E-2</v>
      </c>
    </row>
    <row r="1285" spans="1:11" x14ac:dyDescent="0.2">
      <c r="A1285" s="38" t="s">
        <v>7</v>
      </c>
      <c r="B1285" s="38" t="s">
        <v>5619</v>
      </c>
      <c r="C1285" s="43" t="s">
        <v>5620</v>
      </c>
      <c r="D1285" s="38" t="s">
        <v>12657</v>
      </c>
      <c r="E1285" s="44">
        <v>178</v>
      </c>
      <c r="F1285" s="45">
        <v>8834</v>
      </c>
      <c r="G1285" s="44">
        <v>259</v>
      </c>
      <c r="H1285" s="45">
        <v>9534</v>
      </c>
      <c r="I1285" s="45">
        <v>49.629213483146067</v>
      </c>
      <c r="J1285" s="45">
        <v>36.810810810810814</v>
      </c>
      <c r="K1285" s="46">
        <v>-0.25828341359244683</v>
      </c>
    </row>
    <row r="1286" spans="1:11" x14ac:dyDescent="0.2">
      <c r="A1286" s="38" t="s">
        <v>7</v>
      </c>
      <c r="B1286" s="38" t="s">
        <v>5622</v>
      </c>
      <c r="C1286" s="43" t="s">
        <v>5623</v>
      </c>
      <c r="D1286" s="38" t="s">
        <v>12657</v>
      </c>
      <c r="G1286" s="44">
        <v>40</v>
      </c>
      <c r="H1286" s="45">
        <v>704</v>
      </c>
      <c r="J1286" s="45">
        <v>17.600000000000001</v>
      </c>
    </row>
    <row r="1287" spans="1:11" x14ac:dyDescent="0.2">
      <c r="A1287" s="38" t="s">
        <v>7</v>
      </c>
      <c r="B1287" s="38" t="s">
        <v>5625</v>
      </c>
      <c r="C1287" s="43" t="s">
        <v>5626</v>
      </c>
      <c r="D1287" s="38" t="s">
        <v>12657</v>
      </c>
      <c r="G1287" s="44">
        <v>1</v>
      </c>
      <c r="H1287" s="45">
        <v>28</v>
      </c>
      <c r="J1287" s="45">
        <v>28</v>
      </c>
    </row>
    <row r="1288" spans="1:11" x14ac:dyDescent="0.2">
      <c r="A1288" s="38" t="s">
        <v>7</v>
      </c>
      <c r="B1288" s="38" t="s">
        <v>5628</v>
      </c>
      <c r="C1288" s="43" t="s">
        <v>5629</v>
      </c>
      <c r="D1288" s="38" t="s">
        <v>12657</v>
      </c>
      <c r="E1288" s="44">
        <v>15</v>
      </c>
      <c r="F1288" s="45">
        <v>493</v>
      </c>
      <c r="G1288" s="44">
        <v>24</v>
      </c>
      <c r="H1288" s="45">
        <v>792</v>
      </c>
      <c r="I1288" s="45">
        <v>32.866666666666667</v>
      </c>
      <c r="J1288" s="45">
        <v>33</v>
      </c>
      <c r="K1288" s="46">
        <v>4.056795131845827E-3</v>
      </c>
    </row>
    <row r="1289" spans="1:11" x14ac:dyDescent="0.2">
      <c r="A1289" s="38" t="s">
        <v>7</v>
      </c>
      <c r="B1289" s="38" t="s">
        <v>5631</v>
      </c>
      <c r="C1289" s="43" t="s">
        <v>5632</v>
      </c>
      <c r="D1289" s="38" t="s">
        <v>12657</v>
      </c>
      <c r="E1289" s="44">
        <v>122</v>
      </c>
      <c r="F1289" s="45">
        <v>4585</v>
      </c>
      <c r="G1289" s="44">
        <v>168</v>
      </c>
      <c r="H1289" s="45">
        <v>5398</v>
      </c>
      <c r="I1289" s="45">
        <v>37.581967213114751</v>
      </c>
      <c r="J1289" s="45">
        <v>32.13095238095238</v>
      </c>
      <c r="K1289" s="46">
        <v>-0.14504336085579267</v>
      </c>
    </row>
    <row r="1290" spans="1:11" x14ac:dyDescent="0.2">
      <c r="A1290" s="38" t="s">
        <v>7</v>
      </c>
      <c r="B1290" s="38" t="s">
        <v>5634</v>
      </c>
      <c r="C1290" s="43" t="s">
        <v>5635</v>
      </c>
      <c r="D1290" s="38" t="s">
        <v>12657</v>
      </c>
      <c r="G1290" s="44">
        <v>21</v>
      </c>
      <c r="H1290" s="45">
        <v>665</v>
      </c>
      <c r="J1290" s="45">
        <v>31.666666666666668</v>
      </c>
    </row>
    <row r="1291" spans="1:11" x14ac:dyDescent="0.2">
      <c r="A1291" s="38" t="s">
        <v>7</v>
      </c>
      <c r="B1291" s="38" t="s">
        <v>5637</v>
      </c>
      <c r="C1291" s="43" t="s">
        <v>5638</v>
      </c>
      <c r="D1291" s="38" t="s">
        <v>12657</v>
      </c>
      <c r="E1291" s="44">
        <v>17</v>
      </c>
      <c r="F1291" s="45">
        <v>613</v>
      </c>
      <c r="G1291" s="44">
        <v>28</v>
      </c>
      <c r="H1291" s="45">
        <v>213</v>
      </c>
      <c r="I1291" s="45">
        <v>36.058823529411768</v>
      </c>
      <c r="J1291" s="45">
        <v>7.6071428571428568</v>
      </c>
      <c r="K1291" s="46">
        <v>-0.78903518993241673</v>
      </c>
    </row>
    <row r="1292" spans="1:11" x14ac:dyDescent="0.2">
      <c r="A1292" s="38" t="s">
        <v>7</v>
      </c>
      <c r="B1292" s="38" t="s">
        <v>5640</v>
      </c>
      <c r="C1292" s="43" t="s">
        <v>5641</v>
      </c>
      <c r="D1292" s="38" t="s">
        <v>12657</v>
      </c>
      <c r="E1292" s="44">
        <v>189</v>
      </c>
      <c r="F1292" s="45">
        <v>6933</v>
      </c>
      <c r="G1292" s="44">
        <v>313</v>
      </c>
      <c r="H1292" s="45">
        <v>9122</v>
      </c>
      <c r="I1292" s="45">
        <v>36.682539682539684</v>
      </c>
      <c r="J1292" s="45">
        <v>29.143769968051117</v>
      </c>
      <c r="K1292" s="46">
        <v>-0.20551384336338369</v>
      </c>
    </row>
    <row r="1293" spans="1:11" x14ac:dyDescent="0.2">
      <c r="A1293" s="38" t="s">
        <v>7</v>
      </c>
      <c r="B1293" s="38" t="s">
        <v>5643</v>
      </c>
      <c r="C1293" s="43" t="s">
        <v>5644</v>
      </c>
      <c r="D1293" s="38" t="s">
        <v>12657</v>
      </c>
      <c r="G1293" s="44">
        <v>198</v>
      </c>
      <c r="H1293" s="45">
        <v>5711</v>
      </c>
      <c r="J1293" s="45">
        <v>28.843434343434343</v>
      </c>
    </row>
    <row r="1294" spans="1:11" x14ac:dyDescent="0.2">
      <c r="A1294" s="38" t="s">
        <v>7</v>
      </c>
      <c r="B1294" s="38" t="s">
        <v>5646</v>
      </c>
      <c r="C1294" s="43" t="s">
        <v>5647</v>
      </c>
      <c r="D1294" s="38" t="s">
        <v>12658</v>
      </c>
      <c r="E1294" s="44">
        <v>139</v>
      </c>
      <c r="F1294" s="45">
        <v>5999</v>
      </c>
      <c r="G1294" s="44">
        <v>170</v>
      </c>
      <c r="H1294" s="45">
        <v>6276</v>
      </c>
      <c r="I1294" s="45">
        <v>43.158273381294961</v>
      </c>
      <c r="J1294" s="45">
        <v>36.917647058823526</v>
      </c>
      <c r="K1294" s="46">
        <v>-0.14459860957218362</v>
      </c>
    </row>
    <row r="1295" spans="1:11" x14ac:dyDescent="0.2">
      <c r="A1295" s="38" t="s">
        <v>7</v>
      </c>
      <c r="B1295" s="38" t="s">
        <v>5649</v>
      </c>
      <c r="C1295" s="43" t="s">
        <v>5650</v>
      </c>
      <c r="D1295" s="38" t="s">
        <v>12657</v>
      </c>
      <c r="E1295" s="44">
        <v>86</v>
      </c>
      <c r="F1295" s="45">
        <v>2176</v>
      </c>
      <c r="G1295" s="44">
        <v>219</v>
      </c>
      <c r="H1295" s="45">
        <v>5119</v>
      </c>
      <c r="I1295" s="45">
        <v>25.302325581395348</v>
      </c>
      <c r="J1295" s="45">
        <v>23.374429223744293</v>
      </c>
      <c r="K1295" s="46">
        <v>-7.619443325275306E-2</v>
      </c>
    </row>
    <row r="1296" spans="1:11" x14ac:dyDescent="0.2">
      <c r="A1296" s="38" t="s">
        <v>7</v>
      </c>
      <c r="B1296" s="38" t="s">
        <v>5652</v>
      </c>
      <c r="C1296" s="43" t="s">
        <v>5653</v>
      </c>
      <c r="D1296" s="38" t="s">
        <v>12657</v>
      </c>
      <c r="E1296" s="44">
        <v>822</v>
      </c>
      <c r="F1296" s="45">
        <v>36996</v>
      </c>
      <c r="G1296" s="44">
        <v>751</v>
      </c>
      <c r="H1296" s="45">
        <v>29706</v>
      </c>
      <c r="I1296" s="45">
        <v>45.007299270072991</v>
      </c>
      <c r="J1296" s="45">
        <v>39.555259653794941</v>
      </c>
      <c r="K1296" s="46">
        <v>-0.12113678680345327</v>
      </c>
    </row>
    <row r="1297" spans="1:11" x14ac:dyDescent="0.2">
      <c r="A1297" s="38" t="s">
        <v>7</v>
      </c>
      <c r="B1297" s="38" t="s">
        <v>5655</v>
      </c>
      <c r="C1297" s="43" t="s">
        <v>5656</v>
      </c>
      <c r="D1297" s="38" t="s">
        <v>12657</v>
      </c>
      <c r="E1297" s="44">
        <v>205</v>
      </c>
      <c r="F1297" s="45">
        <v>7375</v>
      </c>
      <c r="G1297" s="44">
        <v>265</v>
      </c>
      <c r="H1297" s="45">
        <v>8185</v>
      </c>
      <c r="I1297" s="45">
        <v>35.975609756097562</v>
      </c>
      <c r="J1297" s="45">
        <v>30.886792452830189</v>
      </c>
      <c r="K1297" s="46">
        <v>-0.14145187080268629</v>
      </c>
    </row>
    <row r="1298" spans="1:11" x14ac:dyDescent="0.2">
      <c r="A1298" s="38" t="s">
        <v>7</v>
      </c>
      <c r="B1298" s="38" t="s">
        <v>5661</v>
      </c>
      <c r="C1298" s="43" t="s">
        <v>5662</v>
      </c>
      <c r="D1298" s="38" t="s">
        <v>12657</v>
      </c>
      <c r="G1298" s="44">
        <v>6</v>
      </c>
      <c r="H1298" s="45">
        <v>270</v>
      </c>
      <c r="J1298" s="45">
        <v>45</v>
      </c>
    </row>
    <row r="1299" spans="1:11" x14ac:dyDescent="0.2">
      <c r="A1299" s="38" t="s">
        <v>7</v>
      </c>
      <c r="B1299" s="38" t="s">
        <v>5664</v>
      </c>
      <c r="C1299" s="43" t="s">
        <v>5665</v>
      </c>
      <c r="D1299" s="38" t="s">
        <v>12657</v>
      </c>
      <c r="G1299" s="44">
        <v>2</v>
      </c>
      <c r="H1299" s="45">
        <v>74</v>
      </c>
      <c r="J1299" s="45">
        <v>37</v>
      </c>
    </row>
    <row r="1300" spans="1:11" x14ac:dyDescent="0.2">
      <c r="A1300" s="38" t="s">
        <v>7</v>
      </c>
      <c r="B1300" s="38" t="s">
        <v>5667</v>
      </c>
      <c r="C1300" s="43" t="s">
        <v>5668</v>
      </c>
      <c r="D1300" s="38" t="s">
        <v>12657</v>
      </c>
      <c r="E1300" s="44">
        <v>4</v>
      </c>
      <c r="F1300" s="45">
        <v>152</v>
      </c>
      <c r="G1300" s="44">
        <v>56</v>
      </c>
      <c r="H1300" s="45">
        <v>1008</v>
      </c>
      <c r="I1300" s="45">
        <v>38</v>
      </c>
      <c r="J1300" s="45">
        <v>18</v>
      </c>
      <c r="K1300" s="46">
        <v>-0.52631578947368418</v>
      </c>
    </row>
    <row r="1301" spans="1:11" x14ac:dyDescent="0.2">
      <c r="A1301" s="38" t="s">
        <v>7</v>
      </c>
      <c r="B1301" s="38" t="s">
        <v>5670</v>
      </c>
      <c r="C1301" s="43" t="s">
        <v>5671</v>
      </c>
      <c r="D1301" s="38" t="s">
        <v>12657</v>
      </c>
      <c r="G1301" s="44">
        <v>1</v>
      </c>
      <c r="H1301" s="45">
        <v>70</v>
      </c>
      <c r="J1301" s="45">
        <v>70</v>
      </c>
    </row>
    <row r="1302" spans="1:11" x14ac:dyDescent="0.2">
      <c r="A1302" s="38" t="s">
        <v>7</v>
      </c>
      <c r="B1302" s="38" t="s">
        <v>5676</v>
      </c>
      <c r="C1302" s="43" t="s">
        <v>5677</v>
      </c>
      <c r="D1302" s="38" t="s">
        <v>12657</v>
      </c>
      <c r="G1302" s="44">
        <v>3</v>
      </c>
      <c r="H1302" s="45">
        <v>114</v>
      </c>
      <c r="J1302" s="45">
        <v>38</v>
      </c>
    </row>
    <row r="1303" spans="1:11" x14ac:dyDescent="0.2">
      <c r="A1303" s="38" t="s">
        <v>7</v>
      </c>
      <c r="B1303" s="38" t="s">
        <v>5679</v>
      </c>
      <c r="C1303" s="43" t="s">
        <v>5680</v>
      </c>
      <c r="D1303" s="38" t="s">
        <v>12657</v>
      </c>
      <c r="E1303" s="44">
        <v>73</v>
      </c>
      <c r="F1303" s="45">
        <v>2361</v>
      </c>
      <c r="G1303" s="44">
        <v>46</v>
      </c>
      <c r="H1303" s="45">
        <v>1518</v>
      </c>
      <c r="I1303" s="45">
        <v>32.342465753424655</v>
      </c>
      <c r="J1303" s="45">
        <v>33</v>
      </c>
      <c r="K1303" s="46">
        <v>2.0330368487928928E-2</v>
      </c>
    </row>
    <row r="1304" spans="1:11" x14ac:dyDescent="0.2">
      <c r="A1304" s="38" t="s">
        <v>7</v>
      </c>
      <c r="B1304" s="38" t="s">
        <v>5682</v>
      </c>
      <c r="C1304" s="43" t="s">
        <v>5683</v>
      </c>
      <c r="D1304" s="38" t="s">
        <v>12657</v>
      </c>
      <c r="G1304" s="44">
        <v>251</v>
      </c>
      <c r="H1304" s="45">
        <v>7919</v>
      </c>
      <c r="J1304" s="45">
        <v>31.54980079681275</v>
      </c>
    </row>
    <row r="1305" spans="1:11" x14ac:dyDescent="0.2">
      <c r="A1305" s="38" t="s">
        <v>7</v>
      </c>
      <c r="B1305" s="38" t="s">
        <v>5685</v>
      </c>
      <c r="C1305" s="43" t="s">
        <v>5686</v>
      </c>
      <c r="D1305" s="38" t="s">
        <v>12657</v>
      </c>
      <c r="G1305" s="44">
        <v>2</v>
      </c>
      <c r="H1305" s="45">
        <v>74</v>
      </c>
      <c r="J1305" s="45">
        <v>37</v>
      </c>
    </row>
    <row r="1306" spans="1:11" x14ac:dyDescent="0.2">
      <c r="A1306" s="38" t="s">
        <v>7</v>
      </c>
      <c r="B1306" s="38" t="s">
        <v>5688</v>
      </c>
      <c r="C1306" s="43" t="s">
        <v>5689</v>
      </c>
      <c r="D1306" s="38" t="s">
        <v>12657</v>
      </c>
      <c r="E1306" s="44">
        <v>88</v>
      </c>
      <c r="F1306" s="45">
        <v>1462</v>
      </c>
      <c r="G1306" s="44">
        <v>330</v>
      </c>
      <c r="H1306" s="45">
        <v>4845</v>
      </c>
      <c r="I1306" s="45">
        <v>16.613636363636363</v>
      </c>
      <c r="J1306" s="45">
        <v>14.681818181818182</v>
      </c>
      <c r="K1306" s="46">
        <v>-0.11627906976744186</v>
      </c>
    </row>
    <row r="1307" spans="1:11" x14ac:dyDescent="0.2">
      <c r="A1307" s="38" t="s">
        <v>7</v>
      </c>
      <c r="B1307" s="38" t="s">
        <v>5691</v>
      </c>
      <c r="C1307" s="43" t="s">
        <v>5692</v>
      </c>
      <c r="D1307" s="38" t="s">
        <v>12657</v>
      </c>
      <c r="E1307" s="44">
        <v>82</v>
      </c>
      <c r="F1307" s="45">
        <v>2670</v>
      </c>
      <c r="G1307" s="44">
        <v>76</v>
      </c>
      <c r="H1307" s="45">
        <v>2298</v>
      </c>
      <c r="I1307" s="45">
        <v>32.560975609756099</v>
      </c>
      <c r="J1307" s="45">
        <v>30.236842105263158</v>
      </c>
      <c r="K1307" s="46">
        <v>-7.1377882909521045E-2</v>
      </c>
    </row>
    <row r="1308" spans="1:11" x14ac:dyDescent="0.2">
      <c r="A1308" s="38" t="s">
        <v>7</v>
      </c>
      <c r="B1308" s="38" t="s">
        <v>5694</v>
      </c>
      <c r="C1308" s="43" t="s">
        <v>5695</v>
      </c>
      <c r="D1308" s="38" t="s">
        <v>12657</v>
      </c>
      <c r="G1308" s="44">
        <v>10</v>
      </c>
      <c r="H1308" s="45">
        <v>1780</v>
      </c>
      <c r="J1308" s="45">
        <v>178</v>
      </c>
    </row>
    <row r="1309" spans="1:11" x14ac:dyDescent="0.2">
      <c r="A1309" s="38" t="s">
        <v>7</v>
      </c>
      <c r="B1309" s="38" t="s">
        <v>5700</v>
      </c>
      <c r="C1309" s="43" t="s">
        <v>5701</v>
      </c>
      <c r="D1309" s="38" t="s">
        <v>12657</v>
      </c>
      <c r="G1309" s="44">
        <v>2</v>
      </c>
      <c r="H1309" s="45">
        <v>104</v>
      </c>
      <c r="J1309" s="45">
        <v>52</v>
      </c>
    </row>
    <row r="1310" spans="1:11" x14ac:dyDescent="0.2">
      <c r="A1310" s="38" t="s">
        <v>7</v>
      </c>
      <c r="B1310" s="38" t="s">
        <v>5703</v>
      </c>
      <c r="C1310" s="43" t="s">
        <v>5704</v>
      </c>
      <c r="D1310" s="38" t="s">
        <v>12657</v>
      </c>
      <c r="E1310" s="44">
        <v>128</v>
      </c>
      <c r="F1310" s="45">
        <v>2632</v>
      </c>
      <c r="G1310" s="44">
        <v>303</v>
      </c>
      <c r="H1310" s="45">
        <v>6566</v>
      </c>
      <c r="I1310" s="45">
        <v>20.5625</v>
      </c>
      <c r="J1310" s="45">
        <v>21.669966996699671</v>
      </c>
      <c r="K1310" s="46">
        <v>5.3858577347096454E-2</v>
      </c>
    </row>
    <row r="1311" spans="1:11" x14ac:dyDescent="0.2">
      <c r="A1311" s="38" t="s">
        <v>7</v>
      </c>
      <c r="B1311" s="38" t="s">
        <v>5706</v>
      </c>
      <c r="C1311" s="43" t="s">
        <v>5707</v>
      </c>
      <c r="D1311" s="38" t="s">
        <v>12657</v>
      </c>
      <c r="G1311" s="44">
        <v>69</v>
      </c>
      <c r="H1311" s="45">
        <v>2967</v>
      </c>
      <c r="J1311" s="45">
        <v>43</v>
      </c>
    </row>
    <row r="1312" spans="1:11" x14ac:dyDescent="0.2">
      <c r="A1312" s="38" t="s">
        <v>7</v>
      </c>
      <c r="B1312" s="38" t="s">
        <v>5709</v>
      </c>
      <c r="C1312" s="43" t="s">
        <v>5710</v>
      </c>
      <c r="D1312" s="38" t="s">
        <v>12657</v>
      </c>
      <c r="E1312" s="44">
        <v>287</v>
      </c>
      <c r="F1312" s="45">
        <v>7272</v>
      </c>
      <c r="G1312" s="44">
        <v>684</v>
      </c>
      <c r="H1312" s="45">
        <v>9984</v>
      </c>
      <c r="I1312" s="45">
        <v>25.337979094076655</v>
      </c>
      <c r="J1312" s="45">
        <v>14.596491228070175</v>
      </c>
      <c r="K1312" s="46">
        <v>-0.42392835774805554</v>
      </c>
    </row>
    <row r="1313" spans="1:11" x14ac:dyDescent="0.2">
      <c r="A1313" s="38" t="s">
        <v>7</v>
      </c>
      <c r="B1313" s="38" t="s">
        <v>5712</v>
      </c>
      <c r="C1313" s="43" t="s">
        <v>5713</v>
      </c>
      <c r="D1313" s="38" t="s">
        <v>12657</v>
      </c>
      <c r="E1313" s="44">
        <v>130</v>
      </c>
      <c r="F1313" s="45">
        <v>3740</v>
      </c>
      <c r="G1313" s="44">
        <v>238</v>
      </c>
      <c r="H1313" s="45">
        <v>4340</v>
      </c>
      <c r="I1313" s="45">
        <v>28.76923076923077</v>
      </c>
      <c r="J1313" s="45">
        <v>18.235294117647058</v>
      </c>
      <c r="K1313" s="46">
        <v>-0.36615287826360493</v>
      </c>
    </row>
    <row r="1314" spans="1:11" x14ac:dyDescent="0.2">
      <c r="A1314" s="38" t="s">
        <v>7</v>
      </c>
      <c r="B1314" s="38" t="s">
        <v>5715</v>
      </c>
      <c r="C1314" s="43" t="s">
        <v>5716</v>
      </c>
      <c r="D1314" s="38" t="s">
        <v>12657</v>
      </c>
      <c r="E1314" s="44">
        <v>26</v>
      </c>
      <c r="F1314" s="45">
        <v>206</v>
      </c>
      <c r="G1314" s="44">
        <v>81</v>
      </c>
      <c r="H1314" s="45">
        <v>528</v>
      </c>
      <c r="I1314" s="45">
        <v>7.9230769230769234</v>
      </c>
      <c r="J1314" s="45">
        <v>6.5185185185185182</v>
      </c>
      <c r="K1314" s="46">
        <v>-0.17727436174038122</v>
      </c>
    </row>
    <row r="1315" spans="1:11" x14ac:dyDescent="0.2">
      <c r="A1315" s="38" t="s">
        <v>7</v>
      </c>
      <c r="B1315" s="38" t="s">
        <v>5718</v>
      </c>
      <c r="C1315" s="43" t="s">
        <v>5719</v>
      </c>
      <c r="D1315" s="38" t="s">
        <v>12657</v>
      </c>
      <c r="E1315" s="44">
        <v>60</v>
      </c>
      <c r="F1315" s="45">
        <v>2505</v>
      </c>
      <c r="G1315" s="44">
        <v>86</v>
      </c>
      <c r="H1315" s="45">
        <v>2900</v>
      </c>
      <c r="I1315" s="45">
        <v>41.75</v>
      </c>
      <c r="J1315" s="45">
        <v>33.720930232558139</v>
      </c>
      <c r="K1315" s="46">
        <v>-0.19231304832196075</v>
      </c>
    </row>
    <row r="1316" spans="1:11" x14ac:dyDescent="0.2">
      <c r="A1316" s="38" t="s">
        <v>7</v>
      </c>
      <c r="B1316" s="38" t="s">
        <v>5727</v>
      </c>
      <c r="C1316" s="43" t="s">
        <v>5728</v>
      </c>
      <c r="D1316" s="38" t="s">
        <v>12657</v>
      </c>
      <c r="E1316" s="44">
        <v>39</v>
      </c>
      <c r="F1316" s="45">
        <v>7381</v>
      </c>
      <c r="G1316" s="44">
        <v>47</v>
      </c>
      <c r="H1316" s="45">
        <v>9165</v>
      </c>
      <c r="I1316" s="45">
        <v>189.25641025641025</v>
      </c>
      <c r="J1316" s="45">
        <v>195</v>
      </c>
      <c r="K1316" s="46">
        <v>3.0348191301991644E-2</v>
      </c>
    </row>
    <row r="1317" spans="1:11" x14ac:dyDescent="0.2">
      <c r="A1317" s="38" t="s">
        <v>7</v>
      </c>
      <c r="B1317" s="38" t="s">
        <v>5733</v>
      </c>
      <c r="C1317" s="43" t="s">
        <v>5734</v>
      </c>
      <c r="D1317" s="38" t="s">
        <v>12657</v>
      </c>
      <c r="G1317" s="44">
        <v>37</v>
      </c>
      <c r="H1317" s="45">
        <v>806</v>
      </c>
      <c r="J1317" s="45">
        <v>21.783783783783782</v>
      </c>
    </row>
    <row r="1318" spans="1:11" x14ac:dyDescent="0.2">
      <c r="A1318" s="38" t="s">
        <v>7</v>
      </c>
      <c r="B1318" s="38" t="s">
        <v>5736</v>
      </c>
      <c r="C1318" s="43" t="s">
        <v>5737</v>
      </c>
      <c r="D1318" s="38" t="s">
        <v>12657</v>
      </c>
      <c r="E1318" s="44">
        <v>139</v>
      </c>
      <c r="F1318" s="45">
        <v>2624</v>
      </c>
      <c r="G1318" s="44">
        <v>89</v>
      </c>
      <c r="H1318" s="45">
        <v>1487</v>
      </c>
      <c r="I1318" s="45">
        <v>18.877697841726619</v>
      </c>
      <c r="J1318" s="45">
        <v>16.707865168539325</v>
      </c>
      <c r="K1318" s="46">
        <v>-0.11494159358728424</v>
      </c>
    </row>
    <row r="1319" spans="1:11" x14ac:dyDescent="0.2">
      <c r="A1319" s="38" t="s">
        <v>7</v>
      </c>
      <c r="B1319" s="38" t="s">
        <v>5739</v>
      </c>
      <c r="C1319" s="43" t="s">
        <v>5740</v>
      </c>
      <c r="D1319" s="38" t="s">
        <v>12657</v>
      </c>
      <c r="E1319" s="44">
        <v>427</v>
      </c>
      <c r="F1319" s="45">
        <v>11658</v>
      </c>
      <c r="G1319" s="44">
        <v>1146</v>
      </c>
      <c r="H1319" s="45">
        <v>25510</v>
      </c>
      <c r="I1319" s="45">
        <v>27.302107728337237</v>
      </c>
      <c r="J1319" s="45">
        <v>22.260034904013963</v>
      </c>
      <c r="K1319" s="46">
        <v>-0.18467705403894646</v>
      </c>
    </row>
    <row r="1320" spans="1:11" x14ac:dyDescent="0.2">
      <c r="A1320" s="38" t="s">
        <v>7</v>
      </c>
      <c r="B1320" s="38" t="s">
        <v>5742</v>
      </c>
      <c r="C1320" s="43" t="s">
        <v>5743</v>
      </c>
      <c r="D1320" s="38" t="s">
        <v>12657</v>
      </c>
      <c r="E1320" s="44">
        <v>220</v>
      </c>
      <c r="F1320" s="45">
        <v>21444</v>
      </c>
      <c r="G1320" s="44">
        <v>305</v>
      </c>
      <c r="H1320" s="45">
        <v>25733</v>
      </c>
      <c r="I1320" s="45">
        <v>97.472727272727269</v>
      </c>
      <c r="J1320" s="45">
        <v>84.370491803278682</v>
      </c>
      <c r="K1320" s="46">
        <v>-0.13441950211148523</v>
      </c>
    </row>
    <row r="1321" spans="1:11" x14ac:dyDescent="0.2">
      <c r="A1321" s="38" t="s">
        <v>7</v>
      </c>
      <c r="B1321" s="38" t="s">
        <v>5745</v>
      </c>
      <c r="C1321" s="43" t="s">
        <v>5746</v>
      </c>
      <c r="D1321" s="38" t="s">
        <v>12657</v>
      </c>
      <c r="E1321" s="44">
        <v>72</v>
      </c>
      <c r="F1321" s="45">
        <v>13070</v>
      </c>
      <c r="G1321" s="44">
        <v>143</v>
      </c>
      <c r="H1321" s="45">
        <v>22734</v>
      </c>
      <c r="I1321" s="45">
        <v>181.52777777777777</v>
      </c>
      <c r="J1321" s="45">
        <v>158.97902097902099</v>
      </c>
      <c r="K1321" s="46">
        <v>-0.12421656384931053</v>
      </c>
    </row>
    <row r="1322" spans="1:11" x14ac:dyDescent="0.2">
      <c r="A1322" s="38" t="s">
        <v>7</v>
      </c>
      <c r="B1322" s="38" t="s">
        <v>5748</v>
      </c>
      <c r="C1322" s="43" t="s">
        <v>5749</v>
      </c>
      <c r="D1322" s="38" t="s">
        <v>12657</v>
      </c>
      <c r="E1322" s="44">
        <v>197</v>
      </c>
      <c r="F1322" s="45">
        <v>6301</v>
      </c>
      <c r="G1322" s="44">
        <v>131</v>
      </c>
      <c r="H1322" s="45">
        <v>2873</v>
      </c>
      <c r="I1322" s="45">
        <v>31.984771573604061</v>
      </c>
      <c r="J1322" s="45">
        <v>21.931297709923665</v>
      </c>
      <c r="K1322" s="46">
        <v>-0.3143206397627421</v>
      </c>
    </row>
    <row r="1323" spans="1:11" x14ac:dyDescent="0.2">
      <c r="A1323" s="38" t="s">
        <v>7</v>
      </c>
      <c r="B1323" s="38" t="s">
        <v>5751</v>
      </c>
      <c r="C1323" s="43" t="s">
        <v>5752</v>
      </c>
      <c r="D1323" s="38" t="s">
        <v>12657</v>
      </c>
      <c r="E1323" s="44">
        <v>191</v>
      </c>
      <c r="F1323" s="45">
        <v>3575</v>
      </c>
      <c r="G1323" s="44">
        <v>308</v>
      </c>
      <c r="H1323" s="45">
        <v>4772</v>
      </c>
      <c r="I1323" s="45">
        <v>18.717277486910994</v>
      </c>
      <c r="J1323" s="45">
        <v>15.493506493506494</v>
      </c>
      <c r="K1323" s="46">
        <v>-0.17223503768958309</v>
      </c>
    </row>
    <row r="1324" spans="1:11" x14ac:dyDescent="0.2">
      <c r="A1324" s="38" t="s">
        <v>7</v>
      </c>
      <c r="B1324" s="38" t="s">
        <v>5754</v>
      </c>
      <c r="C1324" s="43" t="s">
        <v>5755</v>
      </c>
      <c r="D1324" s="38" t="s">
        <v>12657</v>
      </c>
      <c r="E1324" s="44">
        <v>409</v>
      </c>
      <c r="F1324" s="45">
        <v>13275</v>
      </c>
      <c r="G1324" s="44">
        <v>406</v>
      </c>
      <c r="H1324" s="45">
        <v>11798</v>
      </c>
      <c r="I1324" s="45">
        <v>32.457212713936428</v>
      </c>
      <c r="J1324" s="45">
        <v>29.059113300492612</v>
      </c>
      <c r="K1324" s="46">
        <v>-0.10469473899047239</v>
      </c>
    </row>
    <row r="1325" spans="1:11" x14ac:dyDescent="0.2">
      <c r="A1325" s="38" t="s">
        <v>7</v>
      </c>
      <c r="B1325" s="38" t="s">
        <v>5757</v>
      </c>
      <c r="C1325" s="43" t="s">
        <v>5758</v>
      </c>
      <c r="D1325" s="38" t="s">
        <v>12657</v>
      </c>
      <c r="E1325" s="44">
        <v>296</v>
      </c>
      <c r="F1325" s="45">
        <v>10646</v>
      </c>
      <c r="G1325" s="44">
        <v>456</v>
      </c>
      <c r="H1325" s="45">
        <v>13968</v>
      </c>
      <c r="I1325" s="45">
        <v>35.966216216216218</v>
      </c>
      <c r="J1325" s="45">
        <v>30.631578947368421</v>
      </c>
      <c r="K1325" s="46">
        <v>-0.1483235611101773</v>
      </c>
    </row>
    <row r="1326" spans="1:11" x14ac:dyDescent="0.2">
      <c r="A1326" s="38" t="s">
        <v>7</v>
      </c>
      <c r="B1326" s="38" t="s">
        <v>5760</v>
      </c>
      <c r="C1326" s="43" t="s">
        <v>5761</v>
      </c>
      <c r="D1326" s="38" t="s">
        <v>12657</v>
      </c>
      <c r="E1326" s="44">
        <v>105</v>
      </c>
      <c r="F1326" s="45">
        <v>3918</v>
      </c>
      <c r="G1326" s="44">
        <v>144</v>
      </c>
      <c r="H1326" s="45">
        <v>3723</v>
      </c>
      <c r="I1326" s="45">
        <v>37.314285714285717</v>
      </c>
      <c r="J1326" s="45">
        <v>25.854166666666668</v>
      </c>
      <c r="K1326" s="46">
        <v>-0.30712417049515062</v>
      </c>
    </row>
    <row r="1327" spans="1:11" x14ac:dyDescent="0.2">
      <c r="A1327" s="38" t="s">
        <v>7</v>
      </c>
      <c r="B1327" s="38" t="s">
        <v>5763</v>
      </c>
      <c r="C1327" s="43" t="s">
        <v>5764</v>
      </c>
      <c r="D1327" s="38" t="s">
        <v>12657</v>
      </c>
      <c r="E1327" s="44">
        <v>110</v>
      </c>
      <c r="F1327" s="45">
        <v>3582</v>
      </c>
      <c r="G1327" s="44">
        <v>147</v>
      </c>
      <c r="H1327" s="45">
        <v>3983</v>
      </c>
      <c r="I1327" s="45">
        <v>32.563636363636363</v>
      </c>
      <c r="J1327" s="45">
        <v>27.095238095238095</v>
      </c>
      <c r="K1327" s="46">
        <v>-0.16792959506527344</v>
      </c>
    </row>
    <row r="1328" spans="1:11" x14ac:dyDescent="0.2">
      <c r="A1328" s="38" t="s">
        <v>7</v>
      </c>
      <c r="B1328" s="38" t="s">
        <v>5769</v>
      </c>
      <c r="C1328" s="43" t="s">
        <v>5770</v>
      </c>
      <c r="D1328" s="38" t="s">
        <v>12657</v>
      </c>
      <c r="E1328" s="44">
        <v>144</v>
      </c>
      <c r="F1328" s="45">
        <v>4656</v>
      </c>
      <c r="G1328" s="44">
        <v>162</v>
      </c>
      <c r="H1328" s="45">
        <v>4282</v>
      </c>
      <c r="I1328" s="45">
        <v>32.333333333333336</v>
      </c>
      <c r="J1328" s="45">
        <v>26.432098765432098</v>
      </c>
      <c r="K1328" s="46">
        <v>-0.18251240931653312</v>
      </c>
    </row>
    <row r="1329" spans="1:11" x14ac:dyDescent="0.2">
      <c r="A1329" s="38" t="s">
        <v>7</v>
      </c>
      <c r="B1329" s="38" t="s">
        <v>5772</v>
      </c>
      <c r="C1329" s="43" t="s">
        <v>5773</v>
      </c>
      <c r="D1329" s="38" t="s">
        <v>12657</v>
      </c>
      <c r="E1329" s="44">
        <v>328</v>
      </c>
      <c r="F1329" s="45">
        <v>10644</v>
      </c>
      <c r="G1329" s="44">
        <v>329</v>
      </c>
      <c r="H1329" s="45">
        <v>9175</v>
      </c>
      <c r="I1329" s="45">
        <v>32.451219512195124</v>
      </c>
      <c r="J1329" s="45">
        <v>27.887537993920972</v>
      </c>
      <c r="K1329" s="46">
        <v>-0.14063204979273972</v>
      </c>
    </row>
    <row r="1330" spans="1:11" x14ac:dyDescent="0.2">
      <c r="A1330" s="38" t="s">
        <v>7</v>
      </c>
      <c r="B1330" s="38" t="s">
        <v>5775</v>
      </c>
      <c r="C1330" s="43" t="s">
        <v>5776</v>
      </c>
      <c r="D1330" s="38" t="s">
        <v>12657</v>
      </c>
      <c r="E1330" s="44">
        <v>32</v>
      </c>
      <c r="F1330" s="45">
        <v>1038</v>
      </c>
      <c r="G1330" s="44">
        <v>31</v>
      </c>
      <c r="H1330" s="45">
        <v>997</v>
      </c>
      <c r="I1330" s="45">
        <v>32.4375</v>
      </c>
      <c r="J1330" s="45">
        <v>32.161290322580648</v>
      </c>
      <c r="K1330" s="46">
        <v>-8.5151345639877408E-3</v>
      </c>
    </row>
    <row r="1331" spans="1:11" x14ac:dyDescent="0.2">
      <c r="A1331" s="38" t="s">
        <v>7</v>
      </c>
      <c r="B1331" s="38" t="s">
        <v>5778</v>
      </c>
      <c r="C1331" s="43" t="s">
        <v>5779</v>
      </c>
      <c r="D1331" s="38" t="s">
        <v>12657</v>
      </c>
      <c r="G1331" s="44">
        <v>1</v>
      </c>
      <c r="H1331" s="45">
        <v>37</v>
      </c>
      <c r="J1331" s="45">
        <v>37</v>
      </c>
    </row>
    <row r="1332" spans="1:11" x14ac:dyDescent="0.2">
      <c r="A1332" s="38" t="s">
        <v>7</v>
      </c>
      <c r="B1332" s="38" t="s">
        <v>5781</v>
      </c>
      <c r="C1332" s="43" t="s">
        <v>5782</v>
      </c>
      <c r="D1332" s="38" t="s">
        <v>12657</v>
      </c>
      <c r="E1332" s="44">
        <v>375</v>
      </c>
      <c r="F1332" s="45">
        <v>195180</v>
      </c>
      <c r="G1332" s="44">
        <v>386</v>
      </c>
      <c r="H1332" s="45">
        <v>139927</v>
      </c>
      <c r="I1332" s="45">
        <v>520.48</v>
      </c>
      <c r="J1332" s="45">
        <v>362.50518134715026</v>
      </c>
      <c r="K1332" s="46">
        <v>-0.30351755812490344</v>
      </c>
    </row>
    <row r="1333" spans="1:11" x14ac:dyDescent="0.2">
      <c r="A1333" s="38" t="s">
        <v>7</v>
      </c>
      <c r="B1333" s="38" t="s">
        <v>5784</v>
      </c>
      <c r="C1333" s="43" t="s">
        <v>5785</v>
      </c>
      <c r="D1333" s="38" t="s">
        <v>12657</v>
      </c>
      <c r="E1333" s="44">
        <v>15</v>
      </c>
      <c r="F1333" s="45">
        <v>281</v>
      </c>
      <c r="G1333" s="44">
        <v>13</v>
      </c>
      <c r="H1333" s="45">
        <v>247</v>
      </c>
      <c r="I1333" s="45">
        <v>18.733333333333334</v>
      </c>
      <c r="J1333" s="45">
        <v>19</v>
      </c>
      <c r="K1333" s="46">
        <v>1.4234875444839807E-2</v>
      </c>
    </row>
    <row r="1334" spans="1:11" x14ac:dyDescent="0.2">
      <c r="A1334" s="38" t="s">
        <v>7</v>
      </c>
      <c r="B1334" s="38" t="s">
        <v>5790</v>
      </c>
      <c r="C1334" s="43" t="s">
        <v>5791</v>
      </c>
      <c r="D1334" s="38" t="s">
        <v>12657</v>
      </c>
      <c r="G1334" s="44">
        <v>102</v>
      </c>
      <c r="H1334" s="45">
        <v>1056</v>
      </c>
      <c r="J1334" s="45">
        <v>10.352941176470589</v>
      </c>
    </row>
    <row r="1335" spans="1:11" x14ac:dyDescent="0.2">
      <c r="A1335" s="38" t="s">
        <v>7</v>
      </c>
      <c r="B1335" s="38" t="s">
        <v>5793</v>
      </c>
      <c r="C1335" s="43" t="s">
        <v>5794</v>
      </c>
      <c r="D1335" s="38" t="s">
        <v>12657</v>
      </c>
      <c r="E1335" s="44">
        <v>339</v>
      </c>
      <c r="F1335" s="45">
        <v>14679</v>
      </c>
      <c r="G1335" s="44">
        <v>267</v>
      </c>
      <c r="H1335" s="45">
        <v>8695</v>
      </c>
      <c r="I1335" s="45">
        <v>43.30088495575221</v>
      </c>
      <c r="J1335" s="45">
        <v>32.565543071161052</v>
      </c>
      <c r="K1335" s="46">
        <v>-0.24792430675634597</v>
      </c>
    </row>
    <row r="1336" spans="1:11" x14ac:dyDescent="0.2">
      <c r="A1336" s="38" t="s">
        <v>7</v>
      </c>
      <c r="B1336" s="38" t="s">
        <v>5796</v>
      </c>
      <c r="C1336" s="43" t="s">
        <v>5797</v>
      </c>
      <c r="D1336" s="38" t="s">
        <v>12657</v>
      </c>
      <c r="E1336" s="44">
        <v>447</v>
      </c>
      <c r="F1336" s="45">
        <v>23231</v>
      </c>
      <c r="G1336" s="44">
        <v>450</v>
      </c>
      <c r="H1336" s="45">
        <v>20314</v>
      </c>
      <c r="I1336" s="45">
        <v>51.970917225950785</v>
      </c>
      <c r="J1336" s="45">
        <v>45.142222222222223</v>
      </c>
      <c r="K1336" s="46">
        <v>-0.13139454464580375</v>
      </c>
    </row>
    <row r="1337" spans="1:11" x14ac:dyDescent="0.2">
      <c r="A1337" s="38" t="s">
        <v>7</v>
      </c>
      <c r="B1337" s="38" t="s">
        <v>5799</v>
      </c>
      <c r="C1337" s="43" t="s">
        <v>5800</v>
      </c>
      <c r="D1337" s="38" t="s">
        <v>12657</v>
      </c>
      <c r="E1337" s="44">
        <v>784</v>
      </c>
      <c r="F1337" s="45">
        <v>80968</v>
      </c>
      <c r="G1337" s="44">
        <v>891</v>
      </c>
      <c r="H1337" s="45">
        <v>76491</v>
      </c>
      <c r="I1337" s="45">
        <v>103.27551020408163</v>
      </c>
      <c r="J1337" s="45">
        <v>85.848484848484844</v>
      </c>
      <c r="K1337" s="46">
        <v>-0.1687430574892288</v>
      </c>
    </row>
    <row r="1338" spans="1:11" x14ac:dyDescent="0.2">
      <c r="A1338" s="38" t="s">
        <v>7</v>
      </c>
      <c r="B1338" s="38" t="s">
        <v>5802</v>
      </c>
      <c r="C1338" s="43" t="s">
        <v>5803</v>
      </c>
      <c r="D1338" s="38" t="s">
        <v>12657</v>
      </c>
      <c r="E1338" s="44">
        <v>8</v>
      </c>
      <c r="F1338" s="45">
        <v>202</v>
      </c>
      <c r="G1338" s="44">
        <v>28</v>
      </c>
      <c r="H1338" s="45">
        <v>705</v>
      </c>
      <c r="I1338" s="45">
        <v>25.25</v>
      </c>
      <c r="J1338" s="45">
        <v>25.178571428571427</v>
      </c>
      <c r="K1338" s="46">
        <v>-2.8288543140028892E-3</v>
      </c>
    </row>
    <row r="1339" spans="1:11" x14ac:dyDescent="0.2">
      <c r="A1339" s="38" t="s">
        <v>7</v>
      </c>
      <c r="B1339" s="38" t="s">
        <v>5805</v>
      </c>
      <c r="C1339" s="43" t="s">
        <v>5806</v>
      </c>
      <c r="D1339" s="38" t="s">
        <v>12657</v>
      </c>
      <c r="G1339" s="44">
        <v>3</v>
      </c>
      <c r="H1339" s="45">
        <v>117</v>
      </c>
      <c r="J1339" s="45">
        <v>39</v>
      </c>
    </row>
    <row r="1340" spans="1:11" x14ac:dyDescent="0.2">
      <c r="A1340" s="38" t="s">
        <v>7</v>
      </c>
      <c r="B1340" s="38" t="s">
        <v>5808</v>
      </c>
      <c r="C1340" s="43" t="s">
        <v>5809</v>
      </c>
      <c r="D1340" s="38" t="s">
        <v>12658</v>
      </c>
      <c r="E1340" s="44">
        <v>223</v>
      </c>
      <c r="F1340" s="45">
        <v>8240</v>
      </c>
      <c r="G1340" s="44">
        <v>174</v>
      </c>
      <c r="H1340" s="45">
        <v>5930</v>
      </c>
      <c r="I1340" s="45">
        <v>36.950672645739907</v>
      </c>
      <c r="J1340" s="45">
        <v>34.080459770114942</v>
      </c>
      <c r="K1340" s="46">
        <v>-7.7676877580627093E-2</v>
      </c>
    </row>
    <row r="1341" spans="1:11" x14ac:dyDescent="0.2">
      <c r="A1341" s="38" t="s">
        <v>7</v>
      </c>
      <c r="B1341" s="38" t="s">
        <v>5811</v>
      </c>
      <c r="C1341" s="43" t="s">
        <v>5812</v>
      </c>
      <c r="D1341" s="38" t="s">
        <v>12657</v>
      </c>
      <c r="E1341" s="44">
        <v>226</v>
      </c>
      <c r="F1341" s="45">
        <v>10714</v>
      </c>
      <c r="G1341" s="44">
        <v>275</v>
      </c>
      <c r="H1341" s="45">
        <v>9574</v>
      </c>
      <c r="I1341" s="45">
        <v>47.407079646017699</v>
      </c>
      <c r="J1341" s="45">
        <v>34.814545454545453</v>
      </c>
      <c r="K1341" s="46">
        <v>-0.26562560456157625</v>
      </c>
    </row>
    <row r="1342" spans="1:11" x14ac:dyDescent="0.2">
      <c r="A1342" s="38" t="s">
        <v>7</v>
      </c>
      <c r="B1342" s="38" t="s">
        <v>5814</v>
      </c>
      <c r="C1342" s="43" t="s">
        <v>5815</v>
      </c>
      <c r="D1342" s="38" t="s">
        <v>12657</v>
      </c>
      <c r="G1342" s="44">
        <v>3</v>
      </c>
      <c r="H1342" s="45">
        <v>117</v>
      </c>
      <c r="J1342" s="45">
        <v>39</v>
      </c>
    </row>
    <row r="1343" spans="1:11" x14ac:dyDescent="0.2">
      <c r="A1343" s="38" t="s">
        <v>7</v>
      </c>
      <c r="B1343" s="38" t="s">
        <v>5817</v>
      </c>
      <c r="C1343" s="43" t="s">
        <v>5818</v>
      </c>
      <c r="D1343" s="38" t="s">
        <v>12657</v>
      </c>
      <c r="E1343" s="44">
        <v>244</v>
      </c>
      <c r="F1343" s="45">
        <v>12336</v>
      </c>
      <c r="G1343" s="44">
        <v>317</v>
      </c>
      <c r="H1343" s="45">
        <v>11435</v>
      </c>
      <c r="I1343" s="45">
        <v>50.557377049180324</v>
      </c>
      <c r="J1343" s="45">
        <v>36.072555205047315</v>
      </c>
      <c r="K1343" s="46">
        <v>-0.28650263699484879</v>
      </c>
    </row>
    <row r="1344" spans="1:11" x14ac:dyDescent="0.2">
      <c r="A1344" s="38" t="s">
        <v>7</v>
      </c>
      <c r="B1344" s="38" t="s">
        <v>5820</v>
      </c>
      <c r="C1344" s="43" t="s">
        <v>5821</v>
      </c>
      <c r="D1344" s="38" t="s">
        <v>12657</v>
      </c>
      <c r="E1344" s="44">
        <v>354</v>
      </c>
      <c r="F1344" s="45">
        <v>23063</v>
      </c>
      <c r="G1344" s="44">
        <v>388</v>
      </c>
      <c r="H1344" s="45">
        <v>20782</v>
      </c>
      <c r="I1344" s="45">
        <v>65.149717514124291</v>
      </c>
      <c r="J1344" s="45">
        <v>53.561855670103093</v>
      </c>
      <c r="K1344" s="46">
        <v>-0.17786511263857713</v>
      </c>
    </row>
    <row r="1345" spans="1:11" x14ac:dyDescent="0.2">
      <c r="A1345" s="38" t="s">
        <v>7</v>
      </c>
      <c r="B1345" s="38" t="s">
        <v>5826</v>
      </c>
      <c r="C1345" s="43" t="s">
        <v>5827</v>
      </c>
      <c r="D1345" s="38" t="s">
        <v>12657</v>
      </c>
      <c r="E1345" s="44">
        <v>1565</v>
      </c>
      <c r="F1345" s="45">
        <v>59499</v>
      </c>
      <c r="G1345" s="44">
        <v>1915</v>
      </c>
      <c r="H1345" s="45">
        <v>62601</v>
      </c>
      <c r="I1345" s="45">
        <v>38.018530351437697</v>
      </c>
      <c r="J1345" s="45">
        <v>32.689817232375979</v>
      </c>
      <c r="K1345" s="46">
        <v>-0.14016094440799995</v>
      </c>
    </row>
    <row r="1346" spans="1:11" x14ac:dyDescent="0.2">
      <c r="A1346" s="38" t="s">
        <v>7</v>
      </c>
      <c r="B1346" s="38" t="s">
        <v>5829</v>
      </c>
      <c r="C1346" s="43" t="s">
        <v>5830</v>
      </c>
      <c r="D1346" s="38" t="s">
        <v>12657</v>
      </c>
      <c r="E1346" s="44">
        <v>410</v>
      </c>
      <c r="F1346" s="45">
        <v>14403</v>
      </c>
      <c r="G1346" s="44">
        <v>541</v>
      </c>
      <c r="H1346" s="45">
        <v>16308</v>
      </c>
      <c r="I1346" s="45">
        <v>35.12926829268293</v>
      </c>
      <c r="J1346" s="45">
        <v>30.144177449168208</v>
      </c>
      <c r="K1346" s="46">
        <v>-0.14190705032569853</v>
      </c>
    </row>
    <row r="1347" spans="1:11" x14ac:dyDescent="0.2">
      <c r="A1347" s="38" t="s">
        <v>7</v>
      </c>
      <c r="B1347" s="38" t="s">
        <v>5841</v>
      </c>
      <c r="C1347" s="43" t="s">
        <v>5842</v>
      </c>
      <c r="D1347" s="38" t="s">
        <v>12658</v>
      </c>
      <c r="E1347" s="44">
        <v>69</v>
      </c>
      <c r="F1347" s="45">
        <v>2269</v>
      </c>
      <c r="G1347" s="44">
        <v>52</v>
      </c>
      <c r="H1347" s="45">
        <v>1396</v>
      </c>
      <c r="I1347" s="45">
        <v>32.884057971014492</v>
      </c>
      <c r="J1347" s="45">
        <v>26.846153846153847</v>
      </c>
      <c r="K1347" s="46">
        <v>-0.18361189273485437</v>
      </c>
    </row>
    <row r="1348" spans="1:11" x14ac:dyDescent="0.2">
      <c r="A1348" s="38" t="s">
        <v>7</v>
      </c>
      <c r="B1348" s="38" t="s">
        <v>5844</v>
      </c>
      <c r="C1348" s="43" t="s">
        <v>5845</v>
      </c>
      <c r="D1348" s="38" t="s">
        <v>12658</v>
      </c>
      <c r="E1348" s="44">
        <v>465</v>
      </c>
      <c r="F1348" s="45">
        <v>930</v>
      </c>
      <c r="G1348" s="44">
        <v>905</v>
      </c>
      <c r="H1348" s="45">
        <v>1424</v>
      </c>
      <c r="I1348" s="45">
        <v>2</v>
      </c>
      <c r="J1348" s="45">
        <v>1.5734806629834255</v>
      </c>
      <c r="K1348" s="46">
        <v>-0.21325966850828726</v>
      </c>
    </row>
    <row r="1349" spans="1:11" x14ac:dyDescent="0.2">
      <c r="A1349" s="38" t="s">
        <v>7</v>
      </c>
      <c r="B1349" s="38" t="s">
        <v>5847</v>
      </c>
      <c r="C1349" s="43" t="s">
        <v>5848</v>
      </c>
      <c r="D1349" s="38" t="s">
        <v>12657</v>
      </c>
      <c r="G1349" s="44">
        <v>10</v>
      </c>
      <c r="H1349" s="45">
        <v>337</v>
      </c>
      <c r="J1349" s="45">
        <v>33.700000000000003</v>
      </c>
    </row>
    <row r="1350" spans="1:11" x14ac:dyDescent="0.2">
      <c r="A1350" s="38" t="s">
        <v>7</v>
      </c>
      <c r="B1350" s="38" t="s">
        <v>5850</v>
      </c>
      <c r="C1350" s="43" t="s">
        <v>5851</v>
      </c>
      <c r="D1350" s="38" t="s">
        <v>12657</v>
      </c>
      <c r="E1350" s="44">
        <v>498</v>
      </c>
      <c r="F1350" s="45">
        <v>20847</v>
      </c>
      <c r="G1350" s="44">
        <v>401</v>
      </c>
      <c r="H1350" s="45">
        <v>14414</v>
      </c>
      <c r="I1350" s="45">
        <v>41.861445783132531</v>
      </c>
      <c r="J1350" s="45">
        <v>35.945137157107233</v>
      </c>
      <c r="K1350" s="46">
        <v>-0.14133072843865296</v>
      </c>
    </row>
    <row r="1351" spans="1:11" x14ac:dyDescent="0.2">
      <c r="A1351" s="38" t="s">
        <v>7</v>
      </c>
      <c r="B1351" s="38" t="s">
        <v>5853</v>
      </c>
      <c r="C1351" s="43" t="s">
        <v>5854</v>
      </c>
      <c r="D1351" s="38" t="s">
        <v>12657</v>
      </c>
      <c r="E1351" s="44">
        <v>57</v>
      </c>
      <c r="F1351" s="45">
        <v>2370</v>
      </c>
      <c r="G1351" s="44">
        <v>39</v>
      </c>
      <c r="H1351" s="45">
        <v>669</v>
      </c>
      <c r="I1351" s="45">
        <v>41.578947368421055</v>
      </c>
      <c r="J1351" s="45">
        <v>17.153846153846153</v>
      </c>
      <c r="K1351" s="46">
        <v>-0.58743914313534573</v>
      </c>
    </row>
    <row r="1352" spans="1:11" x14ac:dyDescent="0.2">
      <c r="A1352" s="38" t="s">
        <v>7</v>
      </c>
      <c r="B1352" s="38" t="s">
        <v>5856</v>
      </c>
      <c r="C1352" s="43" t="s">
        <v>5857</v>
      </c>
      <c r="D1352" s="38" t="s">
        <v>12657</v>
      </c>
      <c r="G1352" s="44">
        <v>30</v>
      </c>
      <c r="H1352" s="45">
        <v>1278</v>
      </c>
      <c r="J1352" s="45">
        <v>42.6</v>
      </c>
    </row>
    <row r="1353" spans="1:11" x14ac:dyDescent="0.2">
      <c r="A1353" s="38" t="s">
        <v>7</v>
      </c>
      <c r="B1353" s="38" t="s">
        <v>5859</v>
      </c>
      <c r="C1353" s="43" t="s">
        <v>5860</v>
      </c>
      <c r="D1353" s="38" t="s">
        <v>12657</v>
      </c>
      <c r="G1353" s="44">
        <v>7</v>
      </c>
      <c r="H1353" s="45">
        <v>7</v>
      </c>
      <c r="J1353" s="45">
        <v>1</v>
      </c>
    </row>
    <row r="1354" spans="1:11" x14ac:dyDescent="0.2">
      <c r="A1354" s="38" t="s">
        <v>7</v>
      </c>
      <c r="B1354" s="38" t="s">
        <v>5862</v>
      </c>
      <c r="C1354" s="43" t="s">
        <v>5863</v>
      </c>
      <c r="D1354" s="38" t="s">
        <v>12657</v>
      </c>
      <c r="E1354" s="44">
        <v>1059</v>
      </c>
      <c r="F1354" s="45">
        <v>3177</v>
      </c>
      <c r="G1354" s="44">
        <v>1393</v>
      </c>
      <c r="H1354" s="45">
        <v>3561</v>
      </c>
      <c r="I1354" s="45">
        <v>3</v>
      </c>
      <c r="J1354" s="45">
        <v>2.5563531945441493</v>
      </c>
      <c r="K1354" s="46">
        <v>-0.14788226848528355</v>
      </c>
    </row>
    <row r="1355" spans="1:11" x14ac:dyDescent="0.2">
      <c r="A1355" s="38" t="s">
        <v>7</v>
      </c>
      <c r="B1355" s="38" t="s">
        <v>5865</v>
      </c>
      <c r="C1355" s="43" t="s">
        <v>5866</v>
      </c>
      <c r="D1355" s="38" t="s">
        <v>12657</v>
      </c>
      <c r="E1355" s="44">
        <v>59</v>
      </c>
      <c r="F1355" s="45">
        <v>59</v>
      </c>
      <c r="G1355" s="44">
        <v>211</v>
      </c>
      <c r="H1355" s="45">
        <v>211</v>
      </c>
      <c r="I1355" s="45">
        <v>1</v>
      </c>
      <c r="J1355" s="45">
        <v>1</v>
      </c>
      <c r="K1355" s="46">
        <v>0</v>
      </c>
    </row>
    <row r="1356" spans="1:11" x14ac:dyDescent="0.2">
      <c r="A1356" s="38" t="s">
        <v>7</v>
      </c>
      <c r="B1356" s="38" t="s">
        <v>5868</v>
      </c>
      <c r="C1356" s="43" t="s">
        <v>5869</v>
      </c>
      <c r="D1356" s="38" t="s">
        <v>12657</v>
      </c>
      <c r="E1356" s="44">
        <v>73</v>
      </c>
      <c r="F1356" s="45">
        <v>2556</v>
      </c>
      <c r="G1356" s="44">
        <v>44</v>
      </c>
      <c r="H1356" s="45">
        <v>1346</v>
      </c>
      <c r="I1356" s="45">
        <v>35.013698630136986</v>
      </c>
      <c r="J1356" s="45">
        <v>30.59090909090909</v>
      </c>
      <c r="K1356" s="46">
        <v>-0.12631597666808936</v>
      </c>
    </row>
    <row r="1357" spans="1:11" x14ac:dyDescent="0.2">
      <c r="A1357" s="38" t="s">
        <v>7</v>
      </c>
      <c r="B1357" s="38" t="s">
        <v>5871</v>
      </c>
      <c r="C1357" s="43" t="s">
        <v>5872</v>
      </c>
      <c r="D1357" s="38" t="s">
        <v>12657</v>
      </c>
      <c r="E1357" s="44">
        <v>459</v>
      </c>
      <c r="F1357" s="45">
        <v>11672</v>
      </c>
      <c r="G1357" s="44">
        <v>745</v>
      </c>
      <c r="H1357" s="45">
        <v>15470</v>
      </c>
      <c r="I1357" s="45">
        <v>25.429193899782135</v>
      </c>
      <c r="J1357" s="45">
        <v>20.765100671140939</v>
      </c>
      <c r="K1357" s="46">
        <v>-0.18341490678086952</v>
      </c>
    </row>
    <row r="1358" spans="1:11" x14ac:dyDescent="0.2">
      <c r="A1358" s="38" t="s">
        <v>7</v>
      </c>
      <c r="B1358" s="38" t="s">
        <v>5874</v>
      </c>
      <c r="C1358" s="43" t="s">
        <v>5875</v>
      </c>
      <c r="D1358" s="38" t="s">
        <v>12657</v>
      </c>
      <c r="G1358" s="44">
        <v>157</v>
      </c>
      <c r="H1358" s="45">
        <v>3873</v>
      </c>
      <c r="J1358" s="45">
        <v>24.668789808917197</v>
      </c>
    </row>
    <row r="1359" spans="1:11" x14ac:dyDescent="0.2">
      <c r="A1359" s="38" t="s">
        <v>7</v>
      </c>
      <c r="B1359" s="38" t="s">
        <v>5877</v>
      </c>
      <c r="C1359" s="43" t="s">
        <v>5878</v>
      </c>
      <c r="D1359" s="38" t="s">
        <v>12657</v>
      </c>
      <c r="G1359" s="44">
        <v>1</v>
      </c>
      <c r="H1359" s="45">
        <v>45</v>
      </c>
      <c r="J1359" s="45">
        <v>45</v>
      </c>
    </row>
    <row r="1360" spans="1:11" x14ac:dyDescent="0.2">
      <c r="A1360" s="38" t="s">
        <v>7</v>
      </c>
      <c r="B1360" s="38" t="s">
        <v>5880</v>
      </c>
      <c r="C1360" s="43" t="s">
        <v>5881</v>
      </c>
      <c r="D1360" s="38" t="s">
        <v>12661</v>
      </c>
      <c r="G1360" s="44">
        <v>1</v>
      </c>
      <c r="H1360" s="45">
        <v>38</v>
      </c>
      <c r="J1360" s="45">
        <v>38</v>
      </c>
    </row>
    <row r="1361" spans="1:11" x14ac:dyDescent="0.2">
      <c r="A1361" s="38" t="s">
        <v>7</v>
      </c>
      <c r="B1361" s="38" t="s">
        <v>5883</v>
      </c>
      <c r="C1361" s="43" t="s">
        <v>5884</v>
      </c>
      <c r="D1361" s="38" t="s">
        <v>12657</v>
      </c>
      <c r="E1361" s="44">
        <v>65</v>
      </c>
      <c r="F1361" s="45">
        <v>775</v>
      </c>
      <c r="G1361" s="44">
        <v>0</v>
      </c>
      <c r="H1361" s="45">
        <v>0</v>
      </c>
      <c r="I1361" s="45">
        <v>11.923076923076923</v>
      </c>
    </row>
    <row r="1362" spans="1:11" x14ac:dyDescent="0.2">
      <c r="A1362" s="38" t="s">
        <v>7</v>
      </c>
      <c r="B1362" s="38" t="s">
        <v>5886</v>
      </c>
      <c r="C1362" s="43" t="s">
        <v>5887</v>
      </c>
      <c r="D1362" s="38" t="s">
        <v>12657</v>
      </c>
      <c r="E1362" s="44">
        <v>639</v>
      </c>
      <c r="F1362" s="45">
        <v>17530</v>
      </c>
      <c r="G1362" s="44">
        <v>788</v>
      </c>
      <c r="H1362" s="45">
        <v>18797</v>
      </c>
      <c r="I1362" s="45">
        <v>27.433489827856025</v>
      </c>
      <c r="J1362" s="45">
        <v>23.854060913705585</v>
      </c>
      <c r="K1362" s="46">
        <v>-0.13047661586663614</v>
      </c>
    </row>
    <row r="1363" spans="1:11" x14ac:dyDescent="0.2">
      <c r="A1363" s="38" t="s">
        <v>7</v>
      </c>
      <c r="B1363" s="38" t="s">
        <v>5889</v>
      </c>
      <c r="C1363" s="43" t="s">
        <v>5890</v>
      </c>
      <c r="D1363" s="38" t="s">
        <v>12657</v>
      </c>
      <c r="E1363" s="44">
        <v>53</v>
      </c>
      <c r="F1363" s="45">
        <v>2328</v>
      </c>
      <c r="G1363" s="44">
        <v>23</v>
      </c>
      <c r="H1363" s="45">
        <v>815</v>
      </c>
      <c r="I1363" s="45">
        <v>43.924528301886795</v>
      </c>
      <c r="J1363" s="45">
        <v>35.434782608695649</v>
      </c>
      <c r="K1363" s="46">
        <v>-0.19328029284326922</v>
      </c>
    </row>
    <row r="1364" spans="1:11" x14ac:dyDescent="0.2">
      <c r="A1364" s="38" t="s">
        <v>7</v>
      </c>
      <c r="B1364" s="38" t="s">
        <v>5892</v>
      </c>
      <c r="C1364" s="43" t="s">
        <v>5893</v>
      </c>
      <c r="D1364" s="38" t="s">
        <v>12657</v>
      </c>
      <c r="G1364" s="44">
        <v>25</v>
      </c>
      <c r="H1364" s="45">
        <v>431</v>
      </c>
      <c r="J1364" s="45">
        <v>17.239999999999998</v>
      </c>
    </row>
    <row r="1365" spans="1:11" x14ac:dyDescent="0.2">
      <c r="A1365" s="38" t="s">
        <v>7</v>
      </c>
      <c r="B1365" s="38" t="s">
        <v>5895</v>
      </c>
      <c r="C1365" s="43" t="s">
        <v>5896</v>
      </c>
      <c r="D1365" s="38" t="s">
        <v>12657</v>
      </c>
      <c r="E1365" s="44">
        <v>34</v>
      </c>
      <c r="F1365" s="45">
        <v>470</v>
      </c>
      <c r="G1365" s="44">
        <v>91</v>
      </c>
      <c r="H1365" s="45">
        <v>1057</v>
      </c>
      <c r="I1365" s="45">
        <v>13.823529411764707</v>
      </c>
      <c r="J1365" s="45">
        <v>11.615384615384615</v>
      </c>
      <c r="K1365" s="46">
        <v>-0.15973813420621938</v>
      </c>
    </row>
    <row r="1366" spans="1:11" x14ac:dyDescent="0.2">
      <c r="A1366" s="38" t="s">
        <v>7</v>
      </c>
      <c r="B1366" s="38" t="s">
        <v>5898</v>
      </c>
      <c r="C1366" s="43" t="s">
        <v>5899</v>
      </c>
      <c r="D1366" s="38" t="s">
        <v>12657</v>
      </c>
      <c r="E1366" s="44">
        <v>65</v>
      </c>
      <c r="F1366" s="45">
        <v>496</v>
      </c>
      <c r="G1366" s="44">
        <v>220</v>
      </c>
      <c r="H1366" s="45">
        <v>1577</v>
      </c>
      <c r="I1366" s="45">
        <v>7.6307692307692312</v>
      </c>
      <c r="J1366" s="45">
        <v>7.168181818181818</v>
      </c>
      <c r="K1366" s="46">
        <v>-6.0621334310850518E-2</v>
      </c>
    </row>
    <row r="1367" spans="1:11" x14ac:dyDescent="0.2">
      <c r="A1367" s="38" t="s">
        <v>7</v>
      </c>
      <c r="B1367" s="38" t="s">
        <v>5901</v>
      </c>
      <c r="C1367" s="43" t="s">
        <v>5902</v>
      </c>
      <c r="D1367" s="38" t="s">
        <v>12657</v>
      </c>
      <c r="G1367" s="44">
        <v>1</v>
      </c>
      <c r="H1367" s="45">
        <v>30</v>
      </c>
      <c r="J1367" s="45">
        <v>30</v>
      </c>
    </row>
    <row r="1368" spans="1:11" x14ac:dyDescent="0.2">
      <c r="A1368" s="38" t="s">
        <v>7</v>
      </c>
      <c r="B1368" s="38" t="s">
        <v>5904</v>
      </c>
      <c r="C1368" s="43" t="s">
        <v>5905</v>
      </c>
      <c r="D1368" s="38" t="s">
        <v>12657</v>
      </c>
      <c r="E1368" s="44">
        <v>92</v>
      </c>
      <c r="F1368" s="45">
        <v>3263</v>
      </c>
      <c r="G1368" s="44">
        <v>370</v>
      </c>
      <c r="H1368" s="45">
        <v>8074</v>
      </c>
      <c r="I1368" s="45">
        <v>35.467391304347828</v>
      </c>
      <c r="J1368" s="45">
        <v>21.82162162162162</v>
      </c>
      <c r="K1368" s="46">
        <v>-0.38474128434287802</v>
      </c>
    </row>
    <row r="1369" spans="1:11" x14ac:dyDescent="0.2">
      <c r="A1369" s="38" t="s">
        <v>7</v>
      </c>
      <c r="B1369" s="38" t="s">
        <v>5907</v>
      </c>
      <c r="C1369" s="43" t="s">
        <v>5908</v>
      </c>
      <c r="D1369" s="38" t="s">
        <v>12657</v>
      </c>
      <c r="E1369" s="44">
        <v>32</v>
      </c>
      <c r="F1369" s="45">
        <v>1160</v>
      </c>
      <c r="G1369" s="44">
        <v>231</v>
      </c>
      <c r="H1369" s="45">
        <v>6783</v>
      </c>
      <c r="I1369" s="45">
        <v>36.25</v>
      </c>
      <c r="J1369" s="45">
        <v>29.363636363636363</v>
      </c>
      <c r="K1369" s="46">
        <v>-0.18996865203761756</v>
      </c>
    </row>
    <row r="1370" spans="1:11" x14ac:dyDescent="0.2">
      <c r="A1370" s="38" t="s">
        <v>7</v>
      </c>
      <c r="B1370" s="38" t="s">
        <v>5910</v>
      </c>
      <c r="C1370" s="43" t="s">
        <v>5911</v>
      </c>
      <c r="D1370" s="38" t="s">
        <v>12662</v>
      </c>
      <c r="G1370" s="44">
        <v>6</v>
      </c>
      <c r="H1370" s="45">
        <v>264</v>
      </c>
      <c r="J1370" s="45">
        <v>44</v>
      </c>
    </row>
    <row r="1371" spans="1:11" x14ac:dyDescent="0.2">
      <c r="A1371" s="38" t="s">
        <v>7</v>
      </c>
      <c r="B1371" s="38" t="s">
        <v>5913</v>
      </c>
      <c r="C1371" s="43" t="s">
        <v>5914</v>
      </c>
      <c r="D1371" s="38" t="s">
        <v>12657</v>
      </c>
      <c r="G1371" s="44">
        <v>43</v>
      </c>
      <c r="H1371" s="45">
        <v>1826</v>
      </c>
      <c r="J1371" s="45">
        <v>42.465116279069768</v>
      </c>
    </row>
    <row r="1372" spans="1:11" x14ac:dyDescent="0.2">
      <c r="A1372" s="38" t="s">
        <v>7</v>
      </c>
      <c r="B1372" s="38" t="s">
        <v>5916</v>
      </c>
      <c r="C1372" s="43" t="s">
        <v>5917</v>
      </c>
      <c r="D1372" s="38" t="s">
        <v>12657</v>
      </c>
      <c r="E1372" s="44">
        <v>91</v>
      </c>
      <c r="F1372" s="45">
        <v>3811</v>
      </c>
      <c r="G1372" s="44">
        <v>500</v>
      </c>
      <c r="H1372" s="45">
        <v>12950</v>
      </c>
      <c r="I1372" s="45">
        <v>41.879120879120876</v>
      </c>
      <c r="J1372" s="45">
        <v>25.9</v>
      </c>
      <c r="K1372" s="46">
        <v>-0.38155339805825239</v>
      </c>
    </row>
    <row r="1373" spans="1:11" x14ac:dyDescent="0.2">
      <c r="A1373" s="38" t="s">
        <v>7</v>
      </c>
      <c r="B1373" s="38" t="s">
        <v>5919</v>
      </c>
      <c r="C1373" s="43" t="s">
        <v>5920</v>
      </c>
      <c r="D1373" s="38" t="s">
        <v>12657</v>
      </c>
      <c r="E1373" s="44">
        <v>29</v>
      </c>
      <c r="F1373" s="45">
        <v>949</v>
      </c>
      <c r="G1373" s="44">
        <v>39</v>
      </c>
      <c r="H1373" s="45">
        <v>1171</v>
      </c>
      <c r="I1373" s="45">
        <v>32.724137931034484</v>
      </c>
      <c r="J1373" s="45">
        <v>30.025641025641026</v>
      </c>
      <c r="K1373" s="46">
        <v>-8.2461970765448145E-2</v>
      </c>
    </row>
    <row r="1374" spans="1:11" x14ac:dyDescent="0.2">
      <c r="A1374" s="38" t="s">
        <v>7</v>
      </c>
      <c r="B1374" s="38" t="s">
        <v>5922</v>
      </c>
      <c r="C1374" s="43" t="s">
        <v>5923</v>
      </c>
      <c r="D1374" s="38" t="s">
        <v>12657</v>
      </c>
      <c r="E1374" s="44">
        <v>51</v>
      </c>
      <c r="F1374" s="45">
        <v>1887</v>
      </c>
      <c r="G1374" s="44">
        <v>95</v>
      </c>
      <c r="H1374" s="45">
        <v>3015</v>
      </c>
      <c r="I1374" s="45">
        <v>37</v>
      </c>
      <c r="J1374" s="45">
        <v>31.736842105263158</v>
      </c>
      <c r="K1374" s="46">
        <v>-0.14224751066856331</v>
      </c>
    </row>
    <row r="1375" spans="1:11" x14ac:dyDescent="0.2">
      <c r="A1375" s="38" t="s">
        <v>7</v>
      </c>
      <c r="B1375" s="38" t="s">
        <v>5925</v>
      </c>
      <c r="C1375" s="43" t="s">
        <v>5926</v>
      </c>
      <c r="D1375" s="38" t="s">
        <v>12657</v>
      </c>
      <c r="E1375" s="44">
        <v>978</v>
      </c>
      <c r="F1375" s="45">
        <v>31558</v>
      </c>
      <c r="G1375" s="44">
        <v>1522</v>
      </c>
      <c r="H1375" s="45">
        <v>42290</v>
      </c>
      <c r="I1375" s="45">
        <v>32.267893660531698</v>
      </c>
      <c r="J1375" s="45">
        <v>27.78580814717477</v>
      </c>
      <c r="K1375" s="46">
        <v>-0.13890232689216919</v>
      </c>
    </row>
    <row r="1376" spans="1:11" x14ac:dyDescent="0.2">
      <c r="A1376" s="38" t="s">
        <v>7</v>
      </c>
      <c r="B1376" s="38" t="s">
        <v>5928</v>
      </c>
      <c r="C1376" s="43" t="s">
        <v>5929</v>
      </c>
      <c r="D1376" s="38" t="s">
        <v>12657</v>
      </c>
      <c r="E1376" s="44">
        <v>645</v>
      </c>
      <c r="F1376" s="45">
        <v>8813</v>
      </c>
      <c r="G1376" s="44">
        <v>1161</v>
      </c>
      <c r="H1376" s="45">
        <v>14901</v>
      </c>
      <c r="I1376" s="45">
        <v>13.663565891472869</v>
      </c>
      <c r="J1376" s="45">
        <v>12.834625322997416</v>
      </c>
      <c r="K1376" s="46">
        <v>-6.0667952645712807E-2</v>
      </c>
    </row>
    <row r="1377" spans="1:11" x14ac:dyDescent="0.2">
      <c r="A1377" s="38" t="s">
        <v>7</v>
      </c>
      <c r="B1377" s="38" t="s">
        <v>5931</v>
      </c>
      <c r="C1377" s="43" t="s">
        <v>5932</v>
      </c>
      <c r="D1377" s="38" t="s">
        <v>12657</v>
      </c>
      <c r="G1377" s="44">
        <v>6</v>
      </c>
      <c r="H1377" s="45">
        <v>234</v>
      </c>
      <c r="J1377" s="45">
        <v>39</v>
      </c>
    </row>
    <row r="1378" spans="1:11" x14ac:dyDescent="0.2">
      <c r="A1378" s="38" t="s">
        <v>7</v>
      </c>
      <c r="B1378" s="38" t="s">
        <v>5934</v>
      </c>
      <c r="C1378" s="43" t="s">
        <v>5935</v>
      </c>
      <c r="D1378" s="38" t="s">
        <v>12657</v>
      </c>
      <c r="G1378" s="44">
        <v>5</v>
      </c>
      <c r="H1378" s="45">
        <v>230</v>
      </c>
      <c r="J1378" s="45">
        <v>46</v>
      </c>
    </row>
    <row r="1379" spans="1:11" x14ac:dyDescent="0.2">
      <c r="A1379" s="38" t="s">
        <v>7</v>
      </c>
      <c r="B1379" s="38" t="s">
        <v>5937</v>
      </c>
      <c r="C1379" s="43" t="s">
        <v>5938</v>
      </c>
      <c r="D1379" s="38" t="s">
        <v>12657</v>
      </c>
      <c r="E1379" s="44">
        <v>1693</v>
      </c>
      <c r="F1379" s="45">
        <v>8465</v>
      </c>
      <c r="G1379" s="44">
        <v>2582</v>
      </c>
      <c r="H1379" s="45">
        <v>10462</v>
      </c>
      <c r="I1379" s="45">
        <v>5</v>
      </c>
      <c r="J1379" s="45">
        <v>4.0518977536793184</v>
      </c>
      <c r="K1379" s="46">
        <v>-0.18962044926413632</v>
      </c>
    </row>
    <row r="1380" spans="1:11" x14ac:dyDescent="0.2">
      <c r="A1380" s="38" t="s">
        <v>7</v>
      </c>
      <c r="B1380" s="38" t="s">
        <v>5940</v>
      </c>
      <c r="C1380" s="43" t="s">
        <v>5941</v>
      </c>
      <c r="D1380" s="38" t="s">
        <v>12657</v>
      </c>
      <c r="E1380" s="44">
        <v>630</v>
      </c>
      <c r="F1380" s="45">
        <v>8639</v>
      </c>
      <c r="G1380" s="44">
        <v>759</v>
      </c>
      <c r="H1380" s="45">
        <v>8520</v>
      </c>
      <c r="I1380" s="45">
        <v>13.712698412698412</v>
      </c>
      <c r="J1380" s="45">
        <v>11.225296442687746</v>
      </c>
      <c r="K1380" s="46">
        <v>-0.18139405499556888</v>
      </c>
    </row>
    <row r="1381" spans="1:11" x14ac:dyDescent="0.2">
      <c r="A1381" s="38" t="s">
        <v>7</v>
      </c>
      <c r="B1381" s="38" t="s">
        <v>5943</v>
      </c>
      <c r="C1381" s="43" t="s">
        <v>5944</v>
      </c>
      <c r="D1381" s="38" t="s">
        <v>12657</v>
      </c>
      <c r="G1381" s="44">
        <v>17</v>
      </c>
      <c r="H1381" s="45">
        <v>356</v>
      </c>
      <c r="J1381" s="45">
        <v>20.941176470588236</v>
      </c>
    </row>
    <row r="1382" spans="1:11" x14ac:dyDescent="0.2">
      <c r="A1382" s="38" t="s">
        <v>7</v>
      </c>
      <c r="B1382" s="38" t="s">
        <v>5946</v>
      </c>
      <c r="C1382" s="43" t="s">
        <v>5947</v>
      </c>
      <c r="D1382" s="38" t="s">
        <v>12657</v>
      </c>
      <c r="E1382" s="44">
        <v>377</v>
      </c>
      <c r="F1382" s="45">
        <v>8760</v>
      </c>
      <c r="G1382" s="44">
        <v>444</v>
      </c>
      <c r="H1382" s="45">
        <v>8598</v>
      </c>
      <c r="I1382" s="45">
        <v>23.23607427055703</v>
      </c>
      <c r="J1382" s="45">
        <v>19.364864864864863</v>
      </c>
      <c r="K1382" s="46">
        <v>-0.16660341848698021</v>
      </c>
    </row>
    <row r="1383" spans="1:11" x14ac:dyDescent="0.2">
      <c r="A1383" s="38" t="s">
        <v>7</v>
      </c>
      <c r="B1383" s="38" t="s">
        <v>5949</v>
      </c>
      <c r="C1383" s="43" t="s">
        <v>5950</v>
      </c>
      <c r="D1383" s="38" t="s">
        <v>12657</v>
      </c>
      <c r="G1383" s="44">
        <v>17</v>
      </c>
      <c r="H1383" s="45">
        <v>240.5</v>
      </c>
      <c r="J1383" s="45">
        <v>14.147058823529411</v>
      </c>
    </row>
    <row r="1384" spans="1:11" x14ac:dyDescent="0.2">
      <c r="A1384" s="38" t="s">
        <v>7</v>
      </c>
      <c r="B1384" s="38" t="s">
        <v>5952</v>
      </c>
      <c r="C1384" s="43" t="s">
        <v>5953</v>
      </c>
      <c r="D1384" s="38" t="s">
        <v>12657</v>
      </c>
      <c r="G1384" s="44">
        <v>5</v>
      </c>
      <c r="H1384" s="45">
        <v>70</v>
      </c>
      <c r="J1384" s="45">
        <v>14</v>
      </c>
    </row>
    <row r="1385" spans="1:11" x14ac:dyDescent="0.2">
      <c r="A1385" s="38" t="s">
        <v>7</v>
      </c>
      <c r="B1385" s="38" t="s">
        <v>5955</v>
      </c>
      <c r="C1385" s="43" t="s">
        <v>5956</v>
      </c>
      <c r="D1385" s="38" t="s">
        <v>12657</v>
      </c>
      <c r="E1385" s="44">
        <v>984</v>
      </c>
      <c r="F1385" s="45">
        <v>35631</v>
      </c>
      <c r="G1385" s="44">
        <v>1698</v>
      </c>
      <c r="H1385" s="45">
        <v>47181</v>
      </c>
      <c r="I1385" s="45">
        <v>36.210365853658537</v>
      </c>
      <c r="J1385" s="45">
        <v>27.786219081272083</v>
      </c>
      <c r="K1385" s="46">
        <v>-0.23264461912459011</v>
      </c>
    </row>
    <row r="1386" spans="1:11" x14ac:dyDescent="0.2">
      <c r="A1386" s="38" t="s">
        <v>7</v>
      </c>
      <c r="B1386" s="38" t="s">
        <v>5958</v>
      </c>
      <c r="C1386" s="43" t="s">
        <v>5959</v>
      </c>
      <c r="D1386" s="38" t="s">
        <v>12657</v>
      </c>
      <c r="E1386" s="44">
        <v>1115</v>
      </c>
      <c r="F1386" s="45">
        <v>6677.25</v>
      </c>
      <c r="G1386" s="44">
        <v>1368</v>
      </c>
      <c r="H1386" s="45">
        <v>7104</v>
      </c>
      <c r="I1386" s="45">
        <v>5.9885650224215246</v>
      </c>
      <c r="J1386" s="45">
        <v>5.192982456140351</v>
      </c>
      <c r="K1386" s="46">
        <v>-0.13285028438406657</v>
      </c>
    </row>
    <row r="1387" spans="1:11" x14ac:dyDescent="0.2">
      <c r="A1387" s="38" t="s">
        <v>7</v>
      </c>
      <c r="B1387" s="38" t="s">
        <v>5967</v>
      </c>
      <c r="C1387" s="43" t="s">
        <v>5968</v>
      </c>
      <c r="D1387" s="38" t="s">
        <v>12657</v>
      </c>
      <c r="G1387" s="44">
        <v>54</v>
      </c>
      <c r="H1387" s="45">
        <v>1503</v>
      </c>
      <c r="J1387" s="45">
        <v>27.833333333333332</v>
      </c>
    </row>
    <row r="1388" spans="1:11" x14ac:dyDescent="0.2">
      <c r="A1388" s="38" t="s">
        <v>7</v>
      </c>
      <c r="B1388" s="38" t="s">
        <v>5970</v>
      </c>
      <c r="C1388" s="43" t="s">
        <v>5971</v>
      </c>
      <c r="D1388" s="38" t="s">
        <v>12657</v>
      </c>
      <c r="E1388" s="44">
        <v>275</v>
      </c>
      <c r="F1388" s="45">
        <v>8927</v>
      </c>
      <c r="G1388" s="44">
        <v>382</v>
      </c>
      <c r="H1388" s="45">
        <v>10033</v>
      </c>
      <c r="I1388" s="45">
        <v>32.461818181818181</v>
      </c>
      <c r="J1388" s="45">
        <v>26.264397905759161</v>
      </c>
      <c r="K1388" s="46">
        <v>-0.19091414539220686</v>
      </c>
    </row>
    <row r="1389" spans="1:11" x14ac:dyDescent="0.2">
      <c r="A1389" s="38" t="s">
        <v>7</v>
      </c>
      <c r="B1389" s="38" t="s">
        <v>5973</v>
      </c>
      <c r="C1389" s="43" t="s">
        <v>5974</v>
      </c>
      <c r="D1389" s="38" t="s">
        <v>12657</v>
      </c>
      <c r="E1389" s="44">
        <v>156</v>
      </c>
      <c r="F1389" s="45">
        <v>6456</v>
      </c>
      <c r="G1389" s="44">
        <v>138</v>
      </c>
      <c r="H1389" s="45">
        <v>4680</v>
      </c>
      <c r="I1389" s="45">
        <v>41.384615384615387</v>
      </c>
      <c r="J1389" s="45">
        <v>33.913043478260867</v>
      </c>
      <c r="K1389" s="46">
        <v>-0.18053984160336198</v>
      </c>
    </row>
    <row r="1390" spans="1:11" x14ac:dyDescent="0.2">
      <c r="A1390" s="38" t="s">
        <v>7</v>
      </c>
      <c r="B1390" s="38" t="s">
        <v>5976</v>
      </c>
      <c r="C1390" s="43" t="s">
        <v>5977</v>
      </c>
      <c r="D1390" s="38" t="s">
        <v>12657</v>
      </c>
      <c r="G1390" s="44">
        <v>34</v>
      </c>
      <c r="H1390" s="45">
        <v>1618</v>
      </c>
      <c r="J1390" s="45">
        <v>47.588235294117645</v>
      </c>
    </row>
    <row r="1391" spans="1:11" x14ac:dyDescent="0.2">
      <c r="A1391" s="38" t="s">
        <v>7</v>
      </c>
      <c r="B1391" s="38" t="s">
        <v>5979</v>
      </c>
      <c r="C1391" s="43" t="s">
        <v>5980</v>
      </c>
      <c r="D1391" s="38" t="s">
        <v>12657</v>
      </c>
      <c r="E1391" s="44">
        <v>1</v>
      </c>
      <c r="F1391" s="45">
        <v>70</v>
      </c>
      <c r="G1391" s="44">
        <v>0</v>
      </c>
      <c r="H1391" s="45">
        <v>0</v>
      </c>
      <c r="I1391" s="45">
        <v>70</v>
      </c>
    </row>
    <row r="1392" spans="1:11" x14ac:dyDescent="0.2">
      <c r="A1392" s="38" t="s">
        <v>7</v>
      </c>
      <c r="B1392" s="38" t="s">
        <v>5985</v>
      </c>
      <c r="C1392" s="43" t="s">
        <v>5986</v>
      </c>
      <c r="D1392" s="38" t="s">
        <v>12657</v>
      </c>
      <c r="E1392" s="44">
        <v>482</v>
      </c>
      <c r="F1392" s="45">
        <v>19845</v>
      </c>
      <c r="G1392" s="44">
        <v>399</v>
      </c>
      <c r="H1392" s="45">
        <v>12585</v>
      </c>
      <c r="I1392" s="45">
        <v>41.172199170124479</v>
      </c>
      <c r="J1392" s="45">
        <v>31.541353383458645</v>
      </c>
      <c r="K1392" s="46">
        <v>-0.23391623427427222</v>
      </c>
    </row>
    <row r="1393" spans="1:11" x14ac:dyDescent="0.2">
      <c r="A1393" s="38" t="s">
        <v>7</v>
      </c>
      <c r="B1393" s="38" t="s">
        <v>5988</v>
      </c>
      <c r="C1393" s="43" t="s">
        <v>5989</v>
      </c>
      <c r="D1393" s="38" t="s">
        <v>12658</v>
      </c>
      <c r="E1393" s="44">
        <v>506</v>
      </c>
      <c r="F1393" s="45">
        <v>18916</v>
      </c>
      <c r="G1393" s="44">
        <v>721</v>
      </c>
      <c r="H1393" s="45">
        <v>19406</v>
      </c>
      <c r="I1393" s="45">
        <v>37.383399209486164</v>
      </c>
      <c r="J1393" s="45">
        <v>26.915395284327325</v>
      </c>
      <c r="K1393" s="46">
        <v>-0.28001744481551982</v>
      </c>
    </row>
    <row r="1394" spans="1:11" x14ac:dyDescent="0.2">
      <c r="A1394" s="38" t="s">
        <v>7</v>
      </c>
      <c r="B1394" s="38" t="s">
        <v>5991</v>
      </c>
      <c r="C1394" s="43" t="s">
        <v>5992</v>
      </c>
      <c r="D1394" s="38" t="s">
        <v>12658</v>
      </c>
      <c r="E1394" s="44">
        <v>86</v>
      </c>
      <c r="F1394" s="45">
        <v>2782</v>
      </c>
      <c r="G1394" s="44">
        <v>97</v>
      </c>
      <c r="H1394" s="45">
        <v>2497</v>
      </c>
      <c r="I1394" s="45">
        <v>32.348837209302324</v>
      </c>
      <c r="J1394" s="45">
        <v>25.742268041237114</v>
      </c>
      <c r="K1394" s="46">
        <v>-0.20422895343407912</v>
      </c>
    </row>
    <row r="1395" spans="1:11" x14ac:dyDescent="0.2">
      <c r="A1395" s="38" t="s">
        <v>7</v>
      </c>
      <c r="B1395" s="38" t="s">
        <v>5994</v>
      </c>
      <c r="C1395" s="43" t="s">
        <v>5995</v>
      </c>
      <c r="D1395" s="38" t="s">
        <v>12663</v>
      </c>
      <c r="E1395" s="44">
        <v>130</v>
      </c>
      <c r="F1395" s="45">
        <v>4677</v>
      </c>
      <c r="G1395" s="44">
        <v>30</v>
      </c>
      <c r="H1395" s="45">
        <v>570</v>
      </c>
      <c r="I1395" s="45">
        <v>35.976923076923079</v>
      </c>
      <c r="J1395" s="45">
        <v>19</v>
      </c>
      <c r="K1395" s="46">
        <v>-0.4718836861235835</v>
      </c>
    </row>
    <row r="1396" spans="1:11" x14ac:dyDescent="0.2">
      <c r="A1396" s="38" t="s">
        <v>7</v>
      </c>
      <c r="B1396" s="38" t="s">
        <v>5997</v>
      </c>
      <c r="C1396" s="43" t="s">
        <v>5998</v>
      </c>
      <c r="D1396" s="38" t="s">
        <v>12664</v>
      </c>
      <c r="G1396" s="44">
        <v>12</v>
      </c>
      <c r="H1396" s="45">
        <v>216</v>
      </c>
      <c r="J1396" s="45">
        <v>18</v>
      </c>
    </row>
    <row r="1397" spans="1:11" x14ac:dyDescent="0.2">
      <c r="A1397" s="38" t="s">
        <v>7</v>
      </c>
      <c r="B1397" s="38" t="s">
        <v>6000</v>
      </c>
      <c r="C1397" s="43" t="s">
        <v>6001</v>
      </c>
      <c r="D1397" s="38" t="s">
        <v>12663</v>
      </c>
      <c r="E1397" s="44">
        <v>29</v>
      </c>
      <c r="F1397" s="45">
        <v>821</v>
      </c>
      <c r="G1397" s="44">
        <v>95</v>
      </c>
      <c r="H1397" s="45">
        <v>2755</v>
      </c>
      <c r="I1397" s="45">
        <v>28.310344827586206</v>
      </c>
      <c r="J1397" s="45">
        <v>29</v>
      </c>
      <c r="K1397" s="46">
        <v>2.4360535931790515E-2</v>
      </c>
    </row>
    <row r="1398" spans="1:11" x14ac:dyDescent="0.2">
      <c r="A1398" s="38" t="s">
        <v>7</v>
      </c>
      <c r="B1398" s="38" t="s">
        <v>6003</v>
      </c>
      <c r="C1398" s="43" t="s">
        <v>6004</v>
      </c>
      <c r="D1398" s="38" t="s">
        <v>12657</v>
      </c>
      <c r="E1398" s="44">
        <v>38</v>
      </c>
      <c r="F1398" s="45">
        <v>190</v>
      </c>
      <c r="G1398" s="44">
        <v>112</v>
      </c>
      <c r="H1398" s="45">
        <v>522</v>
      </c>
      <c r="I1398" s="45">
        <v>5</v>
      </c>
      <c r="J1398" s="45">
        <v>4.6607142857142856</v>
      </c>
      <c r="K1398" s="46">
        <v>-6.785714285714288E-2</v>
      </c>
    </row>
    <row r="1399" spans="1:11" x14ac:dyDescent="0.2">
      <c r="A1399" s="38" t="s">
        <v>7</v>
      </c>
      <c r="B1399" s="38" t="s">
        <v>6006</v>
      </c>
      <c r="C1399" s="43" t="s">
        <v>6007</v>
      </c>
      <c r="D1399" s="38" t="s">
        <v>12657</v>
      </c>
      <c r="G1399" s="44">
        <v>13</v>
      </c>
      <c r="H1399" s="45">
        <v>208</v>
      </c>
      <c r="J1399" s="45">
        <v>16</v>
      </c>
    </row>
    <row r="1400" spans="1:11" x14ac:dyDescent="0.2">
      <c r="A1400" s="38" t="s">
        <v>7</v>
      </c>
      <c r="B1400" s="38" t="s">
        <v>6008</v>
      </c>
      <c r="C1400" s="43" t="s">
        <v>6009</v>
      </c>
      <c r="D1400" s="38" t="s">
        <v>12657</v>
      </c>
      <c r="E1400" s="44">
        <v>192</v>
      </c>
      <c r="F1400" s="45">
        <v>6202</v>
      </c>
      <c r="G1400" s="44">
        <v>137</v>
      </c>
      <c r="H1400" s="45">
        <v>6377</v>
      </c>
      <c r="I1400" s="45">
        <v>32.302083333333336</v>
      </c>
      <c r="J1400" s="45">
        <v>46.54744525547445</v>
      </c>
      <c r="K1400" s="46">
        <v>0.44100443228814801</v>
      </c>
    </row>
    <row r="1401" spans="1:11" x14ac:dyDescent="0.2">
      <c r="A1401" s="38" t="s">
        <v>7</v>
      </c>
      <c r="B1401" s="38" t="s">
        <v>6011</v>
      </c>
      <c r="C1401" s="43" t="s">
        <v>6012</v>
      </c>
      <c r="D1401" s="38" t="s">
        <v>12657</v>
      </c>
      <c r="G1401" s="44">
        <v>8</v>
      </c>
      <c r="H1401" s="45">
        <v>416</v>
      </c>
      <c r="J1401" s="45">
        <v>52</v>
      </c>
    </row>
    <row r="1402" spans="1:11" x14ac:dyDescent="0.2">
      <c r="A1402" s="38" t="s">
        <v>7</v>
      </c>
      <c r="B1402" s="38" t="s">
        <v>6014</v>
      </c>
      <c r="C1402" s="43" t="s">
        <v>6015</v>
      </c>
      <c r="D1402" s="38" t="s">
        <v>12657</v>
      </c>
      <c r="G1402" s="44">
        <v>33</v>
      </c>
      <c r="H1402" s="45">
        <v>636</v>
      </c>
      <c r="J1402" s="45">
        <v>19.272727272727273</v>
      </c>
    </row>
    <row r="1403" spans="1:11" x14ac:dyDescent="0.2">
      <c r="A1403" s="38" t="s">
        <v>7</v>
      </c>
      <c r="B1403" s="38" t="s">
        <v>6017</v>
      </c>
      <c r="C1403" s="43" t="s">
        <v>6018</v>
      </c>
      <c r="D1403" s="38" t="s">
        <v>12657</v>
      </c>
      <c r="E1403" s="44">
        <v>20</v>
      </c>
      <c r="F1403" s="45">
        <v>339</v>
      </c>
      <c r="G1403" s="44">
        <v>25</v>
      </c>
      <c r="H1403" s="45">
        <v>327</v>
      </c>
      <c r="I1403" s="45">
        <v>16.95</v>
      </c>
      <c r="J1403" s="45">
        <v>13.08</v>
      </c>
      <c r="K1403" s="46">
        <v>-0.22831858407079642</v>
      </c>
    </row>
    <row r="1404" spans="1:11" x14ac:dyDescent="0.2">
      <c r="A1404" s="38" t="s">
        <v>7</v>
      </c>
      <c r="B1404" s="38" t="s">
        <v>6020</v>
      </c>
      <c r="C1404" s="43" t="s">
        <v>6021</v>
      </c>
      <c r="D1404" s="38" t="s">
        <v>12657</v>
      </c>
      <c r="E1404" s="44">
        <v>39</v>
      </c>
      <c r="F1404" s="45">
        <v>657</v>
      </c>
      <c r="G1404" s="44">
        <v>21</v>
      </c>
      <c r="H1404" s="45">
        <v>267</v>
      </c>
      <c r="I1404" s="45">
        <v>16.846153846153847</v>
      </c>
      <c r="J1404" s="45">
        <v>12.714285714285714</v>
      </c>
      <c r="K1404" s="46">
        <v>-0.24527071102413575</v>
      </c>
    </row>
    <row r="1405" spans="1:11" x14ac:dyDescent="0.2">
      <c r="A1405" s="38" t="s">
        <v>7</v>
      </c>
      <c r="B1405" s="38" t="s">
        <v>6028</v>
      </c>
      <c r="C1405" s="43" t="s">
        <v>6029</v>
      </c>
      <c r="D1405" s="38" t="s">
        <v>12658</v>
      </c>
      <c r="G1405" s="44">
        <v>15</v>
      </c>
      <c r="H1405" s="45">
        <v>465</v>
      </c>
      <c r="J1405" s="45">
        <v>31</v>
      </c>
    </row>
    <row r="1406" spans="1:11" x14ac:dyDescent="0.2">
      <c r="A1406" s="38" t="s">
        <v>7</v>
      </c>
      <c r="B1406" s="38" t="s">
        <v>6031</v>
      </c>
      <c r="C1406" s="43" t="s">
        <v>6032</v>
      </c>
      <c r="D1406" s="38" t="s">
        <v>12657</v>
      </c>
      <c r="G1406" s="44">
        <v>1</v>
      </c>
      <c r="H1406" s="45">
        <v>84</v>
      </c>
      <c r="J1406" s="45">
        <v>84</v>
      </c>
    </row>
    <row r="1407" spans="1:11" x14ac:dyDescent="0.2">
      <c r="A1407" s="38" t="s">
        <v>7</v>
      </c>
      <c r="B1407" s="38" t="s">
        <v>6034</v>
      </c>
      <c r="C1407" s="43" t="s">
        <v>6035</v>
      </c>
      <c r="D1407" s="38" t="s">
        <v>12657</v>
      </c>
      <c r="G1407" s="44">
        <v>1</v>
      </c>
      <c r="H1407" s="45">
        <v>71</v>
      </c>
      <c r="J1407" s="45">
        <v>71</v>
      </c>
    </row>
    <row r="1408" spans="1:11" x14ac:dyDescent="0.2">
      <c r="A1408" s="38" t="s">
        <v>7</v>
      </c>
      <c r="B1408" s="38" t="s">
        <v>6037</v>
      </c>
      <c r="C1408" s="43" t="s">
        <v>6038</v>
      </c>
      <c r="D1408" s="38" t="s">
        <v>12657</v>
      </c>
      <c r="E1408" s="44">
        <v>232</v>
      </c>
      <c r="F1408" s="45">
        <v>15084</v>
      </c>
      <c r="G1408" s="44">
        <v>268</v>
      </c>
      <c r="H1408" s="45">
        <v>14601</v>
      </c>
      <c r="I1408" s="45">
        <v>65.017241379310349</v>
      </c>
      <c r="J1408" s="45">
        <v>54.481343283582092</v>
      </c>
      <c r="K1408" s="46">
        <v>-0.16204775644450778</v>
      </c>
    </row>
    <row r="1409" spans="1:11" x14ac:dyDescent="0.2">
      <c r="A1409" s="38" t="s">
        <v>7</v>
      </c>
      <c r="B1409" s="38" t="s">
        <v>6040</v>
      </c>
      <c r="C1409" s="43" t="s">
        <v>6041</v>
      </c>
      <c r="D1409" s="38" t="s">
        <v>12657</v>
      </c>
      <c r="G1409" s="44">
        <v>80</v>
      </c>
      <c r="H1409" s="45">
        <v>2490</v>
      </c>
      <c r="J1409" s="45">
        <v>31.125</v>
      </c>
    </row>
    <row r="1410" spans="1:11" x14ac:dyDescent="0.2">
      <c r="A1410" s="38" t="s">
        <v>7</v>
      </c>
      <c r="B1410" s="38" t="s">
        <v>6046</v>
      </c>
      <c r="C1410" s="43" t="s">
        <v>6047</v>
      </c>
      <c r="D1410" s="38" t="s">
        <v>12657</v>
      </c>
      <c r="E1410" s="44">
        <v>87</v>
      </c>
      <c r="F1410" s="45">
        <v>7356</v>
      </c>
      <c r="G1410" s="44">
        <v>57</v>
      </c>
      <c r="H1410" s="45">
        <v>3085</v>
      </c>
      <c r="I1410" s="45">
        <v>84.551724137931032</v>
      </c>
      <c r="J1410" s="45">
        <v>54.122807017543863</v>
      </c>
      <c r="K1410" s="46">
        <v>-0.35988523511061499</v>
      </c>
    </row>
    <row r="1411" spans="1:11" x14ac:dyDescent="0.2">
      <c r="A1411" s="38" t="s">
        <v>7</v>
      </c>
      <c r="B1411" s="38" t="s">
        <v>6049</v>
      </c>
      <c r="C1411" s="43" t="s">
        <v>6050</v>
      </c>
      <c r="D1411" s="38" t="s">
        <v>12657</v>
      </c>
      <c r="E1411" s="44">
        <v>7</v>
      </c>
      <c r="F1411" s="45">
        <v>172</v>
      </c>
      <c r="G1411" s="44">
        <v>12</v>
      </c>
      <c r="H1411" s="45">
        <v>237</v>
      </c>
      <c r="I1411" s="45">
        <v>24.571428571428573</v>
      </c>
      <c r="J1411" s="45">
        <v>19.75</v>
      </c>
      <c r="K1411" s="46">
        <v>-0.19622093023255818</v>
      </c>
    </row>
    <row r="1412" spans="1:11" x14ac:dyDescent="0.2">
      <c r="A1412" s="38" t="s">
        <v>7</v>
      </c>
      <c r="B1412" s="38" t="s">
        <v>6052</v>
      </c>
      <c r="C1412" s="43" t="s">
        <v>6053</v>
      </c>
      <c r="D1412" s="38" t="s">
        <v>12657</v>
      </c>
      <c r="E1412" s="44">
        <v>217</v>
      </c>
      <c r="F1412" s="45">
        <v>9923.48</v>
      </c>
      <c r="G1412" s="44">
        <v>225</v>
      </c>
      <c r="H1412" s="45">
        <v>8551</v>
      </c>
      <c r="I1412" s="45">
        <v>45.730322580645158</v>
      </c>
      <c r="J1412" s="45">
        <v>38.004444444444445</v>
      </c>
      <c r="K1412" s="46">
        <v>-0.16894431747285779</v>
      </c>
    </row>
    <row r="1413" spans="1:11" x14ac:dyDescent="0.2">
      <c r="A1413" s="38" t="s">
        <v>7</v>
      </c>
      <c r="B1413" s="38" t="s">
        <v>6055</v>
      </c>
      <c r="C1413" s="43" t="s">
        <v>6056</v>
      </c>
      <c r="D1413" s="38" t="s">
        <v>12657</v>
      </c>
      <c r="E1413" s="44">
        <v>13</v>
      </c>
      <c r="F1413" s="45">
        <v>364</v>
      </c>
      <c r="G1413" s="44">
        <v>42</v>
      </c>
      <c r="H1413" s="45">
        <v>258</v>
      </c>
      <c r="I1413" s="45">
        <v>28</v>
      </c>
      <c r="J1413" s="45">
        <v>6.1428571428571432</v>
      </c>
      <c r="K1413" s="46">
        <v>-0.78061224489795922</v>
      </c>
    </row>
    <row r="1414" spans="1:11" x14ac:dyDescent="0.2">
      <c r="A1414" s="38" t="s">
        <v>7</v>
      </c>
      <c r="B1414" s="38" t="s">
        <v>6058</v>
      </c>
      <c r="C1414" s="43" t="s">
        <v>6059</v>
      </c>
      <c r="D1414" s="38" t="s">
        <v>12657</v>
      </c>
      <c r="G1414" s="44">
        <v>85</v>
      </c>
      <c r="H1414" s="45">
        <v>2389</v>
      </c>
      <c r="J1414" s="45">
        <v>28.105882352941176</v>
      </c>
    </row>
    <row r="1415" spans="1:11" x14ac:dyDescent="0.2">
      <c r="A1415" s="38" t="s">
        <v>7</v>
      </c>
      <c r="B1415" s="38" t="s">
        <v>6061</v>
      </c>
      <c r="C1415" s="43" t="s">
        <v>6062</v>
      </c>
      <c r="D1415" s="38" t="s">
        <v>12657</v>
      </c>
      <c r="G1415" s="44">
        <v>341</v>
      </c>
      <c r="H1415" s="45">
        <v>22723</v>
      </c>
      <c r="J1415" s="45">
        <v>66.63636363636364</v>
      </c>
    </row>
    <row r="1416" spans="1:11" x14ac:dyDescent="0.2">
      <c r="A1416" s="38" t="s">
        <v>7</v>
      </c>
      <c r="B1416" s="38" t="s">
        <v>6064</v>
      </c>
      <c r="C1416" s="43" t="s">
        <v>6065</v>
      </c>
      <c r="D1416" s="38" t="s">
        <v>12657</v>
      </c>
      <c r="E1416" s="44">
        <v>762</v>
      </c>
      <c r="F1416" s="45">
        <v>228063</v>
      </c>
      <c r="G1416" s="44">
        <v>994</v>
      </c>
      <c r="H1416" s="45">
        <v>269157</v>
      </c>
      <c r="I1416" s="45">
        <v>299.29527559055117</v>
      </c>
      <c r="J1416" s="45">
        <v>270.78169014084506</v>
      </c>
      <c r="K1416" s="46">
        <v>-9.526907965200869E-2</v>
      </c>
    </row>
    <row r="1417" spans="1:11" x14ac:dyDescent="0.2">
      <c r="A1417" s="38" t="s">
        <v>7</v>
      </c>
      <c r="B1417" s="38" t="s">
        <v>6067</v>
      </c>
      <c r="C1417" s="43" t="s">
        <v>6068</v>
      </c>
      <c r="D1417" s="38" t="s">
        <v>12657</v>
      </c>
      <c r="E1417" s="44">
        <v>285</v>
      </c>
      <c r="F1417" s="45">
        <v>21978</v>
      </c>
      <c r="G1417" s="44">
        <v>362</v>
      </c>
      <c r="H1417" s="45">
        <v>22236</v>
      </c>
      <c r="I1417" s="45">
        <v>77.115789473684217</v>
      </c>
      <c r="J1417" s="45">
        <v>61.425414364640886</v>
      </c>
      <c r="K1417" s="46">
        <v>-0.20346514269166205</v>
      </c>
    </row>
    <row r="1418" spans="1:11" x14ac:dyDescent="0.2">
      <c r="A1418" s="38" t="s">
        <v>7</v>
      </c>
      <c r="B1418" s="38" t="s">
        <v>6070</v>
      </c>
      <c r="C1418" s="43" t="s">
        <v>6071</v>
      </c>
      <c r="D1418" s="38" t="s">
        <v>12657</v>
      </c>
      <c r="G1418" s="44">
        <v>31</v>
      </c>
      <c r="H1418" s="45">
        <v>1293</v>
      </c>
      <c r="J1418" s="45">
        <v>41.70967741935484</v>
      </c>
    </row>
    <row r="1419" spans="1:11" x14ac:dyDescent="0.2">
      <c r="A1419" s="38" t="s">
        <v>7</v>
      </c>
      <c r="B1419" s="38" t="s">
        <v>6073</v>
      </c>
      <c r="C1419" s="43" t="s">
        <v>6074</v>
      </c>
      <c r="D1419" s="38" t="s">
        <v>12657</v>
      </c>
      <c r="E1419" s="44">
        <v>113</v>
      </c>
      <c r="F1419" s="45">
        <v>14080</v>
      </c>
      <c r="G1419" s="44">
        <v>254</v>
      </c>
      <c r="H1419" s="45">
        <v>29662</v>
      </c>
      <c r="I1419" s="45">
        <v>124.60176991150442</v>
      </c>
      <c r="J1419" s="45">
        <v>116.77952755905511</v>
      </c>
      <c r="K1419" s="46">
        <v>-6.2777939334287769E-2</v>
      </c>
    </row>
    <row r="1420" spans="1:11" x14ac:dyDescent="0.2">
      <c r="A1420" s="38" t="s">
        <v>7</v>
      </c>
      <c r="B1420" s="38" t="s">
        <v>6082</v>
      </c>
      <c r="C1420" s="43" t="s">
        <v>6083</v>
      </c>
      <c r="D1420" s="38" t="s">
        <v>12658</v>
      </c>
      <c r="E1420" s="44">
        <v>143</v>
      </c>
      <c r="F1420" s="45">
        <v>429</v>
      </c>
      <c r="G1420" s="44">
        <v>214</v>
      </c>
      <c r="H1420" s="45">
        <v>615</v>
      </c>
      <c r="I1420" s="45">
        <v>3</v>
      </c>
      <c r="J1420" s="45">
        <v>2.8738317757009346</v>
      </c>
      <c r="K1420" s="46">
        <v>-4.2056074766355124E-2</v>
      </c>
    </row>
    <row r="1421" spans="1:11" x14ac:dyDescent="0.2">
      <c r="A1421" s="38" t="s">
        <v>7</v>
      </c>
      <c r="B1421" s="38" t="s">
        <v>6085</v>
      </c>
      <c r="C1421" s="43" t="s">
        <v>6086</v>
      </c>
      <c r="D1421" s="38" t="s">
        <v>12657</v>
      </c>
      <c r="E1421" s="44">
        <v>264</v>
      </c>
      <c r="F1421" s="45">
        <v>9723</v>
      </c>
      <c r="G1421" s="44">
        <v>231</v>
      </c>
      <c r="H1421" s="45">
        <v>7698</v>
      </c>
      <c r="I1421" s="45">
        <v>36.829545454545453</v>
      </c>
      <c r="J1421" s="45">
        <v>33.324675324675326</v>
      </c>
      <c r="K1421" s="46">
        <v>-9.5164631727420929E-2</v>
      </c>
    </row>
    <row r="1422" spans="1:11" x14ac:dyDescent="0.2">
      <c r="A1422" s="38" t="s">
        <v>7</v>
      </c>
      <c r="B1422" s="38" t="s">
        <v>6088</v>
      </c>
      <c r="C1422" s="43" t="s">
        <v>6089</v>
      </c>
      <c r="D1422" s="38" t="s">
        <v>12657</v>
      </c>
      <c r="G1422" s="44">
        <v>244</v>
      </c>
      <c r="H1422" s="45">
        <v>4534</v>
      </c>
      <c r="J1422" s="45">
        <v>18.581967213114755</v>
      </c>
    </row>
    <row r="1423" spans="1:11" x14ac:dyDescent="0.2">
      <c r="A1423" s="38" t="s">
        <v>7</v>
      </c>
      <c r="B1423" s="38" t="s">
        <v>6091</v>
      </c>
      <c r="C1423" s="43" t="s">
        <v>6092</v>
      </c>
      <c r="D1423" s="38" t="s">
        <v>12657</v>
      </c>
      <c r="E1423" s="44">
        <v>126</v>
      </c>
      <c r="F1423" s="45">
        <v>4704</v>
      </c>
      <c r="G1423" s="44">
        <v>193</v>
      </c>
      <c r="H1423" s="45">
        <v>4448</v>
      </c>
      <c r="I1423" s="45">
        <v>37.333333333333336</v>
      </c>
      <c r="J1423" s="45">
        <v>23.046632124352332</v>
      </c>
      <c r="K1423" s="46">
        <v>-0.38267949666913403</v>
      </c>
    </row>
    <row r="1424" spans="1:11" x14ac:dyDescent="0.2">
      <c r="A1424" s="38" t="s">
        <v>7</v>
      </c>
      <c r="B1424" s="38" t="s">
        <v>6094</v>
      </c>
      <c r="C1424" s="43" t="s">
        <v>6095</v>
      </c>
      <c r="D1424" s="38" t="s">
        <v>12657</v>
      </c>
      <c r="E1424" s="44">
        <v>139</v>
      </c>
      <c r="F1424" s="45">
        <v>4056</v>
      </c>
      <c r="G1424" s="44">
        <v>184</v>
      </c>
      <c r="H1424" s="45">
        <v>4064</v>
      </c>
      <c r="I1424" s="45">
        <v>29.179856115107913</v>
      </c>
      <c r="J1424" s="45">
        <v>22.086956521739129</v>
      </c>
      <c r="K1424" s="46">
        <v>-0.24307520795815116</v>
      </c>
    </row>
    <row r="1425" spans="1:11" x14ac:dyDescent="0.2">
      <c r="A1425" s="38" t="s">
        <v>7</v>
      </c>
      <c r="B1425" s="38" t="s">
        <v>6097</v>
      </c>
      <c r="C1425" s="43" t="s">
        <v>6098</v>
      </c>
      <c r="D1425" s="38" t="s">
        <v>12657</v>
      </c>
      <c r="E1425" s="44">
        <v>2599</v>
      </c>
      <c r="F1425" s="45">
        <v>170033</v>
      </c>
      <c r="G1425" s="44">
        <v>3372</v>
      </c>
      <c r="H1425" s="45">
        <v>189756</v>
      </c>
      <c r="I1425" s="45">
        <v>65.422470180838786</v>
      </c>
      <c r="J1425" s="45">
        <v>56.27402135231317</v>
      </c>
      <c r="K1425" s="46">
        <v>-0.13983649353559649</v>
      </c>
    </row>
    <row r="1426" spans="1:11" x14ac:dyDescent="0.2">
      <c r="A1426" s="38" t="s">
        <v>7</v>
      </c>
      <c r="B1426" s="38" t="s">
        <v>6100</v>
      </c>
      <c r="C1426" s="43" t="s">
        <v>6101</v>
      </c>
      <c r="D1426" s="38" t="s">
        <v>12657</v>
      </c>
      <c r="E1426" s="44">
        <v>51</v>
      </c>
      <c r="F1426" s="45">
        <v>2241</v>
      </c>
      <c r="G1426" s="44">
        <v>161</v>
      </c>
      <c r="H1426" s="45">
        <v>5265</v>
      </c>
      <c r="I1426" s="45">
        <v>43.941176470588232</v>
      </c>
      <c r="J1426" s="45">
        <v>32.701863354037265</v>
      </c>
      <c r="K1426" s="46">
        <v>-0.2557808875252563</v>
      </c>
    </row>
    <row r="1427" spans="1:11" x14ac:dyDescent="0.2">
      <c r="A1427" s="38" t="s">
        <v>7</v>
      </c>
      <c r="B1427" s="38" t="s">
        <v>6103</v>
      </c>
      <c r="C1427" s="43" t="s">
        <v>6104</v>
      </c>
      <c r="D1427" s="38" t="s">
        <v>12657</v>
      </c>
      <c r="E1427" s="44">
        <v>168</v>
      </c>
      <c r="F1427" s="45">
        <v>4390</v>
      </c>
      <c r="G1427" s="44">
        <v>150</v>
      </c>
      <c r="H1427" s="45">
        <v>3659</v>
      </c>
      <c r="I1427" s="45">
        <v>26.13095238095238</v>
      </c>
      <c r="J1427" s="45">
        <v>24.393333333333334</v>
      </c>
      <c r="K1427" s="46">
        <v>-6.6496583143507884E-2</v>
      </c>
    </row>
    <row r="1428" spans="1:11" x14ac:dyDescent="0.2">
      <c r="A1428" s="38" t="s">
        <v>7</v>
      </c>
      <c r="B1428" s="38" t="s">
        <v>6112</v>
      </c>
      <c r="C1428" s="43" t="s">
        <v>6113</v>
      </c>
      <c r="D1428" s="38" t="s">
        <v>12657</v>
      </c>
      <c r="E1428" s="44">
        <v>22</v>
      </c>
      <c r="F1428" s="45">
        <v>1320</v>
      </c>
      <c r="G1428" s="44">
        <v>0</v>
      </c>
      <c r="H1428" s="45">
        <v>0</v>
      </c>
      <c r="I1428" s="45">
        <v>60</v>
      </c>
    </row>
    <row r="1429" spans="1:11" x14ac:dyDescent="0.2">
      <c r="A1429" s="38" t="s">
        <v>7</v>
      </c>
      <c r="B1429" s="38" t="s">
        <v>6115</v>
      </c>
      <c r="C1429" s="43" t="s">
        <v>6116</v>
      </c>
      <c r="D1429" s="38" t="s">
        <v>12657</v>
      </c>
      <c r="E1429" s="44">
        <v>72</v>
      </c>
      <c r="F1429" s="45">
        <v>3051</v>
      </c>
      <c r="G1429" s="44">
        <v>49</v>
      </c>
      <c r="H1429" s="45">
        <v>1867</v>
      </c>
      <c r="I1429" s="45">
        <v>42.375</v>
      </c>
      <c r="J1429" s="45">
        <v>38.102040816326529</v>
      </c>
      <c r="K1429" s="46">
        <v>-0.10083679489494918</v>
      </c>
    </row>
    <row r="1430" spans="1:11" x14ac:dyDescent="0.2">
      <c r="A1430" s="38" t="s">
        <v>7</v>
      </c>
      <c r="B1430" s="38" t="s">
        <v>6118</v>
      </c>
      <c r="C1430" s="43" t="s">
        <v>6119</v>
      </c>
      <c r="D1430" s="38" t="s">
        <v>12657</v>
      </c>
      <c r="E1430" s="44">
        <v>185</v>
      </c>
      <c r="F1430" s="45">
        <v>9690</v>
      </c>
      <c r="G1430" s="44">
        <v>112</v>
      </c>
      <c r="H1430" s="45">
        <v>4540</v>
      </c>
      <c r="I1430" s="45">
        <v>52.378378378378379</v>
      </c>
      <c r="J1430" s="45">
        <v>40.535714285714285</v>
      </c>
      <c r="K1430" s="46">
        <v>-0.22609833407047031</v>
      </c>
    </row>
    <row r="1431" spans="1:11" x14ac:dyDescent="0.2">
      <c r="A1431" s="38" t="s">
        <v>7</v>
      </c>
      <c r="B1431" s="38" t="s">
        <v>6121</v>
      </c>
      <c r="C1431" s="43" t="s">
        <v>6122</v>
      </c>
      <c r="D1431" s="38" t="s">
        <v>12657</v>
      </c>
      <c r="G1431" s="44">
        <v>1</v>
      </c>
      <c r="H1431" s="45">
        <v>38</v>
      </c>
      <c r="J1431" s="45">
        <v>38</v>
      </c>
    </row>
    <row r="1432" spans="1:11" x14ac:dyDescent="0.2">
      <c r="A1432" s="38" t="s">
        <v>7</v>
      </c>
      <c r="B1432" s="38" t="s">
        <v>6124</v>
      </c>
      <c r="C1432" s="43" t="s">
        <v>6125</v>
      </c>
      <c r="D1432" s="38" t="s">
        <v>12657</v>
      </c>
      <c r="E1432" s="44">
        <v>70</v>
      </c>
      <c r="F1432" s="45">
        <v>2246</v>
      </c>
      <c r="G1432" s="44">
        <v>75</v>
      </c>
      <c r="H1432" s="45">
        <v>1886</v>
      </c>
      <c r="I1432" s="45">
        <v>32.085714285714289</v>
      </c>
      <c r="J1432" s="45">
        <v>25.146666666666668</v>
      </c>
      <c r="K1432" s="46">
        <v>-0.21626595428910658</v>
      </c>
    </row>
    <row r="1433" spans="1:11" x14ac:dyDescent="0.2">
      <c r="A1433" s="38" t="s">
        <v>7</v>
      </c>
      <c r="B1433" s="38" t="s">
        <v>6127</v>
      </c>
      <c r="C1433" s="43" t="s">
        <v>6128</v>
      </c>
      <c r="D1433" s="38" t="s">
        <v>12657</v>
      </c>
      <c r="G1433" s="44">
        <v>3</v>
      </c>
      <c r="H1433" s="45">
        <v>606</v>
      </c>
      <c r="J1433" s="45">
        <v>202</v>
      </c>
    </row>
    <row r="1434" spans="1:11" x14ac:dyDescent="0.2">
      <c r="A1434" s="38" t="s">
        <v>7</v>
      </c>
      <c r="B1434" s="38" t="s">
        <v>6130</v>
      </c>
      <c r="C1434" s="43" t="s">
        <v>6131</v>
      </c>
      <c r="D1434" s="38" t="s">
        <v>12657</v>
      </c>
      <c r="E1434" s="44">
        <v>78</v>
      </c>
      <c r="F1434" s="45">
        <v>2826</v>
      </c>
      <c r="G1434" s="44">
        <v>85</v>
      </c>
      <c r="H1434" s="45">
        <v>2677</v>
      </c>
      <c r="I1434" s="45">
        <v>36.230769230769234</v>
      </c>
      <c r="J1434" s="45">
        <v>31.494117647058822</v>
      </c>
      <c r="K1434" s="46">
        <v>-0.13073560634444872</v>
      </c>
    </row>
    <row r="1435" spans="1:11" x14ac:dyDescent="0.2">
      <c r="A1435" s="38" t="s">
        <v>7</v>
      </c>
      <c r="B1435" s="38" t="s">
        <v>6133</v>
      </c>
      <c r="C1435" s="43" t="s">
        <v>6134</v>
      </c>
      <c r="D1435" s="38" t="s">
        <v>12657</v>
      </c>
      <c r="E1435" s="44">
        <v>14</v>
      </c>
      <c r="F1435" s="45">
        <v>800</v>
      </c>
      <c r="G1435" s="44">
        <v>43</v>
      </c>
      <c r="H1435" s="45">
        <v>2058</v>
      </c>
      <c r="I1435" s="45">
        <v>57.142857142857146</v>
      </c>
      <c r="J1435" s="45">
        <v>47.860465116279073</v>
      </c>
      <c r="K1435" s="46">
        <v>-0.16244186046511627</v>
      </c>
    </row>
    <row r="1436" spans="1:11" x14ac:dyDescent="0.2">
      <c r="A1436" s="38" t="s">
        <v>7</v>
      </c>
      <c r="B1436" s="38" t="s">
        <v>6136</v>
      </c>
      <c r="C1436" s="43" t="s">
        <v>6137</v>
      </c>
      <c r="D1436" s="38" t="s">
        <v>12657</v>
      </c>
      <c r="G1436" s="44">
        <v>18</v>
      </c>
      <c r="H1436" s="45">
        <v>1872</v>
      </c>
      <c r="J1436" s="45">
        <v>104</v>
      </c>
    </row>
    <row r="1437" spans="1:11" x14ac:dyDescent="0.2">
      <c r="A1437" s="38" t="s">
        <v>7</v>
      </c>
      <c r="B1437" s="38" t="s">
        <v>6139</v>
      </c>
      <c r="C1437" s="43" t="s">
        <v>6140</v>
      </c>
      <c r="D1437" s="38" t="s">
        <v>12657</v>
      </c>
      <c r="G1437" s="44">
        <v>34</v>
      </c>
      <c r="H1437" s="45">
        <v>276</v>
      </c>
      <c r="J1437" s="45">
        <v>8.117647058823529</v>
      </c>
    </row>
    <row r="1438" spans="1:11" x14ac:dyDescent="0.2">
      <c r="A1438" s="38" t="s">
        <v>7</v>
      </c>
      <c r="B1438" s="38" t="s">
        <v>6142</v>
      </c>
      <c r="C1438" s="43" t="s">
        <v>6143</v>
      </c>
      <c r="D1438" s="38" t="s">
        <v>12657</v>
      </c>
      <c r="E1438" s="44">
        <v>96</v>
      </c>
      <c r="F1438" s="45">
        <v>3090</v>
      </c>
      <c r="G1438" s="44">
        <v>106</v>
      </c>
      <c r="H1438" s="45">
        <v>3064</v>
      </c>
      <c r="I1438" s="45">
        <v>32.1875</v>
      </c>
      <c r="J1438" s="45">
        <v>28.90566037735849</v>
      </c>
      <c r="K1438" s="46">
        <v>-0.10196006594614399</v>
      </c>
    </row>
    <row r="1439" spans="1:11" x14ac:dyDescent="0.2">
      <c r="A1439" s="38" t="s">
        <v>7</v>
      </c>
      <c r="B1439" s="38" t="s">
        <v>6145</v>
      </c>
      <c r="C1439" s="43" t="s">
        <v>6146</v>
      </c>
      <c r="D1439" s="38" t="s">
        <v>12657</v>
      </c>
      <c r="E1439" s="44">
        <v>2917</v>
      </c>
      <c r="F1439" s="45">
        <v>181673</v>
      </c>
      <c r="G1439" s="44">
        <v>3457</v>
      </c>
      <c r="H1439" s="45">
        <v>178365</v>
      </c>
      <c r="I1439" s="45">
        <v>62.280767912238602</v>
      </c>
      <c r="J1439" s="45">
        <v>51.595313855944461</v>
      </c>
      <c r="K1439" s="46">
        <v>-0.17156908006258503</v>
      </c>
    </row>
    <row r="1440" spans="1:11" x14ac:dyDescent="0.2">
      <c r="A1440" s="38" t="s">
        <v>7</v>
      </c>
      <c r="B1440" s="38" t="s">
        <v>6151</v>
      </c>
      <c r="C1440" s="43" t="s">
        <v>6152</v>
      </c>
      <c r="D1440" s="38" t="s">
        <v>12657</v>
      </c>
      <c r="E1440" s="44">
        <v>1711</v>
      </c>
      <c r="F1440" s="45">
        <v>88707</v>
      </c>
      <c r="G1440" s="44">
        <v>2358</v>
      </c>
      <c r="H1440" s="45">
        <v>102140</v>
      </c>
      <c r="I1440" s="45">
        <v>51.845119812974872</v>
      </c>
      <c r="J1440" s="45">
        <v>43.316369804919425</v>
      </c>
      <c r="K1440" s="46">
        <v>-0.16450439383343893</v>
      </c>
    </row>
    <row r="1441" spans="1:11" x14ac:dyDescent="0.2">
      <c r="A1441" s="38" t="s">
        <v>7</v>
      </c>
      <c r="B1441" s="38" t="s">
        <v>6154</v>
      </c>
      <c r="C1441" s="43" t="s">
        <v>6155</v>
      </c>
      <c r="D1441" s="38" t="s">
        <v>12657</v>
      </c>
      <c r="E1441" s="44">
        <v>269</v>
      </c>
      <c r="F1441" s="45">
        <v>6862</v>
      </c>
      <c r="G1441" s="44">
        <v>178</v>
      </c>
      <c r="H1441" s="45">
        <v>4053</v>
      </c>
      <c r="I1441" s="45">
        <v>25.509293680297397</v>
      </c>
      <c r="J1441" s="45">
        <v>22.769662921348313</v>
      </c>
      <c r="K1441" s="46">
        <v>-0.10739735851898913</v>
      </c>
    </row>
    <row r="1442" spans="1:11" x14ac:dyDescent="0.2">
      <c r="A1442" s="38" t="s">
        <v>7</v>
      </c>
      <c r="B1442" s="38" t="s">
        <v>6160</v>
      </c>
      <c r="C1442" s="43" t="s">
        <v>6161</v>
      </c>
      <c r="D1442" s="38" t="s">
        <v>12657</v>
      </c>
      <c r="E1442" s="44">
        <v>58</v>
      </c>
      <c r="F1442" s="45">
        <v>1474</v>
      </c>
      <c r="G1442" s="44">
        <v>83</v>
      </c>
      <c r="H1442" s="45">
        <v>1783</v>
      </c>
      <c r="I1442" s="45">
        <v>25.413793103448278</v>
      </c>
      <c r="J1442" s="45">
        <v>21.481927710843372</v>
      </c>
      <c r="K1442" s="46">
        <v>-0.15471383498716723</v>
      </c>
    </row>
    <row r="1443" spans="1:11" x14ac:dyDescent="0.2">
      <c r="A1443" s="38" t="s">
        <v>7</v>
      </c>
      <c r="B1443" s="38" t="s">
        <v>6169</v>
      </c>
      <c r="C1443" s="43" t="s">
        <v>6170</v>
      </c>
      <c r="D1443" s="38" t="s">
        <v>12657</v>
      </c>
      <c r="E1443" s="44">
        <v>36</v>
      </c>
      <c r="F1443" s="45">
        <v>1272</v>
      </c>
      <c r="G1443" s="44">
        <v>35</v>
      </c>
      <c r="H1443" s="45">
        <v>1085</v>
      </c>
      <c r="I1443" s="45">
        <v>35.333333333333336</v>
      </c>
      <c r="J1443" s="45">
        <v>31</v>
      </c>
      <c r="K1443" s="46">
        <v>-0.12264150943396232</v>
      </c>
    </row>
    <row r="1444" spans="1:11" x14ac:dyDescent="0.2">
      <c r="A1444" s="38" t="s">
        <v>7</v>
      </c>
      <c r="B1444" s="38" t="s">
        <v>6171</v>
      </c>
      <c r="C1444" s="43" t="s">
        <v>6172</v>
      </c>
      <c r="D1444" s="38" t="s">
        <v>12665</v>
      </c>
      <c r="E1444" s="44">
        <v>26128</v>
      </c>
      <c r="F1444" s="45">
        <v>202197</v>
      </c>
      <c r="G1444" s="44">
        <v>31186</v>
      </c>
      <c r="H1444" s="45">
        <v>213403</v>
      </c>
      <c r="I1444" s="45">
        <v>7.7387094304960193</v>
      </c>
      <c r="J1444" s="45">
        <v>6.8429102802539603</v>
      </c>
      <c r="K1444" s="46">
        <v>-0.11575562544214069</v>
      </c>
    </row>
    <row r="1445" spans="1:11" x14ac:dyDescent="0.2">
      <c r="A1445" s="38" t="s">
        <v>7</v>
      </c>
      <c r="B1445" s="38" t="s">
        <v>6174</v>
      </c>
      <c r="C1445" s="43" t="s">
        <v>6175</v>
      </c>
      <c r="D1445" s="38" t="s">
        <v>12657</v>
      </c>
      <c r="E1445" s="44">
        <v>317</v>
      </c>
      <c r="F1445" s="45">
        <v>8211</v>
      </c>
      <c r="G1445" s="44">
        <v>151</v>
      </c>
      <c r="H1445" s="45">
        <v>3037</v>
      </c>
      <c r="I1445" s="45">
        <v>25.902208201892744</v>
      </c>
      <c r="J1445" s="45">
        <v>20.112582781456954</v>
      </c>
      <c r="K1445" s="46">
        <v>-0.22351860410158877</v>
      </c>
    </row>
    <row r="1446" spans="1:11" x14ac:dyDescent="0.2">
      <c r="A1446" s="38" t="s">
        <v>7</v>
      </c>
      <c r="B1446" s="38" t="s">
        <v>6177</v>
      </c>
      <c r="C1446" s="43" t="s">
        <v>6178</v>
      </c>
      <c r="D1446" s="38" t="s">
        <v>12657</v>
      </c>
      <c r="E1446" s="44">
        <v>373</v>
      </c>
      <c r="F1446" s="45">
        <v>9566</v>
      </c>
      <c r="G1446" s="44">
        <v>462</v>
      </c>
      <c r="H1446" s="45">
        <v>8512</v>
      </c>
      <c r="I1446" s="45">
        <v>25.646112600536192</v>
      </c>
      <c r="J1446" s="45">
        <v>18.424242424242426</v>
      </c>
      <c r="K1446" s="46">
        <v>-0.28159707043252924</v>
      </c>
    </row>
    <row r="1447" spans="1:11" x14ac:dyDescent="0.2">
      <c r="A1447" s="38" t="s">
        <v>7</v>
      </c>
      <c r="B1447" s="38" t="s">
        <v>6180</v>
      </c>
      <c r="C1447" s="43" t="s">
        <v>6181</v>
      </c>
      <c r="D1447" s="38" t="s">
        <v>12657</v>
      </c>
      <c r="E1447" s="44">
        <v>198</v>
      </c>
      <c r="F1447" s="45">
        <v>7098</v>
      </c>
      <c r="G1447" s="44">
        <v>436</v>
      </c>
      <c r="H1447" s="45">
        <v>14152</v>
      </c>
      <c r="I1447" s="45">
        <v>35.848484848484851</v>
      </c>
      <c r="J1447" s="45">
        <v>32.458715596330272</v>
      </c>
      <c r="K1447" s="46">
        <v>-9.4558229350043196E-2</v>
      </c>
    </row>
    <row r="1448" spans="1:11" x14ac:dyDescent="0.2">
      <c r="A1448" s="38" t="s">
        <v>7</v>
      </c>
      <c r="B1448" s="38" t="s">
        <v>6183</v>
      </c>
      <c r="C1448" s="43" t="s">
        <v>6184</v>
      </c>
      <c r="D1448" s="38" t="s">
        <v>12657</v>
      </c>
      <c r="G1448" s="44">
        <v>142</v>
      </c>
      <c r="H1448" s="45">
        <v>4302</v>
      </c>
      <c r="J1448" s="45">
        <v>30.295774647887324</v>
      </c>
    </row>
    <row r="1449" spans="1:11" x14ac:dyDescent="0.2">
      <c r="A1449" s="38" t="s">
        <v>7</v>
      </c>
      <c r="B1449" s="38" t="s">
        <v>6186</v>
      </c>
      <c r="C1449" s="43" t="s">
        <v>6187</v>
      </c>
      <c r="D1449" s="38" t="s">
        <v>12657</v>
      </c>
      <c r="E1449" s="44">
        <v>13</v>
      </c>
      <c r="F1449" s="45">
        <v>47.71</v>
      </c>
      <c r="G1449" s="44">
        <v>26</v>
      </c>
      <c r="H1449" s="45">
        <v>100.08</v>
      </c>
      <c r="I1449" s="45">
        <v>3.67</v>
      </c>
      <c r="J1449" s="45">
        <v>3.8492307692307692</v>
      </c>
      <c r="K1449" s="46">
        <v>4.883672186124504E-2</v>
      </c>
    </row>
    <row r="1450" spans="1:11" x14ac:dyDescent="0.2">
      <c r="A1450" s="38" t="s">
        <v>7</v>
      </c>
      <c r="B1450" s="38" t="s">
        <v>6189</v>
      </c>
      <c r="C1450" s="43" t="s">
        <v>6190</v>
      </c>
      <c r="D1450" s="38" t="s">
        <v>12657</v>
      </c>
      <c r="E1450" s="44">
        <v>24</v>
      </c>
      <c r="F1450" s="45">
        <v>1008</v>
      </c>
      <c r="G1450" s="44">
        <v>38</v>
      </c>
      <c r="H1450" s="45">
        <v>1596</v>
      </c>
      <c r="I1450" s="45">
        <v>42</v>
      </c>
      <c r="J1450" s="45">
        <v>42</v>
      </c>
      <c r="K1450" s="46">
        <v>0</v>
      </c>
    </row>
    <row r="1451" spans="1:11" x14ac:dyDescent="0.2">
      <c r="A1451" s="38" t="s">
        <v>7</v>
      </c>
      <c r="B1451" s="38" t="s">
        <v>6195</v>
      </c>
      <c r="C1451" s="43" t="s">
        <v>6196</v>
      </c>
      <c r="D1451" s="38" t="s">
        <v>12657</v>
      </c>
      <c r="E1451" s="44">
        <v>5</v>
      </c>
      <c r="F1451" s="45">
        <v>210</v>
      </c>
      <c r="G1451" s="44">
        <v>6</v>
      </c>
      <c r="H1451" s="45">
        <v>252</v>
      </c>
      <c r="I1451" s="45">
        <v>42</v>
      </c>
      <c r="J1451" s="45">
        <v>42</v>
      </c>
      <c r="K1451" s="46">
        <v>0</v>
      </c>
    </row>
    <row r="1452" spans="1:11" x14ac:dyDescent="0.2">
      <c r="A1452" s="38" t="s">
        <v>7</v>
      </c>
      <c r="B1452" s="38" t="s">
        <v>6198</v>
      </c>
      <c r="C1452" s="43" t="s">
        <v>6199</v>
      </c>
      <c r="D1452" s="38" t="s">
        <v>12657</v>
      </c>
      <c r="G1452" s="44">
        <v>52</v>
      </c>
      <c r="H1452" s="45">
        <v>1688</v>
      </c>
      <c r="J1452" s="45">
        <v>32.46153846153846</v>
      </c>
    </row>
    <row r="1453" spans="1:11" x14ac:dyDescent="0.2">
      <c r="A1453" s="38" t="s">
        <v>7</v>
      </c>
      <c r="B1453" s="38" t="s">
        <v>6201</v>
      </c>
      <c r="C1453" s="43" t="s">
        <v>6202</v>
      </c>
      <c r="D1453" s="38" t="s">
        <v>12657</v>
      </c>
      <c r="E1453" s="44">
        <v>61</v>
      </c>
      <c r="F1453" s="45">
        <v>1985</v>
      </c>
      <c r="G1453" s="44">
        <v>56</v>
      </c>
      <c r="H1453" s="45">
        <v>1321</v>
      </c>
      <c r="I1453" s="45">
        <v>32.540983606557376</v>
      </c>
      <c r="J1453" s="45">
        <v>23.589285714285715</v>
      </c>
      <c r="K1453" s="46">
        <v>-0.27508996041741629</v>
      </c>
    </row>
    <row r="1454" spans="1:11" x14ac:dyDescent="0.2">
      <c r="A1454" s="38" t="s">
        <v>7</v>
      </c>
      <c r="B1454" s="38" t="s">
        <v>6204</v>
      </c>
      <c r="C1454" s="43" t="s">
        <v>6205</v>
      </c>
      <c r="D1454" s="38" t="s">
        <v>12657</v>
      </c>
      <c r="E1454" s="44">
        <v>167</v>
      </c>
      <c r="F1454" s="45">
        <v>5429</v>
      </c>
      <c r="G1454" s="44">
        <v>202</v>
      </c>
      <c r="H1454" s="45">
        <v>5066</v>
      </c>
      <c r="I1454" s="45">
        <v>32.508982035928142</v>
      </c>
      <c r="J1454" s="45">
        <v>25.079207920792079</v>
      </c>
      <c r="K1454" s="46">
        <v>-0.22854527117843479</v>
      </c>
    </row>
    <row r="1455" spans="1:11" x14ac:dyDescent="0.2">
      <c r="A1455" s="38" t="s">
        <v>7</v>
      </c>
      <c r="B1455" s="38" t="s">
        <v>6207</v>
      </c>
      <c r="C1455" s="43" t="s">
        <v>6208</v>
      </c>
      <c r="D1455" s="38" t="s">
        <v>12657</v>
      </c>
      <c r="G1455" s="44">
        <v>1</v>
      </c>
      <c r="H1455" s="45">
        <v>46</v>
      </c>
      <c r="J1455" s="45">
        <v>46</v>
      </c>
    </row>
    <row r="1456" spans="1:11" x14ac:dyDescent="0.2">
      <c r="A1456" s="38" t="s">
        <v>7</v>
      </c>
      <c r="B1456" s="38" t="s">
        <v>6210</v>
      </c>
      <c r="C1456" s="43" t="s">
        <v>6211</v>
      </c>
      <c r="D1456" s="38" t="s">
        <v>12657</v>
      </c>
      <c r="E1456" s="44">
        <v>3</v>
      </c>
      <c r="F1456" s="45">
        <v>15.3</v>
      </c>
      <c r="G1456" s="44">
        <v>2</v>
      </c>
      <c r="H1456" s="45">
        <v>10.199999999999999</v>
      </c>
      <c r="I1456" s="45">
        <v>5.1000000000000005</v>
      </c>
      <c r="J1456" s="45">
        <v>5.0999999999999996</v>
      </c>
      <c r="K1456" s="46">
        <v>-1.7415263131375002E-16</v>
      </c>
    </row>
    <row r="1457" spans="1:11" x14ac:dyDescent="0.2">
      <c r="A1457" s="38" t="s">
        <v>7</v>
      </c>
      <c r="B1457" s="38" t="s">
        <v>6213</v>
      </c>
      <c r="C1457" s="43" t="s">
        <v>6214</v>
      </c>
      <c r="D1457" s="38" t="s">
        <v>12657</v>
      </c>
      <c r="E1457" s="44">
        <v>6</v>
      </c>
      <c r="F1457" s="45">
        <v>354</v>
      </c>
      <c r="G1457" s="44">
        <v>5</v>
      </c>
      <c r="H1457" s="45">
        <v>295</v>
      </c>
      <c r="I1457" s="45">
        <v>59</v>
      </c>
      <c r="J1457" s="45">
        <v>59</v>
      </c>
      <c r="K1457" s="46">
        <v>0</v>
      </c>
    </row>
    <row r="1458" spans="1:11" x14ac:dyDescent="0.2">
      <c r="A1458" s="38" t="s">
        <v>7</v>
      </c>
      <c r="B1458" s="38" t="s">
        <v>6216</v>
      </c>
      <c r="C1458" s="43" t="s">
        <v>6217</v>
      </c>
      <c r="D1458" s="38" t="s">
        <v>12657</v>
      </c>
      <c r="E1458" s="44">
        <v>48</v>
      </c>
      <c r="F1458" s="45">
        <v>1950</v>
      </c>
      <c r="G1458" s="44">
        <v>9</v>
      </c>
      <c r="H1458" s="45">
        <v>387</v>
      </c>
      <c r="I1458" s="45">
        <v>40.625</v>
      </c>
      <c r="J1458" s="45">
        <v>43</v>
      </c>
      <c r="K1458" s="46">
        <v>5.8461538461538461E-2</v>
      </c>
    </row>
    <row r="1459" spans="1:11" x14ac:dyDescent="0.2">
      <c r="A1459" s="38" t="s">
        <v>7</v>
      </c>
      <c r="B1459" s="38" t="s">
        <v>6222</v>
      </c>
      <c r="C1459" s="43" t="s">
        <v>6223</v>
      </c>
      <c r="D1459" s="38" t="s">
        <v>12658</v>
      </c>
      <c r="E1459" s="44">
        <v>10</v>
      </c>
      <c r="F1459" s="45">
        <v>322</v>
      </c>
      <c r="G1459" s="44">
        <v>3</v>
      </c>
      <c r="H1459" s="45">
        <v>99</v>
      </c>
      <c r="I1459" s="45">
        <v>32.200000000000003</v>
      </c>
      <c r="J1459" s="45">
        <v>33</v>
      </c>
      <c r="K1459" s="46">
        <v>2.4844720496894318E-2</v>
      </c>
    </row>
    <row r="1460" spans="1:11" x14ac:dyDescent="0.2">
      <c r="A1460" s="38" t="s">
        <v>7</v>
      </c>
      <c r="B1460" s="38" t="s">
        <v>6228</v>
      </c>
      <c r="C1460" s="43" t="s">
        <v>6229</v>
      </c>
      <c r="D1460" s="38" t="s">
        <v>12657</v>
      </c>
      <c r="E1460" s="44">
        <v>42</v>
      </c>
      <c r="F1460" s="45">
        <v>1386</v>
      </c>
      <c r="G1460" s="44">
        <v>38</v>
      </c>
      <c r="H1460" s="45">
        <v>1254</v>
      </c>
      <c r="I1460" s="45">
        <v>33</v>
      </c>
      <c r="J1460" s="45">
        <v>33</v>
      </c>
      <c r="K1460" s="46">
        <v>0</v>
      </c>
    </row>
    <row r="1461" spans="1:11" x14ac:dyDescent="0.2">
      <c r="A1461" s="38" t="s">
        <v>7</v>
      </c>
      <c r="B1461" s="38" t="s">
        <v>6231</v>
      </c>
      <c r="C1461" s="43" t="s">
        <v>6232</v>
      </c>
      <c r="D1461" s="38" t="s">
        <v>12658</v>
      </c>
      <c r="G1461" s="44">
        <v>49</v>
      </c>
      <c r="H1461" s="45">
        <v>1183</v>
      </c>
      <c r="J1461" s="45">
        <v>24.142857142857142</v>
      </c>
    </row>
    <row r="1462" spans="1:11" x14ac:dyDescent="0.2">
      <c r="A1462" s="38" t="s">
        <v>7</v>
      </c>
      <c r="B1462" s="38" t="s">
        <v>6237</v>
      </c>
      <c r="C1462" s="43" t="s">
        <v>6238</v>
      </c>
      <c r="D1462" s="38" t="s">
        <v>12657</v>
      </c>
      <c r="E1462" s="44">
        <v>1100</v>
      </c>
      <c r="F1462" s="45">
        <v>18323</v>
      </c>
      <c r="G1462" s="44">
        <v>1697</v>
      </c>
      <c r="H1462" s="45">
        <v>23649</v>
      </c>
      <c r="I1462" s="45">
        <v>16.657272727272726</v>
      </c>
      <c r="J1462" s="45">
        <v>13.935769004124927</v>
      </c>
      <c r="K1462" s="46">
        <v>-0.1633823116008612</v>
      </c>
    </row>
    <row r="1463" spans="1:11" x14ac:dyDescent="0.2">
      <c r="A1463" s="38" t="s">
        <v>7</v>
      </c>
      <c r="B1463" s="38" t="s">
        <v>6240</v>
      </c>
      <c r="C1463" s="43" t="s">
        <v>6241</v>
      </c>
      <c r="D1463" s="38" t="s">
        <v>12657</v>
      </c>
      <c r="E1463" s="44">
        <v>291</v>
      </c>
      <c r="F1463" s="45">
        <v>8281</v>
      </c>
      <c r="G1463" s="44">
        <v>1554</v>
      </c>
      <c r="H1463" s="45">
        <v>31485</v>
      </c>
      <c r="I1463" s="45">
        <v>28.457044673539517</v>
      </c>
      <c r="J1463" s="45">
        <v>20.260617760617759</v>
      </c>
      <c r="K1463" s="46">
        <v>-0.28802804391501413</v>
      </c>
    </row>
    <row r="1464" spans="1:11" x14ac:dyDescent="0.2">
      <c r="A1464" s="38" t="s">
        <v>7</v>
      </c>
      <c r="B1464" s="38" t="s">
        <v>6246</v>
      </c>
      <c r="C1464" s="43" t="s">
        <v>6247</v>
      </c>
      <c r="D1464" s="38" t="s">
        <v>12657</v>
      </c>
      <c r="E1464" s="44">
        <v>19</v>
      </c>
      <c r="F1464" s="45">
        <v>713.18</v>
      </c>
      <c r="G1464" s="44">
        <v>68</v>
      </c>
      <c r="H1464" s="45">
        <v>2584</v>
      </c>
      <c r="I1464" s="45">
        <v>37.535789473684211</v>
      </c>
      <c r="J1464" s="45">
        <v>38</v>
      </c>
      <c r="K1464" s="46">
        <v>1.236714433943743E-2</v>
      </c>
    </row>
    <row r="1465" spans="1:11" x14ac:dyDescent="0.2">
      <c r="A1465" s="38" t="s">
        <v>7</v>
      </c>
      <c r="B1465" s="38" t="s">
        <v>6255</v>
      </c>
      <c r="C1465" s="43" t="s">
        <v>6256</v>
      </c>
      <c r="D1465" s="38" t="s">
        <v>12657</v>
      </c>
      <c r="G1465" s="44">
        <v>9</v>
      </c>
      <c r="H1465" s="45">
        <v>342</v>
      </c>
      <c r="J1465" s="45">
        <v>38</v>
      </c>
    </row>
    <row r="1466" spans="1:11" x14ac:dyDescent="0.2">
      <c r="A1466" s="38" t="s">
        <v>7</v>
      </c>
      <c r="B1466" s="38" t="s">
        <v>6258</v>
      </c>
      <c r="C1466" s="43" t="s">
        <v>6259</v>
      </c>
      <c r="D1466" s="38" t="s">
        <v>12657</v>
      </c>
      <c r="G1466" s="44">
        <v>14</v>
      </c>
      <c r="H1466" s="45">
        <v>462</v>
      </c>
      <c r="J1466" s="45">
        <v>33</v>
      </c>
    </row>
    <row r="1467" spans="1:11" x14ac:dyDescent="0.2">
      <c r="A1467" s="38" t="s">
        <v>7</v>
      </c>
      <c r="B1467" s="38" t="s">
        <v>6261</v>
      </c>
      <c r="C1467" s="43" t="s">
        <v>6262</v>
      </c>
      <c r="D1467" s="38" t="s">
        <v>12657</v>
      </c>
      <c r="G1467" s="44">
        <v>2</v>
      </c>
      <c r="H1467" s="45">
        <v>66</v>
      </c>
      <c r="J1467" s="45">
        <v>33</v>
      </c>
    </row>
    <row r="1468" spans="1:11" x14ac:dyDescent="0.2">
      <c r="A1468" s="38" t="s">
        <v>7</v>
      </c>
      <c r="B1468" s="38" t="s">
        <v>6264</v>
      </c>
      <c r="C1468" s="43" t="s">
        <v>6265</v>
      </c>
      <c r="D1468" s="38" t="s">
        <v>12657</v>
      </c>
      <c r="G1468" s="44">
        <v>2</v>
      </c>
      <c r="H1468" s="45">
        <v>226</v>
      </c>
      <c r="J1468" s="45">
        <v>113</v>
      </c>
    </row>
    <row r="1469" spans="1:11" x14ac:dyDescent="0.2">
      <c r="A1469" s="38" t="s">
        <v>7</v>
      </c>
      <c r="B1469" s="38" t="s">
        <v>6273</v>
      </c>
      <c r="C1469" s="43" t="s">
        <v>6274</v>
      </c>
      <c r="D1469" s="38" t="s">
        <v>12657</v>
      </c>
      <c r="E1469" s="44">
        <v>38</v>
      </c>
      <c r="F1469" s="45">
        <v>878</v>
      </c>
      <c r="G1469" s="44">
        <v>97</v>
      </c>
      <c r="H1469" s="45">
        <v>2020</v>
      </c>
      <c r="I1469" s="45">
        <v>23.105263157894736</v>
      </c>
      <c r="J1469" s="45">
        <v>20.824742268041238</v>
      </c>
      <c r="K1469" s="46">
        <v>-9.8701359697531826E-2</v>
      </c>
    </row>
    <row r="1470" spans="1:11" x14ac:dyDescent="0.2">
      <c r="A1470" s="38" t="s">
        <v>7</v>
      </c>
      <c r="B1470" s="38" t="s">
        <v>6276</v>
      </c>
      <c r="C1470" s="43" t="s">
        <v>6277</v>
      </c>
      <c r="D1470" s="38" t="s">
        <v>12657</v>
      </c>
      <c r="G1470" s="44">
        <v>22</v>
      </c>
      <c r="H1470" s="45">
        <v>396</v>
      </c>
      <c r="J1470" s="45">
        <v>18</v>
      </c>
    </row>
    <row r="1471" spans="1:11" x14ac:dyDescent="0.2">
      <c r="A1471" s="38" t="s">
        <v>7</v>
      </c>
      <c r="B1471" s="38" t="s">
        <v>6279</v>
      </c>
      <c r="C1471" s="43" t="s">
        <v>6280</v>
      </c>
      <c r="D1471" s="38" t="s">
        <v>12657</v>
      </c>
      <c r="G1471" s="44">
        <v>13</v>
      </c>
      <c r="H1471" s="45">
        <v>675.8</v>
      </c>
      <c r="J1471" s="45">
        <v>51.984615384615381</v>
      </c>
    </row>
    <row r="1472" spans="1:11" x14ac:dyDescent="0.2">
      <c r="A1472" s="38" t="s">
        <v>7</v>
      </c>
      <c r="B1472" s="38" t="s">
        <v>6282</v>
      </c>
      <c r="C1472" s="43" t="s">
        <v>6283</v>
      </c>
      <c r="D1472" s="38" t="s">
        <v>12657</v>
      </c>
      <c r="E1472" s="44">
        <v>242</v>
      </c>
      <c r="F1472" s="45">
        <v>7947.5</v>
      </c>
      <c r="G1472" s="44">
        <v>412</v>
      </c>
      <c r="H1472" s="45">
        <v>19343</v>
      </c>
      <c r="I1472" s="45">
        <v>32.840909090909093</v>
      </c>
      <c r="J1472" s="45">
        <v>46.949029126213595</v>
      </c>
      <c r="K1472" s="46">
        <v>0.42958981422380488</v>
      </c>
    </row>
    <row r="1473" spans="1:11" x14ac:dyDescent="0.2">
      <c r="A1473" s="38" t="s">
        <v>7</v>
      </c>
      <c r="B1473" s="38" t="s">
        <v>6285</v>
      </c>
      <c r="C1473" s="43" t="s">
        <v>6286</v>
      </c>
      <c r="D1473" s="38" t="s">
        <v>12657</v>
      </c>
      <c r="E1473" s="44">
        <v>52</v>
      </c>
      <c r="F1473" s="45">
        <v>6112</v>
      </c>
      <c r="G1473" s="44">
        <v>139</v>
      </c>
      <c r="H1473" s="45">
        <v>18659</v>
      </c>
      <c r="I1473" s="45">
        <v>117.53846153846153</v>
      </c>
      <c r="J1473" s="45">
        <v>134.23741007194243</v>
      </c>
      <c r="K1473" s="46">
        <v>0.14207220610945795</v>
      </c>
    </row>
    <row r="1474" spans="1:11" x14ac:dyDescent="0.2">
      <c r="A1474" s="38" t="s">
        <v>7</v>
      </c>
      <c r="B1474" s="38" t="s">
        <v>6288</v>
      </c>
      <c r="C1474" s="43" t="s">
        <v>6289</v>
      </c>
      <c r="D1474" s="38" t="s">
        <v>12657</v>
      </c>
      <c r="E1474" s="44">
        <v>70</v>
      </c>
      <c r="F1474" s="45">
        <v>3642</v>
      </c>
      <c r="G1474" s="44">
        <v>103</v>
      </c>
      <c r="H1474" s="45">
        <v>6458</v>
      </c>
      <c r="I1474" s="45">
        <v>52.028571428571432</v>
      </c>
      <c r="J1474" s="45">
        <v>62.699029126213595</v>
      </c>
      <c r="K1474" s="46">
        <v>0.20508842362299598</v>
      </c>
    </row>
    <row r="1475" spans="1:11" x14ac:dyDescent="0.2">
      <c r="A1475" s="38" t="s">
        <v>7</v>
      </c>
      <c r="B1475" s="38" t="s">
        <v>6291</v>
      </c>
      <c r="C1475" s="43" t="s">
        <v>6292</v>
      </c>
      <c r="D1475" s="38" t="s">
        <v>12657</v>
      </c>
      <c r="E1475" s="44">
        <v>27</v>
      </c>
      <c r="F1475" s="45">
        <v>1941</v>
      </c>
      <c r="G1475" s="44">
        <v>8</v>
      </c>
      <c r="H1475" s="45">
        <v>584</v>
      </c>
      <c r="I1475" s="45">
        <v>71.888888888888886</v>
      </c>
      <c r="J1475" s="45">
        <v>73</v>
      </c>
      <c r="K1475" s="46">
        <v>1.5455950540958314E-2</v>
      </c>
    </row>
    <row r="1476" spans="1:11" x14ac:dyDescent="0.2">
      <c r="A1476" s="38" t="s">
        <v>7</v>
      </c>
      <c r="B1476" s="38" t="s">
        <v>6294</v>
      </c>
      <c r="C1476" s="43" t="s">
        <v>6295</v>
      </c>
      <c r="D1476" s="38" t="s">
        <v>12657</v>
      </c>
      <c r="G1476" s="44">
        <v>4</v>
      </c>
      <c r="H1476" s="45">
        <v>204</v>
      </c>
      <c r="J1476" s="45">
        <v>51</v>
      </c>
    </row>
    <row r="1477" spans="1:11" x14ac:dyDescent="0.2">
      <c r="A1477" s="38" t="s">
        <v>7</v>
      </c>
      <c r="B1477" s="38" t="s">
        <v>6297</v>
      </c>
      <c r="C1477" s="43" t="s">
        <v>6298</v>
      </c>
      <c r="D1477" s="38" t="s">
        <v>12657</v>
      </c>
      <c r="E1477" s="44">
        <v>404</v>
      </c>
      <c r="F1477" s="45">
        <v>16713</v>
      </c>
      <c r="G1477" s="44">
        <v>451</v>
      </c>
      <c r="H1477" s="45">
        <v>26157</v>
      </c>
      <c r="I1477" s="45">
        <v>41.368811881188115</v>
      </c>
      <c r="J1477" s="45">
        <v>57.99778270509978</v>
      </c>
      <c r="K1477" s="46">
        <v>0.40196877956442967</v>
      </c>
    </row>
    <row r="1478" spans="1:11" x14ac:dyDescent="0.2">
      <c r="A1478" s="38" t="s">
        <v>7</v>
      </c>
      <c r="B1478" s="38" t="s">
        <v>6300</v>
      </c>
      <c r="C1478" s="43" t="s">
        <v>6301</v>
      </c>
      <c r="D1478" s="38" t="s">
        <v>12657</v>
      </c>
      <c r="E1478" s="44">
        <v>116</v>
      </c>
      <c r="F1478" s="45">
        <v>5008</v>
      </c>
      <c r="G1478" s="44">
        <v>834</v>
      </c>
      <c r="H1478" s="45">
        <v>24914</v>
      </c>
      <c r="I1478" s="45">
        <v>43.172413793103445</v>
      </c>
      <c r="J1478" s="45">
        <v>29.872901678657076</v>
      </c>
      <c r="K1478" s="46">
        <v>-0.30805579178829451</v>
      </c>
    </row>
    <row r="1479" spans="1:11" x14ac:dyDescent="0.2">
      <c r="A1479" s="38" t="s">
        <v>7</v>
      </c>
      <c r="B1479" s="38" t="s">
        <v>6303</v>
      </c>
      <c r="C1479" s="43" t="s">
        <v>6304</v>
      </c>
      <c r="D1479" s="38" t="s">
        <v>12657</v>
      </c>
      <c r="G1479" s="44">
        <v>3</v>
      </c>
      <c r="H1479" s="45">
        <v>570</v>
      </c>
      <c r="J1479" s="45">
        <v>190</v>
      </c>
    </row>
    <row r="1480" spans="1:11" x14ac:dyDescent="0.2">
      <c r="A1480" s="38" t="s">
        <v>7</v>
      </c>
      <c r="B1480" s="38" t="s">
        <v>6306</v>
      </c>
      <c r="C1480" s="43" t="s">
        <v>6307</v>
      </c>
      <c r="D1480" s="38" t="s">
        <v>12657</v>
      </c>
      <c r="G1480" s="44">
        <v>110</v>
      </c>
      <c r="H1480" s="45">
        <v>2376</v>
      </c>
      <c r="J1480" s="45">
        <v>21.6</v>
      </c>
    </row>
    <row r="1481" spans="1:11" x14ac:dyDescent="0.2">
      <c r="A1481" s="38" t="s">
        <v>7</v>
      </c>
      <c r="B1481" s="38" t="s">
        <v>6309</v>
      </c>
      <c r="C1481" s="43" t="s">
        <v>6310</v>
      </c>
      <c r="D1481" s="38" t="s">
        <v>12657</v>
      </c>
      <c r="G1481" s="44">
        <v>2</v>
      </c>
      <c r="H1481" s="45">
        <v>60</v>
      </c>
      <c r="J1481" s="45">
        <v>30</v>
      </c>
    </row>
    <row r="1482" spans="1:11" x14ac:dyDescent="0.2">
      <c r="A1482" s="38" t="s">
        <v>7</v>
      </c>
      <c r="B1482" s="38" t="s">
        <v>6312</v>
      </c>
      <c r="C1482" s="43" t="s">
        <v>6313</v>
      </c>
      <c r="D1482" s="38" t="s">
        <v>12657</v>
      </c>
      <c r="E1482" s="44">
        <v>54</v>
      </c>
      <c r="F1482" s="45">
        <v>896</v>
      </c>
      <c r="G1482" s="44">
        <v>91</v>
      </c>
      <c r="H1482" s="45">
        <v>1099</v>
      </c>
      <c r="I1482" s="45">
        <v>16.592592592592592</v>
      </c>
      <c r="J1482" s="45">
        <v>12.076923076923077</v>
      </c>
      <c r="K1482" s="46">
        <v>-0.27214972527472525</v>
      </c>
    </row>
    <row r="1483" spans="1:11" x14ac:dyDescent="0.2">
      <c r="A1483" s="38" t="s">
        <v>7</v>
      </c>
      <c r="B1483" s="38" t="s">
        <v>6315</v>
      </c>
      <c r="C1483" s="43" t="s">
        <v>6316</v>
      </c>
      <c r="D1483" s="38" t="s">
        <v>12657</v>
      </c>
      <c r="E1483" s="44">
        <v>199</v>
      </c>
      <c r="F1483" s="45">
        <v>3660</v>
      </c>
      <c r="G1483" s="44">
        <v>223</v>
      </c>
      <c r="H1483" s="45">
        <v>3031</v>
      </c>
      <c r="I1483" s="45">
        <v>18.391959798994975</v>
      </c>
      <c r="J1483" s="45">
        <v>13.591928251121077</v>
      </c>
      <c r="K1483" s="46">
        <v>-0.26098532186527479</v>
      </c>
    </row>
    <row r="1484" spans="1:11" x14ac:dyDescent="0.2">
      <c r="A1484" s="38" t="s">
        <v>7</v>
      </c>
      <c r="B1484" s="38" t="s">
        <v>6318</v>
      </c>
      <c r="C1484" s="43" t="s">
        <v>6319</v>
      </c>
      <c r="D1484" s="38" t="s">
        <v>12657</v>
      </c>
      <c r="E1484" s="44">
        <v>3</v>
      </c>
      <c r="F1484" s="45">
        <v>72</v>
      </c>
      <c r="G1484" s="44">
        <v>0</v>
      </c>
      <c r="H1484" s="45">
        <v>0</v>
      </c>
      <c r="I1484" s="45">
        <v>24</v>
      </c>
    </row>
    <row r="1485" spans="1:11" x14ac:dyDescent="0.2">
      <c r="A1485" s="38" t="s">
        <v>7</v>
      </c>
      <c r="B1485" s="38" t="s">
        <v>6321</v>
      </c>
      <c r="C1485" s="43" t="s">
        <v>6322</v>
      </c>
      <c r="D1485" s="38" t="s">
        <v>12658</v>
      </c>
      <c r="E1485" s="44">
        <v>47</v>
      </c>
      <c r="F1485" s="45">
        <v>700</v>
      </c>
      <c r="G1485" s="44">
        <v>35</v>
      </c>
      <c r="H1485" s="45">
        <v>490</v>
      </c>
      <c r="I1485" s="45">
        <v>14.893617021276595</v>
      </c>
      <c r="J1485" s="45">
        <v>14</v>
      </c>
      <c r="K1485" s="46">
        <v>-5.9999999999999984E-2</v>
      </c>
    </row>
    <row r="1486" spans="1:11" x14ac:dyDescent="0.2">
      <c r="A1486" s="38" t="s">
        <v>7</v>
      </c>
      <c r="B1486" s="38" t="s">
        <v>6327</v>
      </c>
      <c r="C1486" s="43" t="s">
        <v>6328</v>
      </c>
      <c r="D1486" s="38" t="s">
        <v>12657</v>
      </c>
      <c r="E1486" s="44">
        <v>278</v>
      </c>
      <c r="F1486" s="45">
        <v>7892</v>
      </c>
      <c r="G1486" s="44">
        <v>801</v>
      </c>
      <c r="H1486" s="45">
        <v>28923</v>
      </c>
      <c r="I1486" s="45">
        <v>28.388489208633093</v>
      </c>
      <c r="J1486" s="45">
        <v>36.108614232209739</v>
      </c>
      <c r="K1486" s="46">
        <v>0.27194561030845255</v>
      </c>
    </row>
    <row r="1487" spans="1:11" x14ac:dyDescent="0.2">
      <c r="A1487" s="38" t="s">
        <v>7</v>
      </c>
      <c r="B1487" s="38" t="s">
        <v>6330</v>
      </c>
      <c r="C1487" s="43" t="s">
        <v>6331</v>
      </c>
      <c r="D1487" s="38" t="s">
        <v>12657</v>
      </c>
      <c r="E1487" s="44">
        <v>108</v>
      </c>
      <c r="F1487" s="45">
        <v>3082</v>
      </c>
      <c r="G1487" s="44">
        <v>99</v>
      </c>
      <c r="H1487" s="45">
        <v>3192</v>
      </c>
      <c r="I1487" s="45">
        <v>28.537037037037038</v>
      </c>
      <c r="J1487" s="45">
        <v>32.242424242424242</v>
      </c>
      <c r="K1487" s="46">
        <v>0.12984484691168657</v>
      </c>
    </row>
    <row r="1488" spans="1:11" x14ac:dyDescent="0.2">
      <c r="A1488" s="38" t="s">
        <v>7</v>
      </c>
      <c r="B1488" s="38" t="s">
        <v>6332</v>
      </c>
      <c r="C1488" s="43" t="s">
        <v>6333</v>
      </c>
      <c r="D1488" s="38" t="s">
        <v>12657</v>
      </c>
      <c r="G1488" s="44">
        <v>30</v>
      </c>
      <c r="H1488" s="45">
        <v>1670</v>
      </c>
      <c r="J1488" s="45">
        <v>55.666666666666664</v>
      </c>
    </row>
    <row r="1489" spans="1:11" x14ac:dyDescent="0.2">
      <c r="A1489" s="38" t="s">
        <v>7</v>
      </c>
      <c r="B1489" s="38" t="s">
        <v>6334</v>
      </c>
      <c r="C1489" s="43" t="s">
        <v>6335</v>
      </c>
      <c r="D1489" s="38" t="s">
        <v>12657</v>
      </c>
      <c r="G1489" s="44">
        <v>22</v>
      </c>
      <c r="H1489" s="45">
        <v>1167</v>
      </c>
      <c r="J1489" s="45">
        <v>53.045454545454547</v>
      </c>
    </row>
    <row r="1490" spans="1:11" x14ac:dyDescent="0.2">
      <c r="A1490" s="38" t="s">
        <v>7</v>
      </c>
      <c r="B1490" s="38" t="s">
        <v>6337</v>
      </c>
      <c r="C1490" s="43" t="s">
        <v>6338</v>
      </c>
      <c r="D1490" s="38" t="s">
        <v>12658</v>
      </c>
      <c r="E1490" s="44">
        <v>1072</v>
      </c>
      <c r="F1490" s="45">
        <v>27170</v>
      </c>
      <c r="G1490" s="44">
        <v>619</v>
      </c>
      <c r="H1490" s="45">
        <v>11569</v>
      </c>
      <c r="I1490" s="45">
        <v>25.345149253731343</v>
      </c>
      <c r="J1490" s="45">
        <v>18.689822294022616</v>
      </c>
      <c r="K1490" s="46">
        <v>-0.26258779907279189</v>
      </c>
    </row>
    <row r="1491" spans="1:11" x14ac:dyDescent="0.2">
      <c r="A1491" s="38" t="s">
        <v>7</v>
      </c>
      <c r="B1491" s="38" t="s">
        <v>6340</v>
      </c>
      <c r="C1491" s="43" t="s">
        <v>6341</v>
      </c>
      <c r="D1491" s="38" t="s">
        <v>12658</v>
      </c>
      <c r="E1491" s="44">
        <v>51</v>
      </c>
      <c r="F1491" s="45">
        <v>153</v>
      </c>
      <c r="G1491" s="44">
        <v>71</v>
      </c>
      <c r="H1491" s="45">
        <v>177</v>
      </c>
      <c r="I1491" s="45">
        <v>3</v>
      </c>
      <c r="J1491" s="45">
        <v>2.492957746478873</v>
      </c>
      <c r="K1491" s="46">
        <v>-0.16901408450704233</v>
      </c>
    </row>
    <row r="1492" spans="1:11" x14ac:dyDescent="0.2">
      <c r="A1492" s="38" t="s">
        <v>7</v>
      </c>
      <c r="B1492" s="38" t="s">
        <v>6343</v>
      </c>
      <c r="C1492" s="43" t="s">
        <v>6344</v>
      </c>
      <c r="D1492" s="38" t="s">
        <v>12657</v>
      </c>
      <c r="E1492" s="44">
        <v>28</v>
      </c>
      <c r="F1492" s="45">
        <v>381</v>
      </c>
      <c r="G1492" s="44">
        <v>269</v>
      </c>
      <c r="H1492" s="45">
        <v>2017</v>
      </c>
      <c r="I1492" s="45">
        <v>13.607142857142858</v>
      </c>
      <c r="J1492" s="45">
        <v>7.4981412639405205</v>
      </c>
      <c r="K1492" s="46">
        <v>-0.44895549766316389</v>
      </c>
    </row>
    <row r="1493" spans="1:11" x14ac:dyDescent="0.2">
      <c r="A1493" s="38" t="s">
        <v>7</v>
      </c>
      <c r="B1493" s="38" t="s">
        <v>6346</v>
      </c>
      <c r="C1493" s="43" t="s">
        <v>6347</v>
      </c>
      <c r="D1493" s="38" t="s">
        <v>12657</v>
      </c>
      <c r="E1493" s="44">
        <v>668</v>
      </c>
      <c r="F1493" s="45">
        <v>38484</v>
      </c>
      <c r="G1493" s="44">
        <v>805</v>
      </c>
      <c r="H1493" s="45">
        <v>36779</v>
      </c>
      <c r="I1493" s="45">
        <v>57.610778443113773</v>
      </c>
      <c r="J1493" s="45">
        <v>45.688198757763978</v>
      </c>
      <c r="K1493" s="46">
        <v>-0.20695050488030514</v>
      </c>
    </row>
    <row r="1494" spans="1:11" x14ac:dyDescent="0.2">
      <c r="A1494" s="38" t="s">
        <v>7</v>
      </c>
      <c r="B1494" s="38" t="s">
        <v>6352</v>
      </c>
      <c r="C1494" s="43" t="s">
        <v>6353</v>
      </c>
      <c r="D1494" s="38" t="s">
        <v>12657</v>
      </c>
      <c r="E1494" s="44">
        <v>353</v>
      </c>
      <c r="F1494" s="45">
        <v>13285</v>
      </c>
      <c r="G1494" s="44">
        <v>609</v>
      </c>
      <c r="H1494" s="45">
        <v>17472</v>
      </c>
      <c r="I1494" s="45">
        <v>37.634560906515581</v>
      </c>
      <c r="J1494" s="45">
        <v>28.689655172413794</v>
      </c>
      <c r="K1494" s="46">
        <v>-0.23767796192231322</v>
      </c>
    </row>
    <row r="1495" spans="1:11" x14ac:dyDescent="0.2">
      <c r="A1495" s="38" t="s">
        <v>7</v>
      </c>
      <c r="B1495" s="38" t="s">
        <v>6355</v>
      </c>
      <c r="C1495" s="43" t="s">
        <v>6356</v>
      </c>
      <c r="D1495" s="38" t="s">
        <v>12657</v>
      </c>
      <c r="E1495" s="44">
        <v>83</v>
      </c>
      <c r="F1495" s="45">
        <v>6906</v>
      </c>
      <c r="G1495" s="44">
        <v>177</v>
      </c>
      <c r="H1495" s="45">
        <v>7652</v>
      </c>
      <c r="I1495" s="45">
        <v>83.204819277108427</v>
      </c>
      <c r="J1495" s="45">
        <v>43.231638418079093</v>
      </c>
      <c r="K1495" s="46">
        <v>-0.48041905752960251</v>
      </c>
    </row>
    <row r="1496" spans="1:11" x14ac:dyDescent="0.2">
      <c r="A1496" s="38" t="s">
        <v>7</v>
      </c>
      <c r="B1496" s="38" t="s">
        <v>6358</v>
      </c>
      <c r="C1496" s="43" t="s">
        <v>6359</v>
      </c>
      <c r="D1496" s="38" t="s">
        <v>12658</v>
      </c>
      <c r="E1496" s="44">
        <v>186</v>
      </c>
      <c r="F1496" s="45">
        <v>6693</v>
      </c>
      <c r="G1496" s="44">
        <v>285</v>
      </c>
      <c r="H1496" s="45">
        <v>8673</v>
      </c>
      <c r="I1496" s="45">
        <v>35.983870967741936</v>
      </c>
      <c r="J1496" s="45">
        <v>30.431578947368422</v>
      </c>
      <c r="K1496" s="46">
        <v>-0.15429946448371037</v>
      </c>
    </row>
    <row r="1497" spans="1:11" x14ac:dyDescent="0.2">
      <c r="A1497" s="38" t="s">
        <v>7</v>
      </c>
      <c r="B1497" s="38" t="s">
        <v>6367</v>
      </c>
      <c r="C1497" s="43" t="s">
        <v>6368</v>
      </c>
      <c r="D1497" s="38" t="s">
        <v>12657</v>
      </c>
      <c r="E1497" s="44">
        <v>127</v>
      </c>
      <c r="F1497" s="45">
        <v>5427</v>
      </c>
      <c r="G1497" s="44">
        <v>96</v>
      </c>
      <c r="H1497" s="45">
        <v>5123</v>
      </c>
      <c r="I1497" s="45">
        <v>42.732283464566926</v>
      </c>
      <c r="J1497" s="45">
        <v>53.364583333333336</v>
      </c>
      <c r="K1497" s="46">
        <v>0.24881188194828341</v>
      </c>
    </row>
    <row r="1498" spans="1:11" x14ac:dyDescent="0.2">
      <c r="A1498" s="38" t="s">
        <v>7</v>
      </c>
      <c r="B1498" s="38" t="s">
        <v>6370</v>
      </c>
      <c r="C1498" s="43" t="s">
        <v>6371</v>
      </c>
      <c r="D1498" s="38" t="s">
        <v>12657</v>
      </c>
      <c r="E1498" s="44">
        <v>61</v>
      </c>
      <c r="F1498" s="45">
        <v>3097</v>
      </c>
      <c r="G1498" s="44">
        <v>62</v>
      </c>
      <c r="H1498" s="45">
        <v>3936</v>
      </c>
      <c r="I1498" s="45">
        <v>50.770491803278688</v>
      </c>
      <c r="J1498" s="45">
        <v>63.483870967741936</v>
      </c>
      <c r="K1498" s="46">
        <v>0.25040882435655737</v>
      </c>
    </row>
    <row r="1499" spans="1:11" x14ac:dyDescent="0.2">
      <c r="A1499" s="38" t="s">
        <v>7</v>
      </c>
      <c r="B1499" s="38" t="s">
        <v>6373</v>
      </c>
      <c r="C1499" s="43" t="s">
        <v>6374</v>
      </c>
      <c r="D1499" s="38" t="s">
        <v>12657</v>
      </c>
      <c r="E1499" s="44">
        <v>40</v>
      </c>
      <c r="F1499" s="45">
        <v>2590</v>
      </c>
      <c r="G1499" s="44">
        <v>46</v>
      </c>
      <c r="H1499" s="45">
        <v>3046</v>
      </c>
      <c r="I1499" s="45">
        <v>64.75</v>
      </c>
      <c r="J1499" s="45">
        <v>66.217391304347828</v>
      </c>
      <c r="K1499" s="46">
        <v>2.2662413966761823E-2</v>
      </c>
    </row>
    <row r="1500" spans="1:11" x14ac:dyDescent="0.2">
      <c r="A1500" s="38" t="s">
        <v>7</v>
      </c>
      <c r="B1500" s="38" t="s">
        <v>6376</v>
      </c>
      <c r="C1500" s="43" t="s">
        <v>6377</v>
      </c>
      <c r="D1500" s="38" t="s">
        <v>12658</v>
      </c>
      <c r="G1500" s="44">
        <v>3</v>
      </c>
      <c r="H1500" s="45">
        <v>91</v>
      </c>
      <c r="J1500" s="45">
        <v>30.333333333333332</v>
      </c>
    </row>
    <row r="1501" spans="1:11" x14ac:dyDescent="0.2">
      <c r="A1501" s="38" t="s">
        <v>7</v>
      </c>
      <c r="B1501" s="38" t="s">
        <v>6379</v>
      </c>
      <c r="C1501" s="43" t="s">
        <v>6380</v>
      </c>
      <c r="D1501" s="38" t="s">
        <v>12658</v>
      </c>
      <c r="E1501" s="44">
        <v>274</v>
      </c>
      <c r="F1501" s="45">
        <v>8844</v>
      </c>
      <c r="G1501" s="44">
        <v>319</v>
      </c>
      <c r="H1501" s="45">
        <v>8667</v>
      </c>
      <c r="I1501" s="45">
        <v>32.277372262773724</v>
      </c>
      <c r="J1501" s="45">
        <v>27.169278996865202</v>
      </c>
      <c r="K1501" s="46">
        <v>-0.15825616857292346</v>
      </c>
    </row>
    <row r="1502" spans="1:11" x14ac:dyDescent="0.2">
      <c r="A1502" s="38" t="s">
        <v>7</v>
      </c>
      <c r="B1502" s="38" t="s">
        <v>6382</v>
      </c>
      <c r="C1502" s="43" t="s">
        <v>6383</v>
      </c>
      <c r="D1502" s="38" t="s">
        <v>12658</v>
      </c>
      <c r="E1502" s="44">
        <v>346</v>
      </c>
      <c r="F1502" s="45">
        <v>11272</v>
      </c>
      <c r="G1502" s="44">
        <v>334</v>
      </c>
      <c r="H1502" s="45">
        <v>7598</v>
      </c>
      <c r="I1502" s="45">
        <v>32.578034682080926</v>
      </c>
      <c r="J1502" s="45">
        <v>22.748502994011975</v>
      </c>
      <c r="K1502" s="46">
        <v>-0.30172267246911433</v>
      </c>
    </row>
    <row r="1503" spans="1:11" x14ac:dyDescent="0.2">
      <c r="A1503" s="38" t="s">
        <v>7</v>
      </c>
      <c r="B1503" s="38" t="s">
        <v>6385</v>
      </c>
      <c r="C1503" s="43" t="s">
        <v>6386</v>
      </c>
      <c r="D1503" s="38" t="s">
        <v>12657</v>
      </c>
      <c r="E1503" s="44">
        <v>16</v>
      </c>
      <c r="F1503" s="45">
        <v>472</v>
      </c>
      <c r="G1503" s="44">
        <v>48</v>
      </c>
      <c r="H1503" s="45">
        <v>1384</v>
      </c>
      <c r="I1503" s="45">
        <v>29.5</v>
      </c>
      <c r="J1503" s="45">
        <v>28.833333333333332</v>
      </c>
      <c r="K1503" s="46">
        <v>-2.2598870056497217E-2</v>
      </c>
    </row>
    <row r="1504" spans="1:11" x14ac:dyDescent="0.2">
      <c r="A1504" s="38" t="s">
        <v>7</v>
      </c>
      <c r="B1504" s="38" t="s">
        <v>6388</v>
      </c>
      <c r="C1504" s="43" t="s">
        <v>6389</v>
      </c>
      <c r="D1504" s="38" t="s">
        <v>12657</v>
      </c>
      <c r="E1504" s="44">
        <v>83</v>
      </c>
      <c r="F1504" s="45">
        <v>4311</v>
      </c>
      <c r="G1504" s="44">
        <v>52</v>
      </c>
      <c r="H1504" s="45">
        <v>2392</v>
      </c>
      <c r="I1504" s="45">
        <v>51.939759036144579</v>
      </c>
      <c r="J1504" s="45">
        <v>46</v>
      </c>
      <c r="K1504" s="46">
        <v>-0.11435861749014152</v>
      </c>
    </row>
    <row r="1505" spans="1:11" x14ac:dyDescent="0.2">
      <c r="A1505" s="38" t="s">
        <v>7</v>
      </c>
      <c r="B1505" s="38" t="s">
        <v>6390</v>
      </c>
      <c r="C1505" s="43" t="s">
        <v>6391</v>
      </c>
      <c r="D1505" s="38" t="s">
        <v>12657</v>
      </c>
      <c r="E1505" s="44">
        <v>229</v>
      </c>
      <c r="F1505" s="45">
        <v>8537</v>
      </c>
      <c r="G1505" s="44">
        <v>696</v>
      </c>
      <c r="H1505" s="45">
        <v>22596</v>
      </c>
      <c r="I1505" s="45">
        <v>37.279475982532752</v>
      </c>
      <c r="J1505" s="45">
        <v>32.46551724137931</v>
      </c>
      <c r="K1505" s="46">
        <v>-0.1291316096666438</v>
      </c>
    </row>
    <row r="1506" spans="1:11" x14ac:dyDescent="0.2">
      <c r="A1506" s="38" t="s">
        <v>7</v>
      </c>
      <c r="B1506" s="38" t="s">
        <v>6393</v>
      </c>
      <c r="C1506" s="43" t="s">
        <v>6394</v>
      </c>
      <c r="D1506" s="38" t="s">
        <v>12657</v>
      </c>
      <c r="E1506" s="44">
        <v>215</v>
      </c>
      <c r="F1506" s="45">
        <v>9208</v>
      </c>
      <c r="G1506" s="44">
        <v>203</v>
      </c>
      <c r="H1506" s="45">
        <v>8194</v>
      </c>
      <c r="I1506" s="45">
        <v>42.827906976744188</v>
      </c>
      <c r="J1506" s="45">
        <v>40.364532019704434</v>
      </c>
      <c r="K1506" s="46">
        <v>-5.7517986073365238E-2</v>
      </c>
    </row>
    <row r="1507" spans="1:11" x14ac:dyDescent="0.2">
      <c r="A1507" s="38" t="s">
        <v>7</v>
      </c>
      <c r="B1507" s="38" t="s">
        <v>6399</v>
      </c>
      <c r="C1507" s="43" t="s">
        <v>6400</v>
      </c>
      <c r="D1507" s="38" t="s">
        <v>12658</v>
      </c>
      <c r="E1507" s="44">
        <v>39</v>
      </c>
      <c r="F1507" s="45">
        <v>1269</v>
      </c>
      <c r="G1507" s="44">
        <v>77</v>
      </c>
      <c r="H1507" s="45">
        <v>1773</v>
      </c>
      <c r="I1507" s="45">
        <v>32.53846153846154</v>
      </c>
      <c r="J1507" s="45">
        <v>23.025974025974026</v>
      </c>
      <c r="K1507" s="46">
        <v>-0.29234595192042001</v>
      </c>
    </row>
    <row r="1508" spans="1:11" x14ac:dyDescent="0.2">
      <c r="A1508" s="38" t="s">
        <v>7</v>
      </c>
      <c r="B1508" s="38" t="s">
        <v>6402</v>
      </c>
      <c r="C1508" s="43" t="s">
        <v>6403</v>
      </c>
      <c r="D1508" s="38" t="s">
        <v>12657</v>
      </c>
      <c r="E1508" s="44">
        <v>102</v>
      </c>
      <c r="F1508" s="45">
        <v>5802</v>
      </c>
      <c r="G1508" s="44">
        <v>214</v>
      </c>
      <c r="H1508" s="45">
        <v>9336</v>
      </c>
      <c r="I1508" s="45">
        <v>56.882352941176471</v>
      </c>
      <c r="J1508" s="45">
        <v>43.626168224299064</v>
      </c>
      <c r="K1508" s="46">
        <v>-0.23304564652214677</v>
      </c>
    </row>
    <row r="1509" spans="1:11" x14ac:dyDescent="0.2">
      <c r="A1509" s="38" t="s">
        <v>7</v>
      </c>
      <c r="B1509" s="38" t="s">
        <v>6405</v>
      </c>
      <c r="C1509" s="43" t="s">
        <v>6406</v>
      </c>
      <c r="D1509" s="38" t="s">
        <v>12657</v>
      </c>
      <c r="E1509" s="44">
        <v>196</v>
      </c>
      <c r="F1509" s="45">
        <v>18277</v>
      </c>
      <c r="G1509" s="44">
        <v>179</v>
      </c>
      <c r="H1509" s="45">
        <v>14619</v>
      </c>
      <c r="I1509" s="45">
        <v>93.25</v>
      </c>
      <c r="J1509" s="45">
        <v>81.67039106145252</v>
      </c>
      <c r="K1509" s="46">
        <v>-0.12417811194152793</v>
      </c>
    </row>
    <row r="1510" spans="1:11" x14ac:dyDescent="0.2">
      <c r="A1510" s="38" t="s">
        <v>7</v>
      </c>
      <c r="B1510" s="38" t="s">
        <v>6408</v>
      </c>
      <c r="C1510" s="43" t="s">
        <v>6409</v>
      </c>
      <c r="D1510" s="38" t="s">
        <v>12657</v>
      </c>
      <c r="E1510" s="44">
        <v>26</v>
      </c>
      <c r="F1510" s="45">
        <v>830</v>
      </c>
      <c r="G1510" s="44">
        <v>25</v>
      </c>
      <c r="H1510" s="45">
        <v>763</v>
      </c>
      <c r="I1510" s="45">
        <v>31.923076923076923</v>
      </c>
      <c r="J1510" s="45">
        <v>30.52</v>
      </c>
      <c r="K1510" s="46">
        <v>-4.3951807228915687E-2</v>
      </c>
    </row>
    <row r="1511" spans="1:11" x14ac:dyDescent="0.2">
      <c r="A1511" s="38" t="s">
        <v>7</v>
      </c>
      <c r="B1511" s="38" t="s">
        <v>6411</v>
      </c>
      <c r="C1511" s="43" t="s">
        <v>6412</v>
      </c>
      <c r="D1511" s="38" t="s">
        <v>12657</v>
      </c>
      <c r="E1511" s="44">
        <v>25</v>
      </c>
      <c r="F1511" s="45">
        <v>265</v>
      </c>
      <c r="G1511" s="44">
        <v>23</v>
      </c>
      <c r="H1511" s="45">
        <v>204</v>
      </c>
      <c r="I1511" s="45">
        <v>10.6</v>
      </c>
      <c r="J1511" s="45">
        <v>8.8695652173913047</v>
      </c>
      <c r="K1511" s="46">
        <v>-0.16324856439704671</v>
      </c>
    </row>
    <row r="1512" spans="1:11" x14ac:dyDescent="0.2">
      <c r="A1512" s="38" t="s">
        <v>7</v>
      </c>
      <c r="B1512" s="38" t="s">
        <v>6414</v>
      </c>
      <c r="C1512" s="43" t="s">
        <v>6415</v>
      </c>
      <c r="D1512" s="38" t="s">
        <v>12657</v>
      </c>
      <c r="E1512" s="44">
        <v>15</v>
      </c>
      <c r="F1512" s="45">
        <v>1336</v>
      </c>
      <c r="G1512" s="44">
        <v>12</v>
      </c>
      <c r="H1512" s="45">
        <v>996</v>
      </c>
      <c r="I1512" s="45">
        <v>89.066666666666663</v>
      </c>
      <c r="J1512" s="45">
        <v>83</v>
      </c>
      <c r="K1512" s="46">
        <v>-6.8113772455089774E-2</v>
      </c>
    </row>
    <row r="1513" spans="1:11" x14ac:dyDescent="0.2">
      <c r="A1513" s="38" t="s">
        <v>7</v>
      </c>
      <c r="B1513" s="38" t="s">
        <v>6417</v>
      </c>
      <c r="C1513" s="43" t="s">
        <v>6418</v>
      </c>
      <c r="D1513" s="38" t="s">
        <v>12666</v>
      </c>
      <c r="E1513" s="44">
        <v>164</v>
      </c>
      <c r="F1513" s="45">
        <v>6953</v>
      </c>
      <c r="G1513" s="44">
        <v>218</v>
      </c>
      <c r="H1513" s="45">
        <v>7328</v>
      </c>
      <c r="I1513" s="45">
        <v>42.396341463414636</v>
      </c>
      <c r="J1513" s="45">
        <v>33.61467889908257</v>
      </c>
      <c r="K1513" s="46">
        <v>-0.20713255581050752</v>
      </c>
    </row>
    <row r="1514" spans="1:11" x14ac:dyDescent="0.2">
      <c r="A1514" s="38" t="s">
        <v>7</v>
      </c>
      <c r="B1514" s="38" t="s">
        <v>6420</v>
      </c>
      <c r="C1514" s="43" t="s">
        <v>6421</v>
      </c>
      <c r="D1514" s="38" t="s">
        <v>12666</v>
      </c>
      <c r="G1514" s="44">
        <v>21</v>
      </c>
      <c r="H1514" s="45">
        <v>210</v>
      </c>
      <c r="J1514" s="45">
        <v>10</v>
      </c>
    </row>
    <row r="1515" spans="1:11" x14ac:dyDescent="0.2">
      <c r="A1515" s="38" t="s">
        <v>7</v>
      </c>
      <c r="B1515" s="38" t="s">
        <v>6423</v>
      </c>
      <c r="C1515" s="43" t="s">
        <v>6424</v>
      </c>
      <c r="D1515" s="38" t="s">
        <v>12661</v>
      </c>
      <c r="G1515" s="44">
        <v>2</v>
      </c>
      <c r="H1515" s="45">
        <v>118</v>
      </c>
      <c r="J1515" s="45">
        <v>59</v>
      </c>
    </row>
    <row r="1516" spans="1:11" x14ac:dyDescent="0.2">
      <c r="A1516" s="38" t="s">
        <v>7</v>
      </c>
      <c r="B1516" s="38" t="s">
        <v>6426</v>
      </c>
      <c r="C1516" s="43" t="s">
        <v>6427</v>
      </c>
      <c r="D1516" s="38" t="s">
        <v>12657</v>
      </c>
      <c r="E1516" s="44">
        <v>1169</v>
      </c>
      <c r="F1516" s="45">
        <v>30841</v>
      </c>
      <c r="G1516" s="44">
        <v>1525</v>
      </c>
      <c r="H1516" s="45">
        <v>33713</v>
      </c>
      <c r="I1516" s="45">
        <v>26.382378100940976</v>
      </c>
      <c r="J1516" s="45">
        <v>22.106885245901641</v>
      </c>
      <c r="K1516" s="46">
        <v>-0.16205866046953674</v>
      </c>
    </row>
    <row r="1517" spans="1:11" x14ac:dyDescent="0.2">
      <c r="A1517" s="38" t="s">
        <v>7</v>
      </c>
      <c r="B1517" s="38" t="s">
        <v>6429</v>
      </c>
      <c r="C1517" s="43" t="s">
        <v>6430</v>
      </c>
      <c r="D1517" s="38" t="s">
        <v>12657</v>
      </c>
      <c r="E1517" s="44">
        <v>401</v>
      </c>
      <c r="F1517" s="45">
        <v>16724</v>
      </c>
      <c r="G1517" s="44">
        <v>433</v>
      </c>
      <c r="H1517" s="45">
        <v>15259</v>
      </c>
      <c r="I1517" s="45">
        <v>41.705735660847878</v>
      </c>
      <c r="J1517" s="45">
        <v>35.240184757505773</v>
      </c>
      <c r="K1517" s="46">
        <v>-0.15502785889979576</v>
      </c>
    </row>
    <row r="1518" spans="1:11" x14ac:dyDescent="0.2">
      <c r="A1518" s="38" t="s">
        <v>7</v>
      </c>
      <c r="B1518" s="38" t="s">
        <v>6432</v>
      </c>
      <c r="C1518" s="43" t="s">
        <v>6433</v>
      </c>
      <c r="D1518" s="38" t="s">
        <v>12657</v>
      </c>
      <c r="E1518" s="44">
        <v>135</v>
      </c>
      <c r="F1518" s="45">
        <v>4977</v>
      </c>
      <c r="G1518" s="44">
        <v>195</v>
      </c>
      <c r="H1518" s="45">
        <v>6706</v>
      </c>
      <c r="I1518" s="45">
        <v>36.866666666666667</v>
      </c>
      <c r="J1518" s="45">
        <v>34.389743589743588</v>
      </c>
      <c r="K1518" s="46">
        <v>-6.7185978578383695E-2</v>
      </c>
    </row>
    <row r="1519" spans="1:11" x14ac:dyDescent="0.2">
      <c r="A1519" s="38" t="s">
        <v>7</v>
      </c>
      <c r="B1519" s="38" t="s">
        <v>6438</v>
      </c>
      <c r="C1519" s="43" t="s">
        <v>6439</v>
      </c>
      <c r="D1519" s="38" t="s">
        <v>12657</v>
      </c>
      <c r="G1519" s="44">
        <v>83</v>
      </c>
      <c r="H1519" s="45">
        <v>2966</v>
      </c>
      <c r="J1519" s="45">
        <v>35.734939759036145</v>
      </c>
    </row>
    <row r="1520" spans="1:11" x14ac:dyDescent="0.2">
      <c r="A1520" s="38" t="s">
        <v>7</v>
      </c>
      <c r="B1520" s="38" t="s">
        <v>6444</v>
      </c>
      <c r="C1520" s="43" t="s">
        <v>6445</v>
      </c>
      <c r="D1520" s="38" t="s">
        <v>12657</v>
      </c>
      <c r="G1520" s="44">
        <v>49</v>
      </c>
      <c r="H1520" s="45">
        <v>1617</v>
      </c>
      <c r="J1520" s="45">
        <v>33</v>
      </c>
    </row>
    <row r="1521" spans="1:11" x14ac:dyDescent="0.2">
      <c r="A1521" s="38" t="s">
        <v>7</v>
      </c>
      <c r="B1521" s="38" t="s">
        <v>6453</v>
      </c>
      <c r="C1521" s="43" t="s">
        <v>6454</v>
      </c>
      <c r="D1521" s="38" t="s">
        <v>12658</v>
      </c>
      <c r="E1521" s="44">
        <v>237</v>
      </c>
      <c r="F1521" s="45">
        <v>9834</v>
      </c>
      <c r="G1521" s="44">
        <v>260</v>
      </c>
      <c r="H1521" s="45">
        <v>7960</v>
      </c>
      <c r="I1521" s="45">
        <v>41.493670886075947</v>
      </c>
      <c r="J1521" s="45">
        <v>30.615384615384617</v>
      </c>
      <c r="K1521" s="46">
        <v>-0.26216736283850367</v>
      </c>
    </row>
    <row r="1522" spans="1:11" x14ac:dyDescent="0.2">
      <c r="A1522" s="38" t="s">
        <v>7</v>
      </c>
      <c r="B1522" s="38" t="s">
        <v>6456</v>
      </c>
      <c r="C1522" s="43" t="s">
        <v>6457</v>
      </c>
      <c r="D1522" s="38" t="s">
        <v>12657</v>
      </c>
      <c r="E1522" s="44">
        <v>38</v>
      </c>
      <c r="F1522" s="45">
        <v>1218</v>
      </c>
      <c r="G1522" s="44">
        <v>20</v>
      </c>
      <c r="H1522" s="45">
        <v>426</v>
      </c>
      <c r="I1522" s="45">
        <v>32.05263157894737</v>
      </c>
      <c r="J1522" s="45">
        <v>21.3</v>
      </c>
      <c r="K1522" s="46">
        <v>-0.33546798029556651</v>
      </c>
    </row>
    <row r="1523" spans="1:11" x14ac:dyDescent="0.2">
      <c r="A1523" s="38" t="s">
        <v>7</v>
      </c>
      <c r="B1523" s="38" t="s">
        <v>6459</v>
      </c>
      <c r="C1523" s="43" t="s">
        <v>6460</v>
      </c>
      <c r="D1523" s="38" t="s">
        <v>12657</v>
      </c>
      <c r="G1523" s="44">
        <v>3</v>
      </c>
      <c r="H1523" s="45">
        <v>59.4</v>
      </c>
      <c r="J1523" s="45">
        <v>19.8</v>
      </c>
    </row>
    <row r="1524" spans="1:11" x14ac:dyDescent="0.2">
      <c r="A1524" s="38" t="s">
        <v>7</v>
      </c>
      <c r="B1524" s="38" t="s">
        <v>6462</v>
      </c>
      <c r="C1524" s="43" t="s">
        <v>6463</v>
      </c>
      <c r="D1524" s="38" t="s">
        <v>12657</v>
      </c>
      <c r="E1524" s="44">
        <v>379</v>
      </c>
      <c r="F1524" s="45">
        <v>8822</v>
      </c>
      <c r="G1524" s="44">
        <v>320</v>
      </c>
      <c r="H1524" s="45">
        <v>12204</v>
      </c>
      <c r="I1524" s="45">
        <v>23.277044854881268</v>
      </c>
      <c r="J1524" s="45">
        <v>38.137500000000003</v>
      </c>
      <c r="K1524" s="46">
        <v>0.63841674223532086</v>
      </c>
    </row>
    <row r="1525" spans="1:11" x14ac:dyDescent="0.2">
      <c r="A1525" s="38" t="s">
        <v>7</v>
      </c>
      <c r="B1525" s="38" t="s">
        <v>6465</v>
      </c>
      <c r="C1525" s="43" t="s">
        <v>6466</v>
      </c>
      <c r="D1525" s="38" t="s">
        <v>12657</v>
      </c>
      <c r="E1525" s="44">
        <v>38</v>
      </c>
      <c r="F1525" s="45">
        <v>40438</v>
      </c>
      <c r="G1525" s="44">
        <v>39</v>
      </c>
      <c r="H1525" s="45">
        <v>35906</v>
      </c>
      <c r="I1525" s="45">
        <v>1064.1578947368421</v>
      </c>
      <c r="J1525" s="45">
        <v>920.66666666666663</v>
      </c>
      <c r="K1525" s="46">
        <v>-0.13484016683977118</v>
      </c>
    </row>
    <row r="1526" spans="1:11" x14ac:dyDescent="0.2">
      <c r="A1526" s="38" t="s">
        <v>7</v>
      </c>
      <c r="B1526" s="38" t="s">
        <v>6468</v>
      </c>
      <c r="C1526" s="43" t="s">
        <v>6469</v>
      </c>
      <c r="D1526" s="38" t="s">
        <v>12657</v>
      </c>
      <c r="G1526" s="44">
        <v>1</v>
      </c>
      <c r="H1526" s="45">
        <v>1615</v>
      </c>
      <c r="J1526" s="45">
        <v>1615</v>
      </c>
    </row>
    <row r="1527" spans="1:11" x14ac:dyDescent="0.2">
      <c r="A1527" s="38" t="s">
        <v>7</v>
      </c>
      <c r="B1527" s="38" t="s">
        <v>6471</v>
      </c>
      <c r="C1527" s="43" t="s">
        <v>6472</v>
      </c>
      <c r="D1527" s="38" t="s">
        <v>12657</v>
      </c>
      <c r="G1527" s="44">
        <v>88</v>
      </c>
      <c r="H1527" s="45">
        <v>2024</v>
      </c>
      <c r="J1527" s="45">
        <v>23</v>
      </c>
    </row>
    <row r="1528" spans="1:11" x14ac:dyDescent="0.2">
      <c r="A1528" s="38" t="s">
        <v>7</v>
      </c>
      <c r="B1528" s="38" t="s">
        <v>6477</v>
      </c>
      <c r="C1528" s="43" t="s">
        <v>6478</v>
      </c>
      <c r="D1528" s="38" t="s">
        <v>12657</v>
      </c>
      <c r="G1528" s="44">
        <v>32</v>
      </c>
      <c r="H1528" s="45">
        <v>448</v>
      </c>
      <c r="J1528" s="45">
        <v>14</v>
      </c>
    </row>
    <row r="1529" spans="1:11" x14ac:dyDescent="0.2">
      <c r="A1529" s="38" t="s">
        <v>7</v>
      </c>
      <c r="B1529" s="38" t="s">
        <v>6483</v>
      </c>
      <c r="C1529" s="43" t="s">
        <v>6484</v>
      </c>
      <c r="D1529" s="38" t="s">
        <v>12657</v>
      </c>
      <c r="E1529" s="44">
        <v>155</v>
      </c>
      <c r="F1529" s="45">
        <v>5538</v>
      </c>
      <c r="G1529" s="44">
        <v>209</v>
      </c>
      <c r="H1529" s="45">
        <v>7392</v>
      </c>
      <c r="I1529" s="45">
        <v>35.729032258064514</v>
      </c>
      <c r="J1529" s="45">
        <v>35.368421052631582</v>
      </c>
      <c r="K1529" s="46">
        <v>-1.0092946342019573E-2</v>
      </c>
    </row>
    <row r="1530" spans="1:11" x14ac:dyDescent="0.2">
      <c r="A1530" s="38" t="s">
        <v>7</v>
      </c>
      <c r="B1530" s="38" t="s">
        <v>6486</v>
      </c>
      <c r="C1530" s="43" t="s">
        <v>6487</v>
      </c>
      <c r="D1530" s="38" t="s">
        <v>12657</v>
      </c>
      <c r="E1530" s="44">
        <v>118</v>
      </c>
      <c r="F1530" s="45">
        <v>5898</v>
      </c>
      <c r="G1530" s="44">
        <v>176</v>
      </c>
      <c r="H1530" s="45">
        <v>8694</v>
      </c>
      <c r="I1530" s="45">
        <v>49.983050847457626</v>
      </c>
      <c r="J1530" s="45">
        <v>49.397727272727273</v>
      </c>
      <c r="K1530" s="46">
        <v>-1.1710441135669998E-2</v>
      </c>
    </row>
    <row r="1531" spans="1:11" x14ac:dyDescent="0.2">
      <c r="A1531" s="38" t="s">
        <v>7</v>
      </c>
      <c r="B1531" s="38" t="s">
        <v>6489</v>
      </c>
      <c r="C1531" s="43" t="s">
        <v>6490</v>
      </c>
      <c r="D1531" s="38" t="s">
        <v>12657</v>
      </c>
      <c r="E1531" s="44">
        <v>25</v>
      </c>
      <c r="F1531" s="45">
        <v>532</v>
      </c>
      <c r="G1531" s="44">
        <v>13</v>
      </c>
      <c r="H1531" s="45">
        <v>124</v>
      </c>
      <c r="I1531" s="45">
        <v>21.28</v>
      </c>
      <c r="J1531" s="45">
        <v>9.5384615384615383</v>
      </c>
      <c r="K1531" s="46">
        <v>-0.551764025448236</v>
      </c>
    </row>
    <row r="1532" spans="1:11" x14ac:dyDescent="0.2">
      <c r="A1532" s="38" t="s">
        <v>7</v>
      </c>
      <c r="B1532" s="38" t="s">
        <v>6492</v>
      </c>
      <c r="C1532" s="43" t="s">
        <v>6493</v>
      </c>
      <c r="D1532" s="38" t="s">
        <v>12657</v>
      </c>
      <c r="E1532" s="44">
        <v>585</v>
      </c>
      <c r="F1532" s="45">
        <v>30774</v>
      </c>
      <c r="G1532" s="44">
        <v>559</v>
      </c>
      <c r="H1532" s="45">
        <v>22660</v>
      </c>
      <c r="I1532" s="45">
        <v>52.605128205128203</v>
      </c>
      <c r="J1532" s="45">
        <v>40.536672629695886</v>
      </c>
      <c r="K1532" s="46">
        <v>-0.22941595215532287</v>
      </c>
    </row>
    <row r="1533" spans="1:11" x14ac:dyDescent="0.2">
      <c r="A1533" s="38" t="s">
        <v>7</v>
      </c>
      <c r="B1533" s="38" t="s">
        <v>6495</v>
      </c>
      <c r="C1533" s="43" t="s">
        <v>6496</v>
      </c>
      <c r="D1533" s="38" t="s">
        <v>12657</v>
      </c>
      <c r="E1533" s="44">
        <v>535</v>
      </c>
      <c r="F1533" s="45">
        <v>19931</v>
      </c>
      <c r="G1533" s="44">
        <v>717</v>
      </c>
      <c r="H1533" s="45">
        <v>20216</v>
      </c>
      <c r="I1533" s="45">
        <v>37.254205607476635</v>
      </c>
      <c r="J1533" s="45">
        <v>28.195258019525802</v>
      </c>
      <c r="K1533" s="46">
        <v>-0.24316576988378383</v>
      </c>
    </row>
    <row r="1534" spans="1:11" x14ac:dyDescent="0.2">
      <c r="A1534" s="38" t="s">
        <v>7</v>
      </c>
      <c r="B1534" s="38" t="s">
        <v>6498</v>
      </c>
      <c r="C1534" s="43" t="s">
        <v>6499</v>
      </c>
      <c r="D1534" s="38" t="s">
        <v>12657</v>
      </c>
      <c r="E1534" s="44">
        <v>84</v>
      </c>
      <c r="F1534" s="45">
        <v>3672</v>
      </c>
      <c r="G1534" s="44">
        <v>53</v>
      </c>
      <c r="H1534" s="45">
        <v>1828</v>
      </c>
      <c r="I1534" s="45">
        <v>43.714285714285715</v>
      </c>
      <c r="J1534" s="45">
        <v>34.490566037735846</v>
      </c>
      <c r="K1534" s="46">
        <v>-0.21100012331976825</v>
      </c>
    </row>
    <row r="1535" spans="1:11" x14ac:dyDescent="0.2">
      <c r="A1535" s="38" t="s">
        <v>7</v>
      </c>
      <c r="B1535" s="38" t="s">
        <v>6501</v>
      </c>
      <c r="C1535" s="43" t="s">
        <v>6502</v>
      </c>
      <c r="D1535" s="38" t="s">
        <v>12657</v>
      </c>
      <c r="E1535" s="44">
        <v>12</v>
      </c>
      <c r="F1535" s="45">
        <v>36</v>
      </c>
      <c r="G1535" s="44">
        <v>19</v>
      </c>
      <c r="H1535" s="45">
        <v>47</v>
      </c>
      <c r="I1535" s="45">
        <v>3</v>
      </c>
      <c r="J1535" s="45">
        <v>2.4736842105263159</v>
      </c>
      <c r="K1535" s="46">
        <v>-0.17543859649122803</v>
      </c>
    </row>
    <row r="1536" spans="1:11" x14ac:dyDescent="0.2">
      <c r="A1536" s="38" t="s">
        <v>7</v>
      </c>
      <c r="B1536" s="38" t="s">
        <v>6507</v>
      </c>
      <c r="C1536" s="43" t="s">
        <v>6508</v>
      </c>
      <c r="D1536" s="38" t="s">
        <v>12657</v>
      </c>
      <c r="G1536" s="44">
        <v>15</v>
      </c>
      <c r="H1536" s="45">
        <v>585</v>
      </c>
      <c r="J1536" s="45">
        <v>39</v>
      </c>
    </row>
    <row r="1537" spans="1:11" x14ac:dyDescent="0.2">
      <c r="A1537" s="38" t="s">
        <v>7</v>
      </c>
      <c r="B1537" s="38" t="s">
        <v>6510</v>
      </c>
      <c r="C1537" s="43" t="s">
        <v>6511</v>
      </c>
      <c r="D1537" s="38" t="s">
        <v>12657</v>
      </c>
      <c r="G1537" s="44">
        <v>58</v>
      </c>
      <c r="H1537" s="45">
        <v>2239</v>
      </c>
      <c r="J1537" s="45">
        <v>38.603448275862071</v>
      </c>
    </row>
    <row r="1538" spans="1:11" x14ac:dyDescent="0.2">
      <c r="A1538" s="38" t="s">
        <v>7</v>
      </c>
      <c r="B1538" s="38" t="s">
        <v>6513</v>
      </c>
      <c r="C1538" s="43" t="s">
        <v>6514</v>
      </c>
      <c r="D1538" s="38" t="s">
        <v>12657</v>
      </c>
      <c r="E1538" s="44">
        <v>114</v>
      </c>
      <c r="F1538" s="45">
        <v>6638</v>
      </c>
      <c r="G1538" s="44">
        <v>58</v>
      </c>
      <c r="H1538" s="45">
        <v>3422</v>
      </c>
      <c r="I1538" s="45">
        <v>58.228070175438596</v>
      </c>
      <c r="J1538" s="45">
        <v>59</v>
      </c>
      <c r="K1538" s="46">
        <v>1.3257005122024717E-2</v>
      </c>
    </row>
    <row r="1539" spans="1:11" x14ac:dyDescent="0.2">
      <c r="A1539" s="38" t="s">
        <v>7</v>
      </c>
      <c r="B1539" s="38" t="s">
        <v>6516</v>
      </c>
      <c r="C1539" s="43" t="s">
        <v>6517</v>
      </c>
      <c r="D1539" s="38" t="s">
        <v>12657</v>
      </c>
      <c r="G1539" s="44">
        <v>64</v>
      </c>
      <c r="H1539" s="45">
        <v>320</v>
      </c>
      <c r="J1539" s="45">
        <v>5</v>
      </c>
    </row>
    <row r="1540" spans="1:11" x14ac:dyDescent="0.2">
      <c r="A1540" s="38" t="s">
        <v>7</v>
      </c>
      <c r="B1540" s="38" t="s">
        <v>6519</v>
      </c>
      <c r="C1540" s="43" t="s">
        <v>6520</v>
      </c>
      <c r="D1540" s="38" t="s">
        <v>12657</v>
      </c>
      <c r="E1540" s="44">
        <v>68</v>
      </c>
      <c r="F1540" s="45">
        <v>1770</v>
      </c>
      <c r="G1540" s="44">
        <v>41</v>
      </c>
      <c r="H1540" s="45">
        <v>1057</v>
      </c>
      <c r="I1540" s="45">
        <v>26.029411764705884</v>
      </c>
      <c r="J1540" s="45">
        <v>25.780487804878049</v>
      </c>
      <c r="K1540" s="46">
        <v>-9.5631803775665242E-3</v>
      </c>
    </row>
    <row r="1541" spans="1:11" x14ac:dyDescent="0.2">
      <c r="A1541" s="38" t="s">
        <v>7</v>
      </c>
      <c r="B1541" s="38" t="s">
        <v>6522</v>
      </c>
      <c r="C1541" s="43" t="s">
        <v>6523</v>
      </c>
      <c r="D1541" s="38" t="s">
        <v>12657</v>
      </c>
      <c r="E1541" s="44">
        <v>299</v>
      </c>
      <c r="F1541" s="45">
        <v>8854</v>
      </c>
      <c r="G1541" s="44">
        <v>623</v>
      </c>
      <c r="H1541" s="45">
        <v>14224</v>
      </c>
      <c r="I1541" s="45">
        <v>29.612040133779264</v>
      </c>
      <c r="J1541" s="45">
        <v>22.831460674157302</v>
      </c>
      <c r="K1541" s="46">
        <v>-0.22898048999626908</v>
      </c>
    </row>
    <row r="1542" spans="1:11" x14ac:dyDescent="0.2">
      <c r="A1542" s="38" t="s">
        <v>7</v>
      </c>
      <c r="B1542" s="38" t="s">
        <v>6525</v>
      </c>
      <c r="C1542" s="43" t="s">
        <v>6526</v>
      </c>
      <c r="D1542" s="38" t="s">
        <v>12657</v>
      </c>
      <c r="G1542" s="44">
        <v>4</v>
      </c>
      <c r="H1542" s="45">
        <v>104</v>
      </c>
      <c r="J1542" s="45">
        <v>26</v>
      </c>
    </row>
    <row r="1543" spans="1:11" x14ac:dyDescent="0.2">
      <c r="A1543" s="38" t="s">
        <v>7</v>
      </c>
      <c r="B1543" s="38" t="s">
        <v>6528</v>
      </c>
      <c r="C1543" s="43" t="s">
        <v>6529</v>
      </c>
      <c r="D1543" s="38" t="s">
        <v>12657</v>
      </c>
      <c r="E1543" s="44">
        <v>320</v>
      </c>
      <c r="F1543" s="45">
        <v>44759</v>
      </c>
      <c r="G1543" s="44">
        <v>255</v>
      </c>
      <c r="H1543" s="45">
        <v>31257</v>
      </c>
      <c r="I1543" s="45">
        <v>139.87187499999999</v>
      </c>
      <c r="J1543" s="45">
        <v>122.5764705882353</v>
      </c>
      <c r="K1543" s="46">
        <v>-0.12365176638809407</v>
      </c>
    </row>
    <row r="1544" spans="1:11" x14ac:dyDescent="0.2">
      <c r="A1544" s="38" t="s">
        <v>7</v>
      </c>
      <c r="B1544" s="38" t="s">
        <v>6531</v>
      </c>
      <c r="C1544" s="43" t="s">
        <v>6532</v>
      </c>
      <c r="D1544" s="38" t="s">
        <v>12657</v>
      </c>
      <c r="E1544" s="44">
        <v>33</v>
      </c>
      <c r="F1544" s="45">
        <v>9757</v>
      </c>
      <c r="G1544" s="44">
        <v>150</v>
      </c>
      <c r="H1544" s="45">
        <v>31950</v>
      </c>
      <c r="I1544" s="45">
        <v>295.66666666666669</v>
      </c>
      <c r="J1544" s="45">
        <v>213</v>
      </c>
      <c r="K1544" s="46">
        <v>-0.27959413754227741</v>
      </c>
    </row>
    <row r="1545" spans="1:11" x14ac:dyDescent="0.2">
      <c r="A1545" s="38" t="s">
        <v>7</v>
      </c>
      <c r="B1545" s="38" t="s">
        <v>6534</v>
      </c>
      <c r="C1545" s="43" t="s">
        <v>6535</v>
      </c>
      <c r="D1545" s="38" t="s">
        <v>12657</v>
      </c>
      <c r="E1545" s="44">
        <v>10</v>
      </c>
      <c r="F1545" s="45">
        <v>326</v>
      </c>
      <c r="G1545" s="44">
        <v>41</v>
      </c>
      <c r="H1545" s="45">
        <v>1017</v>
      </c>
      <c r="I1545" s="45">
        <v>32.6</v>
      </c>
      <c r="J1545" s="45">
        <v>24.804878048780488</v>
      </c>
      <c r="K1545" s="46">
        <v>-0.23911417028280715</v>
      </c>
    </row>
    <row r="1546" spans="1:11" x14ac:dyDescent="0.2">
      <c r="A1546" s="38" t="s">
        <v>7</v>
      </c>
      <c r="B1546" s="38" t="s">
        <v>6537</v>
      </c>
      <c r="C1546" s="43" t="s">
        <v>6538</v>
      </c>
      <c r="D1546" s="38" t="s">
        <v>12657</v>
      </c>
      <c r="E1546" s="44">
        <v>90</v>
      </c>
      <c r="F1546" s="45">
        <v>3168</v>
      </c>
      <c r="G1546" s="44">
        <v>181</v>
      </c>
      <c r="H1546" s="45">
        <v>4544</v>
      </c>
      <c r="I1546" s="45">
        <v>35.200000000000003</v>
      </c>
      <c r="J1546" s="45">
        <v>25.104972375690608</v>
      </c>
      <c r="K1546" s="46">
        <v>-0.28679055750878962</v>
      </c>
    </row>
    <row r="1547" spans="1:11" x14ac:dyDescent="0.2">
      <c r="A1547" s="38" t="s">
        <v>7</v>
      </c>
      <c r="B1547" s="38" t="s">
        <v>6543</v>
      </c>
      <c r="C1547" s="43" t="s">
        <v>6544</v>
      </c>
      <c r="D1547" s="38" t="s">
        <v>12657</v>
      </c>
      <c r="G1547" s="44">
        <v>27</v>
      </c>
      <c r="H1547" s="45">
        <v>70</v>
      </c>
      <c r="J1547" s="45">
        <v>2.5925925925925926</v>
      </c>
    </row>
    <row r="1548" spans="1:11" x14ac:dyDescent="0.2">
      <c r="A1548" s="38" t="s">
        <v>7</v>
      </c>
      <c r="B1548" s="38" t="s">
        <v>6546</v>
      </c>
      <c r="C1548" s="43" t="s">
        <v>6547</v>
      </c>
      <c r="D1548" s="38" t="s">
        <v>12657</v>
      </c>
      <c r="E1548" s="44">
        <v>8</v>
      </c>
      <c r="F1548" s="45">
        <v>300</v>
      </c>
      <c r="G1548" s="44">
        <v>59</v>
      </c>
      <c r="H1548" s="45">
        <v>2301</v>
      </c>
      <c r="I1548" s="45">
        <v>37.5</v>
      </c>
      <c r="J1548" s="45">
        <v>39</v>
      </c>
      <c r="K1548" s="46">
        <v>0.04</v>
      </c>
    </row>
    <row r="1549" spans="1:11" x14ac:dyDescent="0.2">
      <c r="A1549" s="38" t="s">
        <v>7</v>
      </c>
      <c r="B1549" s="38" t="s">
        <v>6549</v>
      </c>
      <c r="C1549" s="43" t="s">
        <v>6550</v>
      </c>
      <c r="D1549" s="38" t="s">
        <v>12657</v>
      </c>
      <c r="G1549" s="44">
        <v>10</v>
      </c>
      <c r="H1549" s="45">
        <v>24</v>
      </c>
      <c r="J1549" s="45">
        <v>2.4</v>
      </c>
    </row>
    <row r="1550" spans="1:11" x14ac:dyDescent="0.2">
      <c r="A1550" s="38" t="s">
        <v>7</v>
      </c>
      <c r="B1550" s="38" t="s">
        <v>6552</v>
      </c>
      <c r="C1550" s="43" t="s">
        <v>6553</v>
      </c>
      <c r="D1550" s="38" t="s">
        <v>12657</v>
      </c>
      <c r="G1550" s="44">
        <v>21</v>
      </c>
      <c r="H1550" s="45">
        <v>210</v>
      </c>
      <c r="J1550" s="45">
        <v>10</v>
      </c>
    </row>
    <row r="1551" spans="1:11" x14ac:dyDescent="0.2">
      <c r="A1551" s="38" t="s">
        <v>7</v>
      </c>
      <c r="B1551" s="38" t="s">
        <v>6558</v>
      </c>
      <c r="C1551" s="43" t="s">
        <v>6559</v>
      </c>
      <c r="D1551" s="38" t="s">
        <v>12657</v>
      </c>
      <c r="E1551" s="44">
        <v>6</v>
      </c>
      <c r="F1551" s="45">
        <v>356</v>
      </c>
      <c r="G1551" s="44">
        <v>1</v>
      </c>
      <c r="H1551" s="45">
        <v>60</v>
      </c>
      <c r="I1551" s="45">
        <v>59.333333333333336</v>
      </c>
      <c r="J1551" s="45">
        <v>60</v>
      </c>
      <c r="K1551" s="46">
        <v>1.1235955056179735E-2</v>
      </c>
    </row>
    <row r="1552" spans="1:11" x14ac:dyDescent="0.2">
      <c r="A1552" s="38" t="s">
        <v>7</v>
      </c>
      <c r="B1552" s="38" t="s">
        <v>6561</v>
      </c>
      <c r="C1552" s="43" t="s">
        <v>6562</v>
      </c>
      <c r="D1552" s="38" t="s">
        <v>12657</v>
      </c>
      <c r="G1552" s="44">
        <v>13</v>
      </c>
      <c r="H1552" s="45">
        <v>320</v>
      </c>
      <c r="J1552" s="45">
        <v>24.615384615384617</v>
      </c>
    </row>
    <row r="1553" spans="1:11" x14ac:dyDescent="0.2">
      <c r="A1553" s="38" t="s">
        <v>7</v>
      </c>
      <c r="B1553" s="38" t="s">
        <v>6564</v>
      </c>
      <c r="C1553" s="43" t="s">
        <v>6565</v>
      </c>
      <c r="D1553" s="38" t="s">
        <v>12658</v>
      </c>
      <c r="G1553" s="44">
        <v>7</v>
      </c>
      <c r="H1553" s="45">
        <v>2.94</v>
      </c>
      <c r="J1553" s="45">
        <v>0.42</v>
      </c>
    </row>
    <row r="1554" spans="1:11" x14ac:dyDescent="0.2">
      <c r="A1554" s="38" t="s">
        <v>7</v>
      </c>
      <c r="B1554" s="38" t="s">
        <v>6567</v>
      </c>
      <c r="C1554" s="43" t="s">
        <v>6568</v>
      </c>
      <c r="D1554" s="38" t="s">
        <v>12658</v>
      </c>
      <c r="G1554" s="44">
        <v>3</v>
      </c>
      <c r="H1554" s="45">
        <v>3</v>
      </c>
      <c r="J1554" s="45">
        <v>1</v>
      </c>
    </row>
    <row r="1555" spans="1:11" x14ac:dyDescent="0.2">
      <c r="A1555" s="38" t="s">
        <v>7</v>
      </c>
      <c r="B1555" s="38" t="s">
        <v>6570</v>
      </c>
      <c r="C1555" s="43" t="s">
        <v>6571</v>
      </c>
      <c r="D1555" s="38" t="s">
        <v>12658</v>
      </c>
      <c r="G1555" s="44">
        <v>1</v>
      </c>
      <c r="H1555" s="45">
        <v>5</v>
      </c>
      <c r="J1555" s="45">
        <v>5</v>
      </c>
    </row>
    <row r="1556" spans="1:11" x14ac:dyDescent="0.2">
      <c r="A1556" s="38" t="s">
        <v>7</v>
      </c>
      <c r="B1556" s="38" t="s">
        <v>6573</v>
      </c>
      <c r="C1556" s="43" t="s">
        <v>6574</v>
      </c>
      <c r="D1556" s="38" t="s">
        <v>12658</v>
      </c>
      <c r="E1556" s="44">
        <v>61</v>
      </c>
      <c r="F1556" s="45">
        <v>1141</v>
      </c>
      <c r="G1556" s="44">
        <v>62</v>
      </c>
      <c r="H1556" s="45">
        <v>821</v>
      </c>
      <c r="I1556" s="45">
        <v>18.704918032786885</v>
      </c>
      <c r="J1556" s="45">
        <v>13.241935483870968</v>
      </c>
      <c r="K1556" s="46">
        <v>-0.29206129314975543</v>
      </c>
    </row>
    <row r="1557" spans="1:11" x14ac:dyDescent="0.2">
      <c r="A1557" s="38" t="s">
        <v>7</v>
      </c>
      <c r="B1557" s="38" t="s">
        <v>6576</v>
      </c>
      <c r="C1557" s="43" t="s">
        <v>6577</v>
      </c>
      <c r="D1557" s="38" t="s">
        <v>12658</v>
      </c>
      <c r="E1557" s="44">
        <v>316</v>
      </c>
      <c r="F1557" s="45">
        <v>5228</v>
      </c>
      <c r="G1557" s="44">
        <v>485</v>
      </c>
      <c r="H1557" s="45">
        <v>5710</v>
      </c>
      <c r="I1557" s="45">
        <v>16.544303797468356</v>
      </c>
      <c r="J1557" s="45">
        <v>11.773195876288661</v>
      </c>
      <c r="K1557" s="46">
        <v>-0.28838372285630903</v>
      </c>
    </row>
    <row r="1558" spans="1:11" x14ac:dyDescent="0.2">
      <c r="A1558" s="38" t="s">
        <v>7</v>
      </c>
      <c r="B1558" s="38" t="s">
        <v>6579</v>
      </c>
      <c r="C1558" s="43" t="s">
        <v>6580</v>
      </c>
      <c r="D1558" s="38" t="s">
        <v>12658</v>
      </c>
      <c r="E1558" s="44">
        <v>823</v>
      </c>
      <c r="F1558" s="45">
        <v>1646</v>
      </c>
      <c r="G1558" s="44">
        <v>1128</v>
      </c>
      <c r="H1558" s="45">
        <v>2020</v>
      </c>
      <c r="I1558" s="45">
        <v>2</v>
      </c>
      <c r="J1558" s="45">
        <v>1.7907801418439717</v>
      </c>
      <c r="K1558" s="46">
        <v>-0.10460992907801414</v>
      </c>
    </row>
    <row r="1559" spans="1:11" x14ac:dyDescent="0.2">
      <c r="A1559" s="38" t="s">
        <v>7</v>
      </c>
      <c r="B1559" s="38" t="s">
        <v>6585</v>
      </c>
      <c r="C1559" s="43" t="s">
        <v>6586</v>
      </c>
      <c r="D1559" s="38" t="s">
        <v>12658</v>
      </c>
      <c r="E1559" s="44">
        <v>83</v>
      </c>
      <c r="F1559" s="45">
        <v>83</v>
      </c>
      <c r="G1559" s="44">
        <v>196</v>
      </c>
      <c r="H1559" s="45">
        <v>270</v>
      </c>
      <c r="I1559" s="45">
        <v>1</v>
      </c>
      <c r="J1559" s="45">
        <v>1.3775510204081634</v>
      </c>
      <c r="K1559" s="46">
        <v>0.37755102040816335</v>
      </c>
    </row>
    <row r="1560" spans="1:11" x14ac:dyDescent="0.2">
      <c r="A1560" s="38" t="s">
        <v>7</v>
      </c>
      <c r="B1560" s="38" t="s">
        <v>6588</v>
      </c>
      <c r="C1560" s="43" t="s">
        <v>6589</v>
      </c>
      <c r="D1560" s="38" t="s">
        <v>12658</v>
      </c>
      <c r="G1560" s="44">
        <v>30</v>
      </c>
      <c r="H1560" s="45">
        <v>25.68</v>
      </c>
      <c r="J1560" s="45">
        <v>0.85599999999999998</v>
      </c>
    </row>
    <row r="1561" spans="1:11" x14ac:dyDescent="0.2">
      <c r="A1561" s="38" t="s">
        <v>7</v>
      </c>
      <c r="B1561" s="38" t="s">
        <v>6591</v>
      </c>
      <c r="C1561" s="43" t="s">
        <v>6592</v>
      </c>
      <c r="D1561" s="38" t="s">
        <v>12658</v>
      </c>
      <c r="G1561" s="44">
        <v>19</v>
      </c>
      <c r="H1561" s="45">
        <v>565</v>
      </c>
      <c r="J1561" s="45">
        <v>29.736842105263158</v>
      </c>
    </row>
    <row r="1562" spans="1:11" x14ac:dyDescent="0.2">
      <c r="A1562" s="38" t="s">
        <v>7</v>
      </c>
      <c r="B1562" s="38" t="s">
        <v>6594</v>
      </c>
      <c r="C1562" s="43" t="s">
        <v>6595</v>
      </c>
      <c r="D1562" s="38" t="s">
        <v>12657</v>
      </c>
      <c r="E1562" s="44">
        <v>194</v>
      </c>
      <c r="F1562" s="45">
        <v>3228</v>
      </c>
      <c r="G1562" s="44">
        <v>197</v>
      </c>
      <c r="H1562" s="45">
        <v>2661</v>
      </c>
      <c r="I1562" s="45">
        <v>16.63917525773196</v>
      </c>
      <c r="J1562" s="45">
        <v>13.50761421319797</v>
      </c>
      <c r="K1562" s="46">
        <v>-0.1882041024286227</v>
      </c>
    </row>
    <row r="1563" spans="1:11" x14ac:dyDescent="0.2">
      <c r="A1563" s="38" t="s">
        <v>7</v>
      </c>
      <c r="B1563" s="38" t="s">
        <v>6597</v>
      </c>
      <c r="C1563" s="43" t="s">
        <v>6598</v>
      </c>
      <c r="D1563" s="38" t="s">
        <v>12657</v>
      </c>
      <c r="G1563" s="44">
        <v>13</v>
      </c>
      <c r="H1563" s="45">
        <v>5161</v>
      </c>
      <c r="J1563" s="45">
        <v>397</v>
      </c>
    </row>
    <row r="1564" spans="1:11" x14ac:dyDescent="0.2">
      <c r="A1564" s="38" t="s">
        <v>7</v>
      </c>
      <c r="B1564" s="38" t="s">
        <v>6600</v>
      </c>
      <c r="C1564" s="43" t="s">
        <v>6601</v>
      </c>
      <c r="D1564" s="38" t="s">
        <v>12657</v>
      </c>
      <c r="E1564" s="44">
        <v>26</v>
      </c>
      <c r="F1564" s="45">
        <v>846</v>
      </c>
      <c r="G1564" s="44">
        <v>27</v>
      </c>
      <c r="H1564" s="45">
        <v>651</v>
      </c>
      <c r="I1564" s="45">
        <v>32.53846153846154</v>
      </c>
      <c r="J1564" s="45">
        <v>24.111111111111111</v>
      </c>
      <c r="K1564" s="46">
        <v>-0.25899658523772001</v>
      </c>
    </row>
    <row r="1565" spans="1:11" x14ac:dyDescent="0.2">
      <c r="A1565" s="38" t="s">
        <v>7</v>
      </c>
      <c r="B1565" s="38" t="s">
        <v>6603</v>
      </c>
      <c r="C1565" s="43" t="s">
        <v>6604</v>
      </c>
      <c r="D1565" s="38" t="s">
        <v>12657</v>
      </c>
      <c r="E1565" s="44">
        <v>16</v>
      </c>
      <c r="F1565" s="45">
        <v>215</v>
      </c>
      <c r="G1565" s="44">
        <v>11</v>
      </c>
      <c r="H1565" s="45">
        <v>118</v>
      </c>
      <c r="I1565" s="45">
        <v>13.4375</v>
      </c>
      <c r="J1565" s="45">
        <v>10.727272727272727</v>
      </c>
      <c r="K1565" s="46">
        <v>-0.2016913319238901</v>
      </c>
    </row>
    <row r="1566" spans="1:11" x14ac:dyDescent="0.2">
      <c r="A1566" s="38" t="s">
        <v>7</v>
      </c>
      <c r="B1566" s="38" t="s">
        <v>6606</v>
      </c>
      <c r="C1566" s="43" t="s">
        <v>6607</v>
      </c>
      <c r="D1566" s="38" t="s">
        <v>12657</v>
      </c>
      <c r="G1566" s="44">
        <v>4</v>
      </c>
      <c r="H1566" s="45">
        <v>40</v>
      </c>
      <c r="J1566" s="45">
        <v>10</v>
      </c>
    </row>
    <row r="1567" spans="1:11" x14ac:dyDescent="0.2">
      <c r="A1567" s="38" t="s">
        <v>7</v>
      </c>
      <c r="B1567" s="38" t="s">
        <v>6609</v>
      </c>
      <c r="C1567" s="43" t="s">
        <v>6610</v>
      </c>
      <c r="D1567" s="38" t="s">
        <v>12657</v>
      </c>
      <c r="E1567" s="44">
        <v>18</v>
      </c>
      <c r="F1567" s="45">
        <v>580</v>
      </c>
      <c r="G1567" s="44">
        <v>89</v>
      </c>
      <c r="H1567" s="45">
        <v>2348</v>
      </c>
      <c r="I1567" s="45">
        <v>32.222222222222221</v>
      </c>
      <c r="J1567" s="45">
        <v>26.382022471910112</v>
      </c>
      <c r="K1567" s="46">
        <v>-0.18124757845796202</v>
      </c>
    </row>
    <row r="1568" spans="1:11" x14ac:dyDescent="0.2">
      <c r="A1568" s="38" t="s">
        <v>7</v>
      </c>
      <c r="B1568" s="38" t="s">
        <v>6612</v>
      </c>
      <c r="C1568" s="43" t="s">
        <v>6613</v>
      </c>
      <c r="D1568" s="38" t="s">
        <v>12657</v>
      </c>
      <c r="G1568" s="44">
        <v>1</v>
      </c>
      <c r="H1568" s="45">
        <v>22</v>
      </c>
      <c r="J1568" s="45">
        <v>22</v>
      </c>
    </row>
    <row r="1569" spans="1:11" x14ac:dyDescent="0.2">
      <c r="A1569" s="38" t="s">
        <v>7</v>
      </c>
      <c r="B1569" s="38" t="s">
        <v>6615</v>
      </c>
      <c r="C1569" s="43" t="s">
        <v>6616</v>
      </c>
      <c r="D1569" s="38" t="s">
        <v>12657</v>
      </c>
      <c r="E1569" s="44">
        <v>123</v>
      </c>
      <c r="F1569" s="45">
        <v>2670</v>
      </c>
      <c r="G1569" s="44">
        <v>102</v>
      </c>
      <c r="H1569" s="45">
        <v>2004</v>
      </c>
      <c r="I1569" s="45">
        <v>21.707317073170731</v>
      </c>
      <c r="J1569" s="45">
        <v>19.647058823529413</v>
      </c>
      <c r="K1569" s="46">
        <v>-9.4910773298083215E-2</v>
      </c>
    </row>
    <row r="1570" spans="1:11" x14ac:dyDescent="0.2">
      <c r="A1570" s="38" t="s">
        <v>7</v>
      </c>
      <c r="B1570" s="38" t="s">
        <v>6627</v>
      </c>
      <c r="C1570" s="43" t="s">
        <v>6628</v>
      </c>
      <c r="D1570" s="38" t="s">
        <v>12658</v>
      </c>
      <c r="E1570" s="44">
        <v>203</v>
      </c>
      <c r="F1570" s="45">
        <v>7220</v>
      </c>
      <c r="G1570" s="44">
        <v>132</v>
      </c>
      <c r="H1570" s="45">
        <v>3729</v>
      </c>
      <c r="I1570" s="45">
        <v>35.566502463054185</v>
      </c>
      <c r="J1570" s="45">
        <v>28.25</v>
      </c>
      <c r="K1570" s="46">
        <v>-0.20571329639889191</v>
      </c>
    </row>
    <row r="1571" spans="1:11" x14ac:dyDescent="0.2">
      <c r="A1571" s="38" t="s">
        <v>7</v>
      </c>
      <c r="B1571" s="38" t="s">
        <v>6630</v>
      </c>
      <c r="C1571" s="43" t="s">
        <v>6631</v>
      </c>
      <c r="D1571" s="38" t="s">
        <v>12657</v>
      </c>
      <c r="G1571" s="44">
        <v>3</v>
      </c>
      <c r="H1571" s="45">
        <v>114</v>
      </c>
      <c r="J1571" s="45">
        <v>38</v>
      </c>
    </row>
    <row r="1572" spans="1:11" x14ac:dyDescent="0.2">
      <c r="A1572" s="38" t="s">
        <v>7</v>
      </c>
      <c r="B1572" s="38" t="s">
        <v>6633</v>
      </c>
      <c r="C1572" s="43" t="s">
        <v>6634</v>
      </c>
      <c r="D1572" s="38" t="s">
        <v>12657</v>
      </c>
      <c r="E1572" s="44">
        <v>241</v>
      </c>
      <c r="F1572" s="45">
        <v>10135</v>
      </c>
      <c r="G1572" s="44">
        <v>322</v>
      </c>
      <c r="H1572" s="45">
        <v>11074</v>
      </c>
      <c r="I1572" s="45">
        <v>42.053941908713696</v>
      </c>
      <c r="J1572" s="45">
        <v>34.391304347826086</v>
      </c>
      <c r="K1572" s="46">
        <v>-0.18220973381094366</v>
      </c>
    </row>
    <row r="1573" spans="1:11" x14ac:dyDescent="0.2">
      <c r="A1573" s="38" t="s">
        <v>7</v>
      </c>
      <c r="B1573" s="38" t="s">
        <v>6636</v>
      </c>
      <c r="C1573" s="43" t="s">
        <v>6637</v>
      </c>
      <c r="D1573" s="38" t="s">
        <v>12657</v>
      </c>
      <c r="E1573" s="44">
        <v>50</v>
      </c>
      <c r="F1573" s="45">
        <v>2668</v>
      </c>
      <c r="G1573" s="44">
        <v>63</v>
      </c>
      <c r="H1573" s="45">
        <v>2342</v>
      </c>
      <c r="I1573" s="45">
        <v>53.36</v>
      </c>
      <c r="J1573" s="45">
        <v>37.174603174603178</v>
      </c>
      <c r="K1573" s="46">
        <v>-0.30332452821208439</v>
      </c>
    </row>
    <row r="1574" spans="1:11" x14ac:dyDescent="0.2">
      <c r="A1574" s="38" t="s">
        <v>7</v>
      </c>
      <c r="B1574" s="38" t="s">
        <v>6639</v>
      </c>
      <c r="C1574" s="43" t="s">
        <v>6640</v>
      </c>
      <c r="D1574" s="38" t="s">
        <v>12657</v>
      </c>
      <c r="E1574" s="44">
        <v>50</v>
      </c>
      <c r="F1574" s="45">
        <v>2114</v>
      </c>
      <c r="G1574" s="44">
        <v>93</v>
      </c>
      <c r="H1574" s="45">
        <v>3999</v>
      </c>
      <c r="I1574" s="45">
        <v>42.28</v>
      </c>
      <c r="J1574" s="45">
        <v>43</v>
      </c>
      <c r="K1574" s="46">
        <v>1.7029328287606407E-2</v>
      </c>
    </row>
    <row r="1575" spans="1:11" x14ac:dyDescent="0.2">
      <c r="A1575" s="38" t="s">
        <v>7</v>
      </c>
      <c r="B1575" s="38" t="s">
        <v>6645</v>
      </c>
      <c r="C1575" s="43" t="s">
        <v>6646</v>
      </c>
      <c r="D1575" s="38" t="s">
        <v>12657</v>
      </c>
      <c r="G1575" s="44">
        <v>510</v>
      </c>
      <c r="H1575" s="45">
        <v>11934</v>
      </c>
      <c r="J1575" s="45">
        <v>23.4</v>
      </c>
    </row>
    <row r="1576" spans="1:11" x14ac:dyDescent="0.2">
      <c r="A1576" s="38" t="s">
        <v>7</v>
      </c>
      <c r="B1576" s="38" t="s">
        <v>6651</v>
      </c>
      <c r="C1576" s="43" t="s">
        <v>6652</v>
      </c>
      <c r="D1576" s="38" t="s">
        <v>12658</v>
      </c>
      <c r="E1576" s="44">
        <v>340</v>
      </c>
      <c r="F1576" s="45">
        <v>2607</v>
      </c>
      <c r="G1576" s="44">
        <v>337</v>
      </c>
      <c r="H1576" s="45">
        <v>2696</v>
      </c>
      <c r="I1576" s="45">
        <v>7.6676470588235297</v>
      </c>
      <c r="J1576" s="45">
        <v>8</v>
      </c>
      <c r="K1576" s="46">
        <v>4.3344840813195201E-2</v>
      </c>
    </row>
    <row r="1577" spans="1:11" x14ac:dyDescent="0.2">
      <c r="A1577" s="38" t="s">
        <v>7</v>
      </c>
      <c r="B1577" s="38" t="s">
        <v>6654</v>
      </c>
      <c r="C1577" s="43" t="s">
        <v>6655</v>
      </c>
      <c r="D1577" s="38" t="s">
        <v>12658</v>
      </c>
      <c r="E1577" s="44">
        <v>411</v>
      </c>
      <c r="F1577" s="45">
        <v>3200</v>
      </c>
      <c r="G1577" s="44">
        <v>493</v>
      </c>
      <c r="H1577" s="45">
        <v>3944</v>
      </c>
      <c r="I1577" s="45">
        <v>7.785888077858881</v>
      </c>
      <c r="J1577" s="45">
        <v>8</v>
      </c>
      <c r="K1577" s="46">
        <v>2.7499999999999965E-2</v>
      </c>
    </row>
    <row r="1578" spans="1:11" x14ac:dyDescent="0.2">
      <c r="A1578" s="38" t="s">
        <v>7</v>
      </c>
      <c r="B1578" s="38" t="s">
        <v>6657</v>
      </c>
      <c r="C1578" s="43" t="s">
        <v>6658</v>
      </c>
      <c r="D1578" s="38" t="s">
        <v>12658</v>
      </c>
      <c r="E1578" s="44">
        <v>22</v>
      </c>
      <c r="F1578" s="45">
        <v>1806</v>
      </c>
      <c r="G1578" s="44">
        <v>20</v>
      </c>
      <c r="H1578" s="45">
        <v>1680</v>
      </c>
      <c r="I1578" s="45">
        <v>82.090909090909093</v>
      </c>
      <c r="J1578" s="45">
        <v>84</v>
      </c>
      <c r="K1578" s="46">
        <v>2.3255813953488341E-2</v>
      </c>
    </row>
    <row r="1579" spans="1:11" x14ac:dyDescent="0.2">
      <c r="A1579" s="38" t="s">
        <v>7</v>
      </c>
      <c r="B1579" s="38" t="s">
        <v>6660</v>
      </c>
      <c r="C1579" s="43" t="s">
        <v>6661</v>
      </c>
      <c r="D1579" s="38" t="s">
        <v>12658</v>
      </c>
      <c r="E1579" s="44">
        <v>647</v>
      </c>
      <c r="F1579" s="45">
        <v>42389</v>
      </c>
      <c r="G1579" s="44">
        <v>788</v>
      </c>
      <c r="H1579" s="45">
        <v>47396</v>
      </c>
      <c r="I1579" s="45">
        <v>65.516228748068002</v>
      </c>
      <c r="J1579" s="45">
        <v>60.147208121827411</v>
      </c>
      <c r="K1579" s="46">
        <v>-8.1949476165459501E-2</v>
      </c>
    </row>
    <row r="1580" spans="1:11" x14ac:dyDescent="0.2">
      <c r="A1580" s="38" t="s">
        <v>7</v>
      </c>
      <c r="B1580" s="38" t="s">
        <v>6663</v>
      </c>
      <c r="C1580" s="43" t="s">
        <v>6664</v>
      </c>
      <c r="D1580" s="38" t="s">
        <v>12657</v>
      </c>
      <c r="G1580" s="44">
        <v>15</v>
      </c>
      <c r="H1580" s="45">
        <v>80.849999999999994</v>
      </c>
      <c r="J1580" s="45">
        <v>5.39</v>
      </c>
    </row>
    <row r="1581" spans="1:11" x14ac:dyDescent="0.2">
      <c r="A1581" s="38" t="s">
        <v>7</v>
      </c>
      <c r="B1581" s="38" t="s">
        <v>6666</v>
      </c>
      <c r="C1581" s="43" t="s">
        <v>6667</v>
      </c>
      <c r="D1581" s="38" t="s">
        <v>12657</v>
      </c>
      <c r="E1581" s="44">
        <v>17</v>
      </c>
      <c r="F1581" s="45">
        <v>988</v>
      </c>
      <c r="G1581" s="44">
        <v>16</v>
      </c>
      <c r="H1581" s="45">
        <v>960</v>
      </c>
      <c r="I1581" s="45">
        <v>58.117647058823529</v>
      </c>
      <c r="J1581" s="45">
        <v>60</v>
      </c>
      <c r="K1581" s="46">
        <v>3.2388663967611343E-2</v>
      </c>
    </row>
    <row r="1582" spans="1:11" x14ac:dyDescent="0.2">
      <c r="A1582" s="38" t="s">
        <v>7</v>
      </c>
      <c r="B1582" s="38" t="s">
        <v>6669</v>
      </c>
      <c r="C1582" s="43" t="s">
        <v>6670</v>
      </c>
      <c r="D1582" s="38" t="s">
        <v>12657</v>
      </c>
      <c r="G1582" s="44">
        <v>7</v>
      </c>
      <c r="H1582" s="45">
        <v>1987.6</v>
      </c>
      <c r="J1582" s="45">
        <v>283.94285714285712</v>
      </c>
    </row>
    <row r="1583" spans="1:11" x14ac:dyDescent="0.2">
      <c r="A1583" s="38" t="s">
        <v>7</v>
      </c>
      <c r="B1583" s="38" t="s">
        <v>6678</v>
      </c>
      <c r="C1583" s="43" t="s">
        <v>6679</v>
      </c>
      <c r="D1583" s="38" t="s">
        <v>12657</v>
      </c>
      <c r="E1583" s="44">
        <v>7</v>
      </c>
      <c r="F1583" s="45">
        <v>119</v>
      </c>
      <c r="G1583" s="44">
        <v>3</v>
      </c>
      <c r="H1583" s="45">
        <v>51</v>
      </c>
      <c r="I1583" s="45">
        <v>17</v>
      </c>
      <c r="J1583" s="45">
        <v>17</v>
      </c>
      <c r="K1583" s="46">
        <v>0</v>
      </c>
    </row>
    <row r="1584" spans="1:11" x14ac:dyDescent="0.2">
      <c r="A1584" s="38" t="s">
        <v>7</v>
      </c>
      <c r="B1584" s="38" t="s">
        <v>6684</v>
      </c>
      <c r="C1584" s="43" t="s">
        <v>6685</v>
      </c>
      <c r="D1584" s="38" t="s">
        <v>12658</v>
      </c>
      <c r="E1584" s="44">
        <v>6</v>
      </c>
      <c r="F1584" s="45">
        <v>172</v>
      </c>
      <c r="G1584" s="44">
        <v>0</v>
      </c>
      <c r="H1584" s="45">
        <v>0</v>
      </c>
      <c r="I1584" s="45">
        <v>28.666666666666668</v>
      </c>
    </row>
    <row r="1585" spans="1:11" x14ac:dyDescent="0.2">
      <c r="A1585" s="38" t="s">
        <v>7</v>
      </c>
      <c r="B1585" s="38" t="s">
        <v>6687</v>
      </c>
      <c r="C1585" s="43" t="s">
        <v>6688</v>
      </c>
      <c r="D1585" s="38" t="s">
        <v>12657</v>
      </c>
      <c r="E1585" s="44">
        <v>114</v>
      </c>
      <c r="F1585" s="45">
        <v>92606</v>
      </c>
      <c r="G1585" s="44">
        <v>101</v>
      </c>
      <c r="H1585" s="45">
        <v>74383</v>
      </c>
      <c r="I1585" s="45">
        <v>812.33333333333337</v>
      </c>
      <c r="J1585" s="45">
        <v>736.46534653465346</v>
      </c>
      <c r="K1585" s="46">
        <v>-9.3395141730012191E-2</v>
      </c>
    </row>
    <row r="1586" spans="1:11" x14ac:dyDescent="0.2">
      <c r="A1586" s="38" t="s">
        <v>7</v>
      </c>
      <c r="B1586" s="38" t="s">
        <v>6693</v>
      </c>
      <c r="C1586" s="43" t="s">
        <v>6694</v>
      </c>
      <c r="D1586" s="38" t="s">
        <v>12658</v>
      </c>
      <c r="E1586" s="44">
        <v>5</v>
      </c>
      <c r="F1586" s="45">
        <v>212</v>
      </c>
      <c r="G1586" s="44">
        <v>12</v>
      </c>
      <c r="H1586" s="45">
        <v>440</v>
      </c>
      <c r="I1586" s="45">
        <v>42.4</v>
      </c>
      <c r="J1586" s="45">
        <v>36.666666666666664</v>
      </c>
      <c r="K1586" s="46">
        <v>-0.13522012578616355</v>
      </c>
    </row>
    <row r="1587" spans="1:11" x14ac:dyDescent="0.2">
      <c r="A1587" s="38" t="s">
        <v>7</v>
      </c>
      <c r="B1587" s="38" t="s">
        <v>6696</v>
      </c>
      <c r="C1587" s="43" t="s">
        <v>6697</v>
      </c>
      <c r="D1587" s="38" t="s">
        <v>12657</v>
      </c>
      <c r="E1587" s="44">
        <v>13</v>
      </c>
      <c r="F1587" s="45">
        <v>476</v>
      </c>
      <c r="G1587" s="44">
        <v>42</v>
      </c>
      <c r="H1587" s="45">
        <v>1316</v>
      </c>
      <c r="I1587" s="45">
        <v>36.615384615384613</v>
      </c>
      <c r="J1587" s="45">
        <v>31.333333333333332</v>
      </c>
      <c r="K1587" s="46">
        <v>-0.14425770308123248</v>
      </c>
    </row>
    <row r="1588" spans="1:11" x14ac:dyDescent="0.2">
      <c r="A1588" s="38" t="s">
        <v>7</v>
      </c>
      <c r="B1588" s="38" t="s">
        <v>6699</v>
      </c>
      <c r="C1588" s="43" t="s">
        <v>6700</v>
      </c>
      <c r="D1588" s="38" t="s">
        <v>12658</v>
      </c>
      <c r="E1588" s="44">
        <v>35</v>
      </c>
      <c r="F1588" s="45">
        <v>2716</v>
      </c>
      <c r="G1588" s="44">
        <v>35</v>
      </c>
      <c r="H1588" s="45">
        <v>2556</v>
      </c>
      <c r="I1588" s="45">
        <v>77.599999999999994</v>
      </c>
      <c r="J1588" s="45">
        <v>73.028571428571425</v>
      </c>
      <c r="K1588" s="46">
        <v>-5.8910162002945486E-2</v>
      </c>
    </row>
    <row r="1589" spans="1:11" x14ac:dyDescent="0.2">
      <c r="A1589" s="38" t="s">
        <v>7</v>
      </c>
      <c r="B1589" s="38" t="s">
        <v>6702</v>
      </c>
      <c r="C1589" s="43" t="s">
        <v>6703</v>
      </c>
      <c r="D1589" s="38" t="s">
        <v>12657</v>
      </c>
      <c r="G1589" s="44">
        <v>1</v>
      </c>
      <c r="H1589" s="45">
        <v>342</v>
      </c>
      <c r="J1589" s="45">
        <v>342</v>
      </c>
    </row>
    <row r="1590" spans="1:11" x14ac:dyDescent="0.2">
      <c r="A1590" s="38" t="s">
        <v>7</v>
      </c>
      <c r="B1590" s="38" t="s">
        <v>6708</v>
      </c>
      <c r="C1590" s="43" t="s">
        <v>6709</v>
      </c>
      <c r="D1590" s="38" t="s">
        <v>12657</v>
      </c>
      <c r="E1590" s="44">
        <v>198</v>
      </c>
      <c r="F1590" s="45">
        <v>8502</v>
      </c>
      <c r="G1590" s="44">
        <v>225</v>
      </c>
      <c r="H1590" s="45">
        <v>18632</v>
      </c>
      <c r="I1590" s="45">
        <v>42.939393939393938</v>
      </c>
      <c r="J1590" s="45">
        <v>82.808888888888887</v>
      </c>
      <c r="K1590" s="46">
        <v>0.92850623382733477</v>
      </c>
    </row>
    <row r="1591" spans="1:11" x14ac:dyDescent="0.2">
      <c r="A1591" s="38" t="s">
        <v>7</v>
      </c>
      <c r="B1591" s="38" t="s">
        <v>6714</v>
      </c>
      <c r="C1591" s="43" t="s">
        <v>6715</v>
      </c>
      <c r="D1591" s="38" t="s">
        <v>12658</v>
      </c>
      <c r="E1591" s="44">
        <v>89</v>
      </c>
      <c r="F1591" s="45">
        <v>4233</v>
      </c>
      <c r="G1591" s="44">
        <v>78</v>
      </c>
      <c r="H1591" s="45">
        <v>3458</v>
      </c>
      <c r="I1591" s="45">
        <v>47.561797752808985</v>
      </c>
      <c r="J1591" s="45">
        <v>44.333333333333336</v>
      </c>
      <c r="K1591" s="46">
        <v>-6.787936057957307E-2</v>
      </c>
    </row>
    <row r="1592" spans="1:11" x14ac:dyDescent="0.2">
      <c r="A1592" s="38" t="s">
        <v>7</v>
      </c>
      <c r="B1592" s="38" t="s">
        <v>6720</v>
      </c>
      <c r="C1592" s="43" t="s">
        <v>6721</v>
      </c>
      <c r="D1592" s="38" t="s">
        <v>12658</v>
      </c>
      <c r="E1592" s="44">
        <v>207</v>
      </c>
      <c r="F1592" s="45">
        <v>6757</v>
      </c>
      <c r="G1592" s="44">
        <v>263</v>
      </c>
      <c r="H1592" s="45">
        <v>7337</v>
      </c>
      <c r="I1592" s="45">
        <v>32.642512077294683</v>
      </c>
      <c r="J1592" s="45">
        <v>27.897338403041825</v>
      </c>
      <c r="K1592" s="46">
        <v>-0.14536790743974273</v>
      </c>
    </row>
    <row r="1593" spans="1:11" x14ac:dyDescent="0.2">
      <c r="A1593" s="38" t="s">
        <v>7</v>
      </c>
      <c r="B1593" s="38" t="s">
        <v>6723</v>
      </c>
      <c r="C1593" s="43" t="s">
        <v>6724</v>
      </c>
      <c r="D1593" s="38" t="s">
        <v>12657</v>
      </c>
      <c r="E1593" s="44">
        <v>136</v>
      </c>
      <c r="F1593" s="45">
        <v>5701</v>
      </c>
      <c r="G1593" s="44">
        <v>242</v>
      </c>
      <c r="H1593" s="45">
        <v>32417</v>
      </c>
      <c r="I1593" s="45">
        <v>41.919117647058826</v>
      </c>
      <c r="J1593" s="45">
        <v>133.95454545454547</v>
      </c>
      <c r="K1593" s="46">
        <v>2.1955478305241507</v>
      </c>
    </row>
    <row r="1594" spans="1:11" x14ac:dyDescent="0.2">
      <c r="A1594" s="38" t="s">
        <v>7</v>
      </c>
      <c r="B1594" s="38" t="s">
        <v>6726</v>
      </c>
      <c r="C1594" s="43" t="s">
        <v>6727</v>
      </c>
      <c r="D1594" s="38" t="s">
        <v>12657</v>
      </c>
      <c r="G1594" s="44">
        <v>8</v>
      </c>
      <c r="H1594" s="45">
        <v>628.08000000000004</v>
      </c>
      <c r="J1594" s="45">
        <v>78.510000000000005</v>
      </c>
    </row>
    <row r="1595" spans="1:11" x14ac:dyDescent="0.2">
      <c r="A1595" s="38" t="s">
        <v>7</v>
      </c>
      <c r="B1595" s="38" t="s">
        <v>6729</v>
      </c>
      <c r="C1595" s="43" t="s">
        <v>6730</v>
      </c>
      <c r="D1595" s="38" t="s">
        <v>12658</v>
      </c>
      <c r="E1595" s="44">
        <v>46</v>
      </c>
      <c r="F1595" s="45">
        <v>1681</v>
      </c>
      <c r="G1595" s="44">
        <v>38</v>
      </c>
      <c r="H1595" s="45">
        <v>1076</v>
      </c>
      <c r="I1595" s="45">
        <v>36.543478260869563</v>
      </c>
      <c r="J1595" s="45">
        <v>28.315789473684209</v>
      </c>
      <c r="K1595" s="46">
        <v>-0.22514793825730298</v>
      </c>
    </row>
    <row r="1596" spans="1:11" x14ac:dyDescent="0.2">
      <c r="A1596" s="38" t="s">
        <v>7</v>
      </c>
      <c r="B1596" s="38" t="s">
        <v>6738</v>
      </c>
      <c r="C1596" s="43" t="s">
        <v>6739</v>
      </c>
      <c r="D1596" s="38" t="s">
        <v>12658</v>
      </c>
      <c r="G1596" s="44">
        <v>8</v>
      </c>
      <c r="H1596" s="45">
        <v>118</v>
      </c>
      <c r="J1596" s="45">
        <v>14.75</v>
      </c>
    </row>
    <row r="1597" spans="1:11" x14ac:dyDescent="0.2">
      <c r="A1597" s="38" t="s">
        <v>7</v>
      </c>
      <c r="B1597" s="38" t="s">
        <v>6741</v>
      </c>
      <c r="C1597" s="43" t="s">
        <v>6742</v>
      </c>
      <c r="D1597" s="38" t="s">
        <v>12658</v>
      </c>
      <c r="E1597" s="44">
        <v>33</v>
      </c>
      <c r="F1597" s="45">
        <v>99</v>
      </c>
      <c r="G1597" s="44">
        <v>8</v>
      </c>
      <c r="H1597" s="45">
        <v>24</v>
      </c>
      <c r="I1597" s="45">
        <v>3</v>
      </c>
      <c r="J1597" s="45">
        <v>3</v>
      </c>
      <c r="K1597" s="46">
        <v>0</v>
      </c>
    </row>
    <row r="1598" spans="1:11" x14ac:dyDescent="0.2">
      <c r="A1598" s="38" t="s">
        <v>7</v>
      </c>
      <c r="B1598" s="38" t="s">
        <v>6744</v>
      </c>
      <c r="C1598" s="43" t="s">
        <v>6745</v>
      </c>
      <c r="D1598" s="38" t="s">
        <v>12658</v>
      </c>
      <c r="E1598" s="44">
        <v>258</v>
      </c>
      <c r="F1598" s="45">
        <v>7098</v>
      </c>
      <c r="G1598" s="44">
        <v>329</v>
      </c>
      <c r="H1598" s="45">
        <v>8692</v>
      </c>
      <c r="I1598" s="45">
        <v>27.511627906976745</v>
      </c>
      <c r="J1598" s="45">
        <v>26.419452887537993</v>
      </c>
      <c r="K1598" s="46">
        <v>-3.9698669345618207E-2</v>
      </c>
    </row>
    <row r="1599" spans="1:11" x14ac:dyDescent="0.2">
      <c r="A1599" s="38" t="s">
        <v>7</v>
      </c>
      <c r="B1599" s="38" t="s">
        <v>6750</v>
      </c>
      <c r="C1599" s="43" t="s">
        <v>6751</v>
      </c>
      <c r="D1599" s="38" t="s">
        <v>12657</v>
      </c>
      <c r="E1599" s="44">
        <v>55</v>
      </c>
      <c r="F1599" s="45">
        <v>2344</v>
      </c>
      <c r="G1599" s="44">
        <v>19</v>
      </c>
      <c r="H1599" s="45">
        <v>817</v>
      </c>
      <c r="I1599" s="45">
        <v>42.618181818181817</v>
      </c>
      <c r="J1599" s="45">
        <v>43</v>
      </c>
      <c r="K1599" s="46">
        <v>8.9590443686007049E-3</v>
      </c>
    </row>
    <row r="1600" spans="1:11" x14ac:dyDescent="0.2">
      <c r="A1600" s="38" t="s">
        <v>7</v>
      </c>
      <c r="B1600" s="38" t="s">
        <v>6753</v>
      </c>
      <c r="C1600" s="43" t="s">
        <v>6754</v>
      </c>
      <c r="D1600" s="38" t="s">
        <v>12658</v>
      </c>
      <c r="E1600" s="44">
        <v>782</v>
      </c>
      <c r="F1600" s="45">
        <v>2346</v>
      </c>
      <c r="G1600" s="44">
        <v>1532</v>
      </c>
      <c r="H1600" s="45">
        <v>8166</v>
      </c>
      <c r="I1600" s="45">
        <v>3</v>
      </c>
      <c r="J1600" s="45">
        <v>5.3302872062663189</v>
      </c>
      <c r="K1600" s="46">
        <v>0.77676240208877301</v>
      </c>
    </row>
    <row r="1601" spans="1:11" x14ac:dyDescent="0.2">
      <c r="A1601" s="38" t="s">
        <v>7</v>
      </c>
      <c r="B1601" s="38" t="s">
        <v>6759</v>
      </c>
      <c r="C1601" s="43" t="s">
        <v>6760</v>
      </c>
      <c r="D1601" s="38" t="s">
        <v>12658</v>
      </c>
      <c r="E1601" s="44">
        <v>825</v>
      </c>
      <c r="F1601" s="45">
        <v>24362</v>
      </c>
      <c r="G1601" s="44">
        <v>769</v>
      </c>
      <c r="H1601" s="45">
        <v>20045</v>
      </c>
      <c r="I1601" s="45">
        <v>29.529696969696971</v>
      </c>
      <c r="J1601" s="45">
        <v>26.066319895968789</v>
      </c>
      <c r="K1601" s="46">
        <v>-0.11728454502199122</v>
      </c>
    </row>
    <row r="1602" spans="1:11" x14ac:dyDescent="0.2">
      <c r="A1602" s="38" t="s">
        <v>7</v>
      </c>
      <c r="B1602" s="38" t="s">
        <v>6762</v>
      </c>
      <c r="C1602" s="43" t="s">
        <v>6763</v>
      </c>
      <c r="D1602" s="38" t="s">
        <v>12658</v>
      </c>
      <c r="G1602" s="44">
        <v>4</v>
      </c>
      <c r="H1602" s="45">
        <v>236</v>
      </c>
      <c r="J1602" s="45">
        <v>59</v>
      </c>
    </row>
    <row r="1603" spans="1:11" x14ac:dyDescent="0.2">
      <c r="A1603" s="38" t="s">
        <v>7</v>
      </c>
      <c r="B1603" s="38" t="s">
        <v>6765</v>
      </c>
      <c r="C1603" s="43" t="s">
        <v>6766</v>
      </c>
      <c r="D1603" s="38" t="s">
        <v>12657</v>
      </c>
      <c r="E1603" s="44">
        <v>40</v>
      </c>
      <c r="F1603" s="45">
        <v>1312</v>
      </c>
      <c r="G1603" s="44">
        <v>92</v>
      </c>
      <c r="H1603" s="45">
        <v>2656</v>
      </c>
      <c r="I1603" s="45">
        <v>32.799999999999997</v>
      </c>
      <c r="J1603" s="45">
        <v>28.869565217391305</v>
      </c>
      <c r="K1603" s="46">
        <v>-0.11983032873806991</v>
      </c>
    </row>
    <row r="1604" spans="1:11" x14ac:dyDescent="0.2">
      <c r="A1604" s="38" t="s">
        <v>7</v>
      </c>
      <c r="B1604" s="38" t="s">
        <v>6768</v>
      </c>
      <c r="C1604" s="43" t="s">
        <v>6769</v>
      </c>
      <c r="D1604" s="38" t="s">
        <v>12657</v>
      </c>
      <c r="G1604" s="44">
        <v>18</v>
      </c>
      <c r="H1604" s="45">
        <v>1569</v>
      </c>
      <c r="J1604" s="45">
        <v>87.166666666666671</v>
      </c>
    </row>
    <row r="1605" spans="1:11" x14ac:dyDescent="0.2">
      <c r="A1605" s="38" t="s">
        <v>7</v>
      </c>
      <c r="B1605" s="38" t="s">
        <v>6771</v>
      </c>
      <c r="C1605" s="43" t="s">
        <v>6772</v>
      </c>
      <c r="D1605" s="38" t="s">
        <v>12657</v>
      </c>
      <c r="E1605" s="44">
        <v>722</v>
      </c>
      <c r="F1605" s="45">
        <v>37418</v>
      </c>
      <c r="G1605" s="44">
        <v>1241</v>
      </c>
      <c r="H1605" s="45">
        <v>53604</v>
      </c>
      <c r="I1605" s="45">
        <v>51.825484764542935</v>
      </c>
      <c r="J1605" s="45">
        <v>43.1941982272361</v>
      </c>
      <c r="K1605" s="46">
        <v>-0.16654521566987907</v>
      </c>
    </row>
    <row r="1606" spans="1:11" x14ac:dyDescent="0.2">
      <c r="A1606" s="38" t="s">
        <v>7</v>
      </c>
      <c r="B1606" s="38" t="s">
        <v>6774</v>
      </c>
      <c r="C1606" s="43" t="s">
        <v>6775</v>
      </c>
      <c r="D1606" s="38" t="s">
        <v>12657</v>
      </c>
      <c r="E1606" s="44">
        <v>126</v>
      </c>
      <c r="F1606" s="45">
        <v>1707</v>
      </c>
      <c r="G1606" s="44">
        <v>761</v>
      </c>
      <c r="H1606" s="45">
        <v>14227</v>
      </c>
      <c r="I1606" s="45">
        <v>13.547619047619047</v>
      </c>
      <c r="J1606" s="45">
        <v>18.695137976346913</v>
      </c>
      <c r="K1606" s="46">
        <v>0.37995746046848922</v>
      </c>
    </row>
    <row r="1607" spans="1:11" x14ac:dyDescent="0.2">
      <c r="A1607" s="38" t="s">
        <v>7</v>
      </c>
      <c r="B1607" s="38" t="s">
        <v>6777</v>
      </c>
      <c r="C1607" s="43" t="s">
        <v>6778</v>
      </c>
      <c r="D1607" s="38" t="s">
        <v>12657</v>
      </c>
      <c r="E1607" s="44">
        <v>263</v>
      </c>
      <c r="F1607" s="45">
        <v>3596</v>
      </c>
      <c r="G1607" s="44">
        <v>442</v>
      </c>
      <c r="H1607" s="45">
        <v>9203</v>
      </c>
      <c r="I1607" s="45">
        <v>13.673003802281368</v>
      </c>
      <c r="J1607" s="45">
        <v>20.821266968325791</v>
      </c>
      <c r="K1607" s="46">
        <v>0.52280122710502874</v>
      </c>
    </row>
    <row r="1608" spans="1:11" x14ac:dyDescent="0.2">
      <c r="A1608" s="38" t="s">
        <v>7</v>
      </c>
      <c r="B1608" s="38" t="s">
        <v>6780</v>
      </c>
      <c r="C1608" s="43" t="s">
        <v>6781</v>
      </c>
      <c r="D1608" s="38" t="s">
        <v>12657</v>
      </c>
      <c r="G1608" s="44">
        <v>2</v>
      </c>
      <c r="H1608" s="45">
        <v>4</v>
      </c>
      <c r="J1608" s="45">
        <v>2</v>
      </c>
    </row>
    <row r="1609" spans="1:11" x14ac:dyDescent="0.2">
      <c r="A1609" s="38" t="s">
        <v>7</v>
      </c>
      <c r="B1609" s="38" t="s">
        <v>6786</v>
      </c>
      <c r="C1609" s="43" t="s">
        <v>6787</v>
      </c>
      <c r="D1609" s="38" t="s">
        <v>12661</v>
      </c>
      <c r="E1609" s="44">
        <v>105</v>
      </c>
      <c r="F1609" s="45">
        <v>5675</v>
      </c>
      <c r="G1609" s="44">
        <v>165</v>
      </c>
      <c r="H1609" s="45">
        <v>8391</v>
      </c>
      <c r="I1609" s="45">
        <v>54.047619047619051</v>
      </c>
      <c r="J1609" s="45">
        <v>50.854545454545452</v>
      </c>
      <c r="K1609" s="46">
        <v>-5.907889467360844E-2</v>
      </c>
    </row>
    <row r="1610" spans="1:11" x14ac:dyDescent="0.2">
      <c r="A1610" s="38" t="s">
        <v>7</v>
      </c>
      <c r="B1610" s="38" t="s">
        <v>6792</v>
      </c>
      <c r="C1610" s="43" t="s">
        <v>6793</v>
      </c>
      <c r="D1610" s="38" t="s">
        <v>12658</v>
      </c>
      <c r="E1610" s="44">
        <v>52</v>
      </c>
      <c r="F1610" s="45">
        <v>1100</v>
      </c>
      <c r="G1610" s="44">
        <v>83</v>
      </c>
      <c r="H1610" s="45">
        <v>1474</v>
      </c>
      <c r="I1610" s="45">
        <v>21.153846153846153</v>
      </c>
      <c r="J1610" s="45">
        <v>17.759036144578314</v>
      </c>
      <c r="K1610" s="46">
        <v>-0.16048192771084333</v>
      </c>
    </row>
    <row r="1611" spans="1:11" x14ac:dyDescent="0.2">
      <c r="A1611" s="38" t="s">
        <v>7</v>
      </c>
      <c r="B1611" s="38" t="s">
        <v>6795</v>
      </c>
      <c r="C1611" s="43" t="s">
        <v>6796</v>
      </c>
      <c r="D1611" s="38" t="s">
        <v>12658</v>
      </c>
      <c r="G1611" s="44">
        <v>29</v>
      </c>
      <c r="H1611" s="45">
        <v>453</v>
      </c>
      <c r="J1611" s="45">
        <v>15.620689655172415</v>
      </c>
    </row>
    <row r="1612" spans="1:11" x14ac:dyDescent="0.2">
      <c r="A1612" s="38" t="s">
        <v>7</v>
      </c>
      <c r="B1612" s="38" t="s">
        <v>6798</v>
      </c>
      <c r="C1612" s="43" t="s">
        <v>6799</v>
      </c>
      <c r="D1612" s="38" t="s">
        <v>12658</v>
      </c>
      <c r="G1612" s="44">
        <v>11</v>
      </c>
      <c r="H1612" s="45">
        <v>78.319999999999993</v>
      </c>
      <c r="J1612" s="45">
        <v>7.1199999999999992</v>
      </c>
    </row>
    <row r="1613" spans="1:11" x14ac:dyDescent="0.2">
      <c r="A1613" s="38" t="s">
        <v>7</v>
      </c>
      <c r="B1613" s="38" t="s">
        <v>6801</v>
      </c>
      <c r="C1613" s="43" t="s">
        <v>6802</v>
      </c>
      <c r="D1613" s="38" t="s">
        <v>12657</v>
      </c>
      <c r="E1613" s="44">
        <v>259</v>
      </c>
      <c r="F1613" s="45">
        <v>9644</v>
      </c>
      <c r="G1613" s="44">
        <v>454</v>
      </c>
      <c r="H1613" s="45">
        <v>16732</v>
      </c>
      <c r="I1613" s="45">
        <v>37.235521235521233</v>
      </c>
      <c r="J1613" s="45">
        <v>36.854625550660792</v>
      </c>
      <c r="K1613" s="46">
        <v>-1.0229363581382645E-2</v>
      </c>
    </row>
    <row r="1614" spans="1:11" x14ac:dyDescent="0.2">
      <c r="A1614" s="38" t="s">
        <v>7</v>
      </c>
      <c r="B1614" s="38" t="s">
        <v>6803</v>
      </c>
      <c r="C1614" s="43" t="s">
        <v>6804</v>
      </c>
      <c r="D1614" s="38" t="s">
        <v>12657</v>
      </c>
      <c r="G1614" s="44">
        <v>10</v>
      </c>
      <c r="H1614" s="45">
        <v>6100</v>
      </c>
      <c r="J1614" s="45">
        <v>610</v>
      </c>
    </row>
    <row r="1615" spans="1:11" x14ac:dyDescent="0.2">
      <c r="A1615" s="38" t="s">
        <v>7</v>
      </c>
      <c r="B1615" s="38" t="s">
        <v>6806</v>
      </c>
      <c r="C1615" s="43" t="s">
        <v>6807</v>
      </c>
      <c r="D1615" s="38" t="s">
        <v>12657</v>
      </c>
      <c r="G1615" s="44">
        <v>45</v>
      </c>
      <c r="H1615" s="45">
        <v>1710</v>
      </c>
      <c r="J1615" s="45">
        <v>38</v>
      </c>
    </row>
    <row r="1616" spans="1:11" x14ac:dyDescent="0.2">
      <c r="A1616" s="38" t="s">
        <v>7</v>
      </c>
      <c r="B1616" s="38" t="s">
        <v>6809</v>
      </c>
      <c r="C1616" s="43" t="s">
        <v>6810</v>
      </c>
      <c r="D1616" s="38" t="s">
        <v>12657</v>
      </c>
      <c r="E1616" s="44">
        <v>1259</v>
      </c>
      <c r="F1616" s="45">
        <v>21001</v>
      </c>
      <c r="G1616" s="44">
        <v>1801</v>
      </c>
      <c r="H1616" s="45">
        <v>26367</v>
      </c>
      <c r="I1616" s="45">
        <v>16.680698967434473</v>
      </c>
      <c r="J1616" s="45">
        <v>14.640199888950583</v>
      </c>
      <c r="K1616" s="46">
        <v>-0.12232695299324876</v>
      </c>
    </row>
    <row r="1617" spans="1:11" x14ac:dyDescent="0.2">
      <c r="A1617" s="38" t="s">
        <v>7</v>
      </c>
      <c r="B1617" s="38" t="s">
        <v>6812</v>
      </c>
      <c r="C1617" s="43" t="s">
        <v>6813</v>
      </c>
      <c r="D1617" s="38" t="s">
        <v>12657</v>
      </c>
      <c r="E1617" s="44">
        <v>150</v>
      </c>
      <c r="F1617" s="45">
        <v>9995</v>
      </c>
      <c r="G1617" s="44">
        <v>104</v>
      </c>
      <c r="H1617" s="45">
        <v>8021</v>
      </c>
      <c r="I1617" s="45">
        <v>66.63333333333334</v>
      </c>
      <c r="J1617" s="45">
        <v>77.125</v>
      </c>
      <c r="K1617" s="46">
        <v>0.15745372686343159</v>
      </c>
    </row>
    <row r="1618" spans="1:11" x14ac:dyDescent="0.2">
      <c r="A1618" s="38" t="s">
        <v>7</v>
      </c>
      <c r="B1618" s="38" t="s">
        <v>6815</v>
      </c>
      <c r="C1618" s="43" t="s">
        <v>6816</v>
      </c>
      <c r="D1618" s="38" t="s">
        <v>12657</v>
      </c>
      <c r="E1618" s="44">
        <v>613</v>
      </c>
      <c r="F1618" s="45">
        <v>39941</v>
      </c>
      <c r="G1618" s="44">
        <v>922</v>
      </c>
      <c r="H1618" s="45">
        <v>48098</v>
      </c>
      <c r="I1618" s="45">
        <v>65.156606851549753</v>
      </c>
      <c r="J1618" s="45">
        <v>52.167028199566161</v>
      </c>
      <c r="K1618" s="46">
        <v>-0.19935934787977122</v>
      </c>
    </row>
    <row r="1619" spans="1:11" x14ac:dyDescent="0.2">
      <c r="A1619" s="38" t="s">
        <v>7</v>
      </c>
      <c r="B1619" s="38" t="s">
        <v>6818</v>
      </c>
      <c r="C1619" s="43" t="s">
        <v>6819</v>
      </c>
      <c r="D1619" s="38" t="s">
        <v>12657</v>
      </c>
      <c r="G1619" s="44">
        <v>4</v>
      </c>
      <c r="H1619" s="45">
        <v>180</v>
      </c>
      <c r="J1619" s="45">
        <v>45</v>
      </c>
    </row>
    <row r="1620" spans="1:11" x14ac:dyDescent="0.2">
      <c r="A1620" s="38" t="s">
        <v>7</v>
      </c>
      <c r="B1620" s="38" t="s">
        <v>6824</v>
      </c>
      <c r="C1620" s="43" t="s">
        <v>6825</v>
      </c>
      <c r="D1620" s="38" t="s">
        <v>12657</v>
      </c>
      <c r="E1620" s="44">
        <v>68</v>
      </c>
      <c r="F1620" s="45">
        <v>3816</v>
      </c>
      <c r="G1620" s="44">
        <v>65</v>
      </c>
      <c r="H1620" s="45">
        <v>10137</v>
      </c>
      <c r="I1620" s="45">
        <v>56.117647058823529</v>
      </c>
      <c r="J1620" s="45">
        <v>155.95384615384614</v>
      </c>
      <c r="K1620" s="46">
        <v>1.7790517658442184</v>
      </c>
    </row>
    <row r="1621" spans="1:11" x14ac:dyDescent="0.2">
      <c r="A1621" s="38" t="s">
        <v>7</v>
      </c>
      <c r="B1621" s="38" t="s">
        <v>6830</v>
      </c>
      <c r="C1621" s="43" t="s">
        <v>6831</v>
      </c>
      <c r="D1621" s="38" t="s">
        <v>12657</v>
      </c>
      <c r="G1621" s="44">
        <v>4</v>
      </c>
      <c r="H1621" s="45">
        <v>463</v>
      </c>
      <c r="J1621" s="45">
        <v>115.75</v>
      </c>
    </row>
    <row r="1622" spans="1:11" x14ac:dyDescent="0.2">
      <c r="A1622" s="38" t="s">
        <v>7</v>
      </c>
      <c r="B1622" s="38" t="s">
        <v>6833</v>
      </c>
      <c r="C1622" s="43" t="s">
        <v>6834</v>
      </c>
      <c r="D1622" s="38" t="s">
        <v>12657</v>
      </c>
      <c r="G1622" s="44">
        <v>6</v>
      </c>
      <c r="H1622" s="45">
        <v>108</v>
      </c>
      <c r="J1622" s="45">
        <v>18</v>
      </c>
    </row>
    <row r="1623" spans="1:11" x14ac:dyDescent="0.2">
      <c r="A1623" s="38" t="s">
        <v>7</v>
      </c>
      <c r="B1623" s="38" t="s">
        <v>6836</v>
      </c>
      <c r="C1623" s="43" t="s">
        <v>6837</v>
      </c>
      <c r="D1623" s="38" t="s">
        <v>12657</v>
      </c>
      <c r="G1623" s="44">
        <v>22</v>
      </c>
      <c r="H1623" s="45">
        <v>836</v>
      </c>
      <c r="J1623" s="45">
        <v>38</v>
      </c>
    </row>
    <row r="1624" spans="1:11" x14ac:dyDescent="0.2">
      <c r="A1624" s="38" t="s">
        <v>7</v>
      </c>
      <c r="B1624" s="38" t="s">
        <v>6839</v>
      </c>
      <c r="C1624" s="43" t="s">
        <v>6840</v>
      </c>
      <c r="D1624" s="38" t="s">
        <v>12658</v>
      </c>
      <c r="E1624" s="44">
        <v>19</v>
      </c>
      <c r="F1624" s="45">
        <v>692</v>
      </c>
      <c r="G1624" s="44">
        <v>7</v>
      </c>
      <c r="H1624" s="45">
        <v>266</v>
      </c>
      <c r="I1624" s="45">
        <v>36.421052631578945</v>
      </c>
      <c r="J1624" s="45">
        <v>38</v>
      </c>
      <c r="K1624" s="46">
        <v>4.3352601156069426E-2</v>
      </c>
    </row>
    <row r="1625" spans="1:11" x14ac:dyDescent="0.2">
      <c r="A1625" s="38" t="s">
        <v>7</v>
      </c>
      <c r="B1625" s="38" t="s">
        <v>6842</v>
      </c>
      <c r="C1625" s="43" t="s">
        <v>6843</v>
      </c>
      <c r="D1625" s="38" t="s">
        <v>12657</v>
      </c>
      <c r="G1625" s="44">
        <v>57</v>
      </c>
      <c r="H1625" s="45">
        <v>1935</v>
      </c>
      <c r="J1625" s="45">
        <v>33.94736842105263</v>
      </c>
    </row>
    <row r="1626" spans="1:11" x14ac:dyDescent="0.2">
      <c r="A1626" s="38" t="s">
        <v>7</v>
      </c>
      <c r="B1626" s="38" t="s">
        <v>6845</v>
      </c>
      <c r="C1626" s="43" t="s">
        <v>6846</v>
      </c>
      <c r="D1626" s="38" t="s">
        <v>12657</v>
      </c>
      <c r="G1626" s="44">
        <v>40</v>
      </c>
      <c r="H1626" s="45">
        <v>1040</v>
      </c>
      <c r="J1626" s="45">
        <v>26</v>
      </c>
    </row>
    <row r="1627" spans="1:11" x14ac:dyDescent="0.2">
      <c r="A1627" s="38" t="s">
        <v>7</v>
      </c>
      <c r="B1627" s="38" t="s">
        <v>6848</v>
      </c>
      <c r="C1627" s="43" t="s">
        <v>6849</v>
      </c>
      <c r="D1627" s="38" t="s">
        <v>12657</v>
      </c>
      <c r="E1627" s="44">
        <v>94</v>
      </c>
      <c r="F1627" s="45">
        <v>5176</v>
      </c>
      <c r="G1627" s="44">
        <v>178</v>
      </c>
      <c r="H1627" s="45">
        <v>17923</v>
      </c>
      <c r="I1627" s="45">
        <v>55.063829787234042</v>
      </c>
      <c r="J1627" s="45">
        <v>100.69101123595506</v>
      </c>
      <c r="K1627" s="46">
        <v>0.82862346525884389</v>
      </c>
    </row>
    <row r="1628" spans="1:11" x14ac:dyDescent="0.2">
      <c r="A1628" s="38" t="s">
        <v>7</v>
      </c>
      <c r="B1628" s="38" t="s">
        <v>6851</v>
      </c>
      <c r="C1628" s="43" t="s">
        <v>6852</v>
      </c>
      <c r="D1628" s="38" t="s">
        <v>12657</v>
      </c>
      <c r="G1628" s="44">
        <v>23</v>
      </c>
      <c r="H1628" s="45">
        <v>1935</v>
      </c>
      <c r="J1628" s="45">
        <v>84.130434782608702</v>
      </c>
    </row>
    <row r="1629" spans="1:11" x14ac:dyDescent="0.2">
      <c r="A1629" s="38" t="s">
        <v>7</v>
      </c>
      <c r="B1629" s="38" t="s">
        <v>6854</v>
      </c>
      <c r="C1629" s="43" t="s">
        <v>6855</v>
      </c>
      <c r="D1629" s="38" t="s">
        <v>12658</v>
      </c>
      <c r="E1629" s="44">
        <v>62</v>
      </c>
      <c r="F1629" s="45">
        <v>653</v>
      </c>
      <c r="G1629" s="44">
        <v>29</v>
      </c>
      <c r="H1629" s="45">
        <v>473</v>
      </c>
      <c r="I1629" s="45">
        <v>10.53225806451613</v>
      </c>
      <c r="J1629" s="45">
        <v>16.310344827586206</v>
      </c>
      <c r="K1629" s="46">
        <v>0.54860854411997662</v>
      </c>
    </row>
    <row r="1630" spans="1:11" x14ac:dyDescent="0.2">
      <c r="A1630" s="38" t="s">
        <v>7</v>
      </c>
      <c r="B1630" s="38" t="s">
        <v>6857</v>
      </c>
      <c r="C1630" s="43" t="s">
        <v>6858</v>
      </c>
      <c r="D1630" s="38" t="s">
        <v>12658</v>
      </c>
      <c r="G1630" s="44">
        <v>8</v>
      </c>
      <c r="H1630" s="45">
        <v>244.16</v>
      </c>
      <c r="J1630" s="45">
        <v>30.52</v>
      </c>
    </row>
    <row r="1631" spans="1:11" x14ac:dyDescent="0.2">
      <c r="A1631" s="38" t="s">
        <v>7</v>
      </c>
      <c r="B1631" s="38" t="s">
        <v>6860</v>
      </c>
      <c r="C1631" s="43" t="s">
        <v>6861</v>
      </c>
      <c r="D1631" s="38" t="s">
        <v>12657</v>
      </c>
      <c r="E1631" s="44">
        <v>814</v>
      </c>
      <c r="F1631" s="45">
        <v>35063</v>
      </c>
      <c r="G1631" s="44">
        <v>779</v>
      </c>
      <c r="H1631" s="45">
        <v>33481</v>
      </c>
      <c r="I1631" s="45">
        <v>43.074938574938578</v>
      </c>
      <c r="J1631" s="45">
        <v>42.979460847240048</v>
      </c>
      <c r="K1631" s="46">
        <v>-2.2165493639050614E-3</v>
      </c>
    </row>
    <row r="1632" spans="1:11" x14ac:dyDescent="0.2">
      <c r="A1632" s="38" t="s">
        <v>7</v>
      </c>
      <c r="B1632" s="38" t="s">
        <v>6866</v>
      </c>
      <c r="C1632" s="43" t="s">
        <v>6867</v>
      </c>
      <c r="D1632" s="38" t="s">
        <v>12657</v>
      </c>
      <c r="E1632" s="44">
        <v>106</v>
      </c>
      <c r="F1632" s="45">
        <v>3406</v>
      </c>
      <c r="G1632" s="44">
        <v>61</v>
      </c>
      <c r="H1632" s="45">
        <v>1933</v>
      </c>
      <c r="I1632" s="45">
        <v>32.132075471698116</v>
      </c>
      <c r="J1632" s="45">
        <v>31.688524590163933</v>
      </c>
      <c r="K1632" s="46">
        <v>-1.3803991028368573E-2</v>
      </c>
    </row>
    <row r="1633" spans="1:11" x14ac:dyDescent="0.2">
      <c r="A1633" s="38" t="s">
        <v>7</v>
      </c>
      <c r="B1633" s="38" t="s">
        <v>6869</v>
      </c>
      <c r="C1633" s="43" t="s">
        <v>6870</v>
      </c>
      <c r="D1633" s="38" t="s">
        <v>12657</v>
      </c>
      <c r="E1633" s="44">
        <v>52</v>
      </c>
      <c r="F1633" s="45">
        <v>696</v>
      </c>
      <c r="G1633" s="44">
        <v>38</v>
      </c>
      <c r="H1633" s="45">
        <v>532</v>
      </c>
      <c r="I1633" s="45">
        <v>13.384615384615385</v>
      </c>
      <c r="J1633" s="45">
        <v>14</v>
      </c>
      <c r="K1633" s="46">
        <v>4.5977011494252838E-2</v>
      </c>
    </row>
    <row r="1634" spans="1:11" x14ac:dyDescent="0.2">
      <c r="A1634" s="38" t="s">
        <v>7</v>
      </c>
      <c r="B1634" s="38" t="s">
        <v>6872</v>
      </c>
      <c r="C1634" s="43" t="s">
        <v>6873</v>
      </c>
      <c r="D1634" s="38" t="s">
        <v>12657</v>
      </c>
      <c r="G1634" s="44">
        <v>164</v>
      </c>
      <c r="H1634" s="45">
        <v>89848</v>
      </c>
      <c r="J1634" s="45">
        <v>547.85365853658539</v>
      </c>
    </row>
    <row r="1635" spans="1:11" x14ac:dyDescent="0.2">
      <c r="A1635" s="38" t="s">
        <v>7</v>
      </c>
      <c r="B1635" s="38" t="s">
        <v>6875</v>
      </c>
      <c r="C1635" s="43" t="s">
        <v>6876</v>
      </c>
      <c r="D1635" s="38" t="s">
        <v>12658</v>
      </c>
      <c r="G1635" s="44">
        <v>34</v>
      </c>
      <c r="H1635" s="45">
        <v>170</v>
      </c>
      <c r="J1635" s="45">
        <v>5</v>
      </c>
    </row>
    <row r="1636" spans="1:11" x14ac:dyDescent="0.2">
      <c r="A1636" s="38" t="s">
        <v>7</v>
      </c>
      <c r="B1636" s="38" t="s">
        <v>6881</v>
      </c>
      <c r="C1636" s="43" t="s">
        <v>6882</v>
      </c>
      <c r="D1636" s="38" t="s">
        <v>12667</v>
      </c>
      <c r="G1636" s="44">
        <v>94</v>
      </c>
      <c r="H1636" s="45">
        <v>34544</v>
      </c>
      <c r="J1636" s="45">
        <v>367.48936170212767</v>
      </c>
    </row>
    <row r="1637" spans="1:11" x14ac:dyDescent="0.2">
      <c r="A1637" s="38" t="s">
        <v>7</v>
      </c>
      <c r="B1637" s="38" t="s">
        <v>6884</v>
      </c>
      <c r="C1637" s="43" t="s">
        <v>6885</v>
      </c>
      <c r="D1637" s="38" t="s">
        <v>12668</v>
      </c>
      <c r="E1637" s="44">
        <v>23630</v>
      </c>
      <c r="F1637" s="45">
        <v>418246</v>
      </c>
      <c r="G1637" s="44">
        <v>9290</v>
      </c>
      <c r="H1637" s="45">
        <v>167220</v>
      </c>
      <c r="I1637" s="45">
        <v>17.699788404570462</v>
      </c>
      <c r="J1637" s="45">
        <v>18</v>
      </c>
      <c r="K1637" s="46">
        <v>1.6961309851140177E-2</v>
      </c>
    </row>
    <row r="1638" spans="1:11" x14ac:dyDescent="0.2">
      <c r="A1638" s="38" t="s">
        <v>7</v>
      </c>
      <c r="B1638" s="38" t="s">
        <v>6887</v>
      </c>
      <c r="C1638" s="43" t="s">
        <v>6888</v>
      </c>
      <c r="D1638" s="38" t="s">
        <v>12669</v>
      </c>
      <c r="G1638" s="44">
        <v>2710</v>
      </c>
      <c r="H1638" s="45">
        <v>143150</v>
      </c>
      <c r="J1638" s="45">
        <v>52.822878228782287</v>
      </c>
    </row>
    <row r="1639" spans="1:11" x14ac:dyDescent="0.2">
      <c r="A1639" s="38" t="s">
        <v>7</v>
      </c>
      <c r="B1639" s="38" t="s">
        <v>6893</v>
      </c>
      <c r="C1639" s="43" t="s">
        <v>6894</v>
      </c>
      <c r="D1639" s="38" t="s">
        <v>12670</v>
      </c>
      <c r="E1639" s="44">
        <v>269</v>
      </c>
      <c r="F1639" s="45">
        <v>565833</v>
      </c>
      <c r="G1639" s="44">
        <v>442</v>
      </c>
      <c r="H1639" s="45">
        <v>851809</v>
      </c>
      <c r="I1639" s="45">
        <v>2103.468401486989</v>
      </c>
      <c r="J1639" s="45">
        <v>1927.1696832579185</v>
      </c>
      <c r="K1639" s="46">
        <v>-8.3813342812490574E-2</v>
      </c>
    </row>
    <row r="1640" spans="1:11" x14ac:dyDescent="0.2">
      <c r="A1640" s="38" t="s">
        <v>7</v>
      </c>
      <c r="B1640" s="38" t="s">
        <v>6896</v>
      </c>
      <c r="C1640" s="43" t="s">
        <v>6897</v>
      </c>
      <c r="D1640" s="38" t="s">
        <v>12671</v>
      </c>
      <c r="E1640" s="44">
        <v>576</v>
      </c>
      <c r="F1640" s="45">
        <v>10170</v>
      </c>
      <c r="G1640" s="44">
        <v>516</v>
      </c>
      <c r="H1640" s="45">
        <v>29988</v>
      </c>
      <c r="I1640" s="45">
        <v>17.65625</v>
      </c>
      <c r="J1640" s="45">
        <v>58.116279069767444</v>
      </c>
      <c r="K1640" s="46">
        <v>2.291541469438156</v>
      </c>
    </row>
    <row r="1641" spans="1:11" x14ac:dyDescent="0.2">
      <c r="A1641" s="38" t="s">
        <v>7</v>
      </c>
      <c r="B1641" s="38" t="s">
        <v>6899</v>
      </c>
      <c r="C1641" s="43" t="s">
        <v>6900</v>
      </c>
      <c r="D1641" s="38" t="s">
        <v>12672</v>
      </c>
      <c r="E1641" s="44">
        <v>1126</v>
      </c>
      <c r="F1641" s="45">
        <v>3046616</v>
      </c>
      <c r="G1641" s="44">
        <v>1504</v>
      </c>
      <c r="H1641" s="45">
        <v>3637504</v>
      </c>
      <c r="I1641" s="45">
        <v>2705.6980461811722</v>
      </c>
      <c r="J1641" s="45">
        <v>2418.5531914893618</v>
      </c>
      <c r="K1641" s="46">
        <v>-0.1061259792448338</v>
      </c>
    </row>
    <row r="1642" spans="1:11" x14ac:dyDescent="0.2">
      <c r="A1642" s="38" t="s">
        <v>7</v>
      </c>
      <c r="B1642" s="38" t="s">
        <v>6905</v>
      </c>
      <c r="C1642" s="43" t="s">
        <v>6906</v>
      </c>
      <c r="D1642" s="38" t="s">
        <v>12673</v>
      </c>
      <c r="E1642" s="44">
        <v>682</v>
      </c>
      <c r="F1642" s="45">
        <v>402670</v>
      </c>
      <c r="G1642" s="44">
        <v>272</v>
      </c>
      <c r="H1642" s="45">
        <v>143996</v>
      </c>
      <c r="I1642" s="45">
        <v>590.42521994134893</v>
      </c>
      <c r="J1642" s="45">
        <v>529.39705882352939</v>
      </c>
      <c r="K1642" s="46">
        <v>-0.10336306623873874</v>
      </c>
    </row>
    <row r="1643" spans="1:11" x14ac:dyDescent="0.2">
      <c r="A1643" s="38" t="s">
        <v>7</v>
      </c>
      <c r="B1643" s="38" t="s">
        <v>6908</v>
      </c>
      <c r="C1643" s="43" t="s">
        <v>6909</v>
      </c>
      <c r="D1643" s="38" t="s">
        <v>12674</v>
      </c>
      <c r="G1643" s="44">
        <v>15</v>
      </c>
      <c r="H1643" s="45">
        <v>390</v>
      </c>
      <c r="J1643" s="45">
        <v>26</v>
      </c>
    </row>
    <row r="1644" spans="1:11" x14ac:dyDescent="0.2">
      <c r="A1644" s="38" t="s">
        <v>7</v>
      </c>
      <c r="B1644" s="38" t="s">
        <v>12675</v>
      </c>
      <c r="C1644" s="43" t="s">
        <v>12676</v>
      </c>
      <c r="D1644" s="38" t="s">
        <v>12677</v>
      </c>
      <c r="G1644" s="44">
        <v>5</v>
      </c>
      <c r="H1644" s="45">
        <v>5545</v>
      </c>
      <c r="J1644" s="45">
        <v>1109</v>
      </c>
    </row>
    <row r="1645" spans="1:11" x14ac:dyDescent="0.2">
      <c r="A1645" s="38" t="s">
        <v>7</v>
      </c>
      <c r="B1645" s="38" t="s">
        <v>6914</v>
      </c>
      <c r="C1645" s="43" t="s">
        <v>6915</v>
      </c>
      <c r="D1645" s="38" t="s">
        <v>12678</v>
      </c>
      <c r="E1645" s="44">
        <v>710</v>
      </c>
      <c r="F1645" s="45">
        <v>25266</v>
      </c>
      <c r="G1645" s="44">
        <v>856</v>
      </c>
      <c r="H1645" s="45">
        <v>32796</v>
      </c>
      <c r="I1645" s="45">
        <v>35.585915492957746</v>
      </c>
      <c r="J1645" s="45">
        <v>38.313084112149532</v>
      </c>
      <c r="K1645" s="46">
        <v>7.6636179831638104E-2</v>
      </c>
    </row>
    <row r="1646" spans="1:11" x14ac:dyDescent="0.2">
      <c r="A1646" s="38" t="s">
        <v>7</v>
      </c>
      <c r="B1646" s="38" t="s">
        <v>6917</v>
      </c>
      <c r="C1646" s="43" t="s">
        <v>6918</v>
      </c>
      <c r="D1646" s="38" t="s">
        <v>12678</v>
      </c>
      <c r="E1646" s="44">
        <v>5340</v>
      </c>
      <c r="F1646" s="45">
        <v>205725</v>
      </c>
      <c r="G1646" s="44">
        <v>6660</v>
      </c>
      <c r="H1646" s="45">
        <v>201465</v>
      </c>
      <c r="I1646" s="45">
        <v>38.525280898876403</v>
      </c>
      <c r="J1646" s="45">
        <v>30.25</v>
      </c>
      <c r="K1646" s="46">
        <v>-0.21480131243164416</v>
      </c>
    </row>
    <row r="1647" spans="1:11" x14ac:dyDescent="0.2">
      <c r="A1647" s="38" t="s">
        <v>7</v>
      </c>
      <c r="B1647" s="38" t="s">
        <v>6920</v>
      </c>
      <c r="C1647" s="43" t="s">
        <v>6921</v>
      </c>
      <c r="D1647" s="38" t="s">
        <v>12679</v>
      </c>
      <c r="E1647" s="44">
        <v>754</v>
      </c>
      <c r="F1647" s="45">
        <v>310162</v>
      </c>
      <c r="G1647" s="44">
        <v>116</v>
      </c>
      <c r="H1647" s="45">
        <v>41194</v>
      </c>
      <c r="I1647" s="45">
        <v>411.35543766578252</v>
      </c>
      <c r="J1647" s="45">
        <v>355.12068965517244</v>
      </c>
      <c r="K1647" s="46">
        <v>-0.13670597945589721</v>
      </c>
    </row>
    <row r="1648" spans="1:11" x14ac:dyDescent="0.2">
      <c r="A1648" s="38" t="s">
        <v>7</v>
      </c>
      <c r="B1648" s="38" t="s">
        <v>6923</v>
      </c>
      <c r="C1648" s="43" t="s">
        <v>6924</v>
      </c>
      <c r="D1648" s="38" t="s">
        <v>12680</v>
      </c>
      <c r="E1648" s="44">
        <v>479</v>
      </c>
      <c r="F1648" s="45">
        <v>320176</v>
      </c>
      <c r="G1648" s="44">
        <v>373</v>
      </c>
      <c r="H1648" s="45">
        <v>199177</v>
      </c>
      <c r="I1648" s="45">
        <v>668.42588726513566</v>
      </c>
      <c r="J1648" s="45">
        <v>533.98659517426279</v>
      </c>
      <c r="K1648" s="46">
        <v>-0.2011281948413626</v>
      </c>
    </row>
    <row r="1649" spans="1:11" x14ac:dyDescent="0.2">
      <c r="A1649" s="38" t="s">
        <v>7</v>
      </c>
      <c r="B1649" s="38" t="s">
        <v>6929</v>
      </c>
      <c r="C1649" s="43" t="s">
        <v>6930</v>
      </c>
      <c r="D1649" s="38" t="s">
        <v>12681</v>
      </c>
      <c r="E1649" s="44">
        <v>401000</v>
      </c>
      <c r="F1649" s="45">
        <v>802000</v>
      </c>
      <c r="G1649" s="44">
        <v>380000</v>
      </c>
      <c r="H1649" s="45">
        <v>3847000</v>
      </c>
      <c r="I1649" s="45">
        <v>2</v>
      </c>
      <c r="J1649" s="45">
        <v>10.123684210526315</v>
      </c>
      <c r="K1649" s="46">
        <v>4.0618421052631577</v>
      </c>
    </row>
    <row r="1650" spans="1:11" x14ac:dyDescent="0.2">
      <c r="A1650" s="38" t="s">
        <v>7</v>
      </c>
      <c r="B1650" s="38" t="s">
        <v>6932</v>
      </c>
      <c r="C1650" s="43" t="s">
        <v>6933</v>
      </c>
      <c r="D1650" s="38" t="s">
        <v>12682</v>
      </c>
      <c r="G1650" s="44">
        <v>10</v>
      </c>
      <c r="H1650" s="45">
        <v>930</v>
      </c>
      <c r="J1650" s="45">
        <v>93</v>
      </c>
    </row>
    <row r="1651" spans="1:11" x14ac:dyDescent="0.2">
      <c r="A1651" s="38" t="s">
        <v>7</v>
      </c>
      <c r="B1651" s="38" t="s">
        <v>6938</v>
      </c>
      <c r="C1651" s="43" t="s">
        <v>6939</v>
      </c>
      <c r="D1651" s="38" t="s">
        <v>12683</v>
      </c>
      <c r="G1651" s="44">
        <v>50</v>
      </c>
      <c r="H1651" s="45">
        <v>800</v>
      </c>
      <c r="J1651" s="45">
        <v>16</v>
      </c>
    </row>
    <row r="1652" spans="1:11" x14ac:dyDescent="0.2">
      <c r="A1652" s="38" t="s">
        <v>7</v>
      </c>
      <c r="B1652" s="38" t="s">
        <v>6941</v>
      </c>
      <c r="C1652" s="43" t="s">
        <v>6942</v>
      </c>
      <c r="D1652" s="38" t="s">
        <v>12684</v>
      </c>
      <c r="E1652" s="44">
        <v>640</v>
      </c>
      <c r="F1652" s="45">
        <v>640</v>
      </c>
      <c r="G1652" s="44">
        <v>320</v>
      </c>
      <c r="H1652" s="45">
        <v>320</v>
      </c>
      <c r="I1652" s="45">
        <v>1</v>
      </c>
      <c r="J1652" s="45">
        <v>1</v>
      </c>
      <c r="K1652" s="46">
        <v>0</v>
      </c>
    </row>
    <row r="1653" spans="1:11" x14ac:dyDescent="0.2">
      <c r="A1653" s="38" t="s">
        <v>7</v>
      </c>
      <c r="B1653" s="38" t="s">
        <v>6944</v>
      </c>
      <c r="C1653" s="43" t="s">
        <v>6945</v>
      </c>
      <c r="D1653" s="38" t="s">
        <v>12684</v>
      </c>
      <c r="E1653" s="44">
        <v>3100</v>
      </c>
      <c r="F1653" s="45">
        <v>6200</v>
      </c>
      <c r="G1653" s="44">
        <v>5200</v>
      </c>
      <c r="H1653" s="45">
        <v>9900</v>
      </c>
      <c r="I1653" s="45">
        <v>2</v>
      </c>
      <c r="J1653" s="45">
        <v>1.9038461538461537</v>
      </c>
      <c r="K1653" s="46">
        <v>-4.8076923076923128E-2</v>
      </c>
    </row>
    <row r="1654" spans="1:11" x14ac:dyDescent="0.2">
      <c r="A1654" s="38" t="s">
        <v>7</v>
      </c>
      <c r="B1654" s="38" t="s">
        <v>6947</v>
      </c>
      <c r="C1654" s="43" t="s">
        <v>6948</v>
      </c>
      <c r="D1654" s="38" t="s">
        <v>12685</v>
      </c>
      <c r="E1654" s="44">
        <v>1604</v>
      </c>
      <c r="F1654" s="45">
        <v>1260437</v>
      </c>
      <c r="G1654" s="44">
        <v>2002</v>
      </c>
      <c r="H1654" s="45">
        <v>1355101</v>
      </c>
      <c r="I1654" s="45">
        <v>785.80860349127181</v>
      </c>
      <c r="J1654" s="45">
        <v>676.87362637362639</v>
      </c>
      <c r="K1654" s="46">
        <v>-0.13862787532951132</v>
      </c>
    </row>
    <row r="1655" spans="1:11" x14ac:dyDescent="0.2">
      <c r="A1655" s="38" t="s">
        <v>7</v>
      </c>
      <c r="B1655" s="38" t="s">
        <v>6950</v>
      </c>
      <c r="C1655" s="43" t="s">
        <v>6951</v>
      </c>
      <c r="D1655" s="38" t="s">
        <v>12686</v>
      </c>
      <c r="E1655" s="44">
        <v>280</v>
      </c>
      <c r="F1655" s="45">
        <v>5992</v>
      </c>
      <c r="G1655" s="44">
        <v>700</v>
      </c>
      <c r="H1655" s="45">
        <v>17948</v>
      </c>
      <c r="I1655" s="45">
        <v>21.4</v>
      </c>
      <c r="J1655" s="45">
        <v>25.64</v>
      </c>
      <c r="K1655" s="46">
        <v>0.19813084112149543</v>
      </c>
    </row>
    <row r="1656" spans="1:11" x14ac:dyDescent="0.2">
      <c r="A1656" s="38" t="s">
        <v>7</v>
      </c>
      <c r="B1656" s="38" t="s">
        <v>6959</v>
      </c>
      <c r="C1656" s="43" t="s">
        <v>6960</v>
      </c>
      <c r="D1656" s="38" t="s">
        <v>12687</v>
      </c>
      <c r="E1656" s="44">
        <v>90</v>
      </c>
      <c r="F1656" s="45">
        <v>24765</v>
      </c>
      <c r="G1656" s="44">
        <v>80</v>
      </c>
      <c r="H1656" s="45">
        <v>19020</v>
      </c>
      <c r="I1656" s="45">
        <v>275.16666666666669</v>
      </c>
      <c r="J1656" s="45">
        <v>237.75</v>
      </c>
      <c r="K1656" s="46">
        <v>-0.13597819503331321</v>
      </c>
    </row>
    <row r="1657" spans="1:11" x14ac:dyDescent="0.2">
      <c r="A1657" s="38" t="s">
        <v>7</v>
      </c>
      <c r="B1657" s="38" t="s">
        <v>6962</v>
      </c>
      <c r="C1657" s="43" t="s">
        <v>6963</v>
      </c>
      <c r="D1657" s="38" t="s">
        <v>12688</v>
      </c>
      <c r="E1657" s="44">
        <v>19000</v>
      </c>
      <c r="F1657" s="45">
        <v>296500</v>
      </c>
      <c r="G1657" s="44">
        <v>12000</v>
      </c>
      <c r="H1657" s="45">
        <v>157000</v>
      </c>
      <c r="I1657" s="45">
        <v>15.605263157894736</v>
      </c>
      <c r="J1657" s="45">
        <v>13.083333333333334</v>
      </c>
      <c r="K1657" s="46">
        <v>-0.16160764474423828</v>
      </c>
    </row>
    <row r="1658" spans="1:11" x14ac:dyDescent="0.2">
      <c r="A1658" s="38" t="s">
        <v>7</v>
      </c>
      <c r="B1658" s="38" t="s">
        <v>6968</v>
      </c>
      <c r="C1658" s="43" t="s">
        <v>6969</v>
      </c>
      <c r="D1658" s="38" t="s">
        <v>12689</v>
      </c>
      <c r="E1658" s="44">
        <v>800</v>
      </c>
      <c r="F1658" s="45">
        <v>42000</v>
      </c>
      <c r="G1658" s="44">
        <v>2200</v>
      </c>
      <c r="H1658" s="45">
        <v>114000</v>
      </c>
      <c r="I1658" s="45">
        <v>52.5</v>
      </c>
      <c r="J1658" s="45">
        <v>51.81818181818182</v>
      </c>
      <c r="K1658" s="46">
        <v>-1.298701298701295E-2</v>
      </c>
    </row>
    <row r="1659" spans="1:11" x14ac:dyDescent="0.2">
      <c r="A1659" s="38" t="s">
        <v>7</v>
      </c>
      <c r="B1659" s="38" t="s">
        <v>6971</v>
      </c>
      <c r="C1659" s="43" t="s">
        <v>6972</v>
      </c>
      <c r="D1659" s="38" t="s">
        <v>12682</v>
      </c>
      <c r="E1659" s="44">
        <v>3</v>
      </c>
      <c r="F1659" s="45">
        <v>702</v>
      </c>
      <c r="G1659" s="44">
        <v>3</v>
      </c>
      <c r="H1659" s="45">
        <v>720</v>
      </c>
      <c r="I1659" s="45">
        <v>234</v>
      </c>
      <c r="J1659" s="45">
        <v>240</v>
      </c>
      <c r="K1659" s="46">
        <v>2.564102564102564E-2</v>
      </c>
    </row>
    <row r="1660" spans="1:11" x14ac:dyDescent="0.2">
      <c r="A1660" s="38" t="s">
        <v>7</v>
      </c>
      <c r="B1660" s="38" t="s">
        <v>6974</v>
      </c>
      <c r="C1660" s="43" t="s">
        <v>6975</v>
      </c>
      <c r="D1660" s="38" t="s">
        <v>12690</v>
      </c>
      <c r="E1660" s="44">
        <v>486</v>
      </c>
      <c r="F1660" s="45">
        <v>40818</v>
      </c>
      <c r="G1660" s="44">
        <v>2055</v>
      </c>
      <c r="H1660" s="45">
        <v>134890</v>
      </c>
      <c r="I1660" s="45">
        <v>83.987654320987659</v>
      </c>
      <c r="J1660" s="45">
        <v>65.639902676399032</v>
      </c>
      <c r="K1660" s="46">
        <v>-0.21845772206551209</v>
      </c>
    </row>
    <row r="1661" spans="1:11" x14ac:dyDescent="0.2">
      <c r="A1661" s="38" t="s">
        <v>7</v>
      </c>
      <c r="B1661" s="38" t="s">
        <v>6980</v>
      </c>
      <c r="C1661" s="43" t="s">
        <v>6981</v>
      </c>
      <c r="D1661" s="38" t="s">
        <v>12691</v>
      </c>
      <c r="E1661" s="44">
        <v>177400</v>
      </c>
      <c r="F1661" s="45">
        <v>10644</v>
      </c>
      <c r="G1661" s="44">
        <v>159250</v>
      </c>
      <c r="H1661" s="45">
        <v>57085</v>
      </c>
      <c r="I1661" s="45">
        <v>0.06</v>
      </c>
      <c r="J1661" s="45">
        <v>0.35846153846153844</v>
      </c>
      <c r="K1661" s="46">
        <v>4.9743589743589745</v>
      </c>
    </row>
    <row r="1662" spans="1:11" x14ac:dyDescent="0.2">
      <c r="A1662" s="38" t="s">
        <v>7</v>
      </c>
      <c r="B1662" s="38" t="s">
        <v>6983</v>
      </c>
      <c r="C1662" s="43" t="s">
        <v>6984</v>
      </c>
      <c r="D1662" s="38" t="s">
        <v>12691</v>
      </c>
      <c r="E1662" s="44">
        <v>188950</v>
      </c>
      <c r="F1662" s="45">
        <v>68701</v>
      </c>
      <c r="G1662" s="44">
        <v>144850</v>
      </c>
      <c r="H1662" s="45">
        <v>93203.5</v>
      </c>
      <c r="I1662" s="45">
        <v>0.36359354326541415</v>
      </c>
      <c r="J1662" s="45">
        <v>0.64344839489126682</v>
      </c>
      <c r="K1662" s="46">
        <v>0.76969147777623115</v>
      </c>
    </row>
    <row r="1663" spans="1:11" x14ac:dyDescent="0.2">
      <c r="A1663" s="38" t="s">
        <v>7</v>
      </c>
      <c r="B1663" s="38" t="s">
        <v>6986</v>
      </c>
      <c r="C1663" s="43" t="s">
        <v>6987</v>
      </c>
      <c r="D1663" s="38" t="s">
        <v>12691</v>
      </c>
      <c r="E1663" s="44">
        <v>81950</v>
      </c>
      <c r="F1663" s="45">
        <v>39336</v>
      </c>
      <c r="G1663" s="44">
        <v>123050</v>
      </c>
      <c r="H1663" s="45">
        <v>92352</v>
      </c>
      <c r="I1663" s="45">
        <v>0.48</v>
      </c>
      <c r="J1663" s="45">
        <v>0.75052417716375452</v>
      </c>
      <c r="K1663" s="46">
        <v>0.56359203575782202</v>
      </c>
    </row>
    <row r="1664" spans="1:11" x14ac:dyDescent="0.2">
      <c r="A1664" s="38" t="s">
        <v>7</v>
      </c>
      <c r="B1664" s="38" t="s">
        <v>6989</v>
      </c>
      <c r="C1664" s="43" t="s">
        <v>6990</v>
      </c>
      <c r="D1664" s="38" t="s">
        <v>12691</v>
      </c>
      <c r="E1664" s="44">
        <v>3090</v>
      </c>
      <c r="F1664" s="45">
        <v>2564.6999999999998</v>
      </c>
      <c r="G1664" s="44">
        <v>1380</v>
      </c>
      <c r="H1664" s="45">
        <v>1145.4000000000001</v>
      </c>
      <c r="I1664" s="45">
        <v>0.83</v>
      </c>
      <c r="J1664" s="45">
        <v>0.83000000000000007</v>
      </c>
      <c r="K1664" s="46">
        <v>1.33761810195802E-16</v>
      </c>
    </row>
    <row r="1665" spans="1:11" x14ac:dyDescent="0.2">
      <c r="A1665" s="38" t="s">
        <v>7</v>
      </c>
      <c r="B1665" s="38" t="s">
        <v>6992</v>
      </c>
      <c r="C1665" s="43" t="s">
        <v>6993</v>
      </c>
      <c r="D1665" s="38" t="s">
        <v>12692</v>
      </c>
      <c r="E1665" s="44">
        <v>13</v>
      </c>
      <c r="F1665" s="45">
        <v>112504</v>
      </c>
      <c r="G1665" s="44">
        <v>4</v>
      </c>
      <c r="H1665" s="45">
        <v>35424</v>
      </c>
      <c r="I1665" s="45">
        <v>8654.1538461538457</v>
      </c>
      <c r="J1665" s="45">
        <v>8856</v>
      </c>
      <c r="K1665" s="46">
        <v>2.3323615160349902E-2</v>
      </c>
    </row>
    <row r="1666" spans="1:11" x14ac:dyDescent="0.2">
      <c r="A1666" s="38" t="s">
        <v>7</v>
      </c>
      <c r="B1666" s="38" t="s">
        <v>6995</v>
      </c>
      <c r="C1666" s="43" t="s">
        <v>6996</v>
      </c>
      <c r="D1666" s="38" t="s">
        <v>12682</v>
      </c>
      <c r="E1666" s="44">
        <v>50</v>
      </c>
      <c r="F1666" s="45">
        <v>12791</v>
      </c>
      <c r="G1666" s="44">
        <v>58</v>
      </c>
      <c r="H1666" s="45">
        <v>13500</v>
      </c>
      <c r="I1666" s="45">
        <v>255.82</v>
      </c>
      <c r="J1666" s="45">
        <v>232.75862068965517</v>
      </c>
      <c r="K1666" s="46">
        <v>-9.0146897468316861E-2</v>
      </c>
    </row>
    <row r="1667" spans="1:11" x14ac:dyDescent="0.2">
      <c r="A1667" s="38" t="s">
        <v>7</v>
      </c>
      <c r="B1667" s="38" t="s">
        <v>6998</v>
      </c>
      <c r="C1667" s="43" t="s">
        <v>6999</v>
      </c>
      <c r="D1667" s="38" t="s">
        <v>12682</v>
      </c>
      <c r="E1667" s="44">
        <v>14</v>
      </c>
      <c r="F1667" s="45">
        <v>2900</v>
      </c>
      <c r="G1667" s="44">
        <v>9</v>
      </c>
      <c r="H1667" s="45">
        <v>1797</v>
      </c>
      <c r="I1667" s="45">
        <v>207.14285714285714</v>
      </c>
      <c r="J1667" s="45">
        <v>199.66666666666666</v>
      </c>
      <c r="K1667" s="46">
        <v>-3.609195402298853E-2</v>
      </c>
    </row>
    <row r="1668" spans="1:11" x14ac:dyDescent="0.2">
      <c r="A1668" s="38" t="s">
        <v>7</v>
      </c>
      <c r="B1668" s="38" t="s">
        <v>7001</v>
      </c>
      <c r="C1668" s="43" t="s">
        <v>7002</v>
      </c>
      <c r="D1668" s="38" t="s">
        <v>12693</v>
      </c>
      <c r="E1668" s="44">
        <v>12500</v>
      </c>
      <c r="F1668" s="45">
        <v>12388</v>
      </c>
      <c r="G1668" s="44">
        <v>11400</v>
      </c>
      <c r="H1668" s="45">
        <v>13200</v>
      </c>
      <c r="I1668" s="45">
        <v>0.99104000000000003</v>
      </c>
      <c r="J1668" s="45">
        <v>1.1578947368421053</v>
      </c>
      <c r="K1668" s="46">
        <v>0.16836327175704843</v>
      </c>
    </row>
    <row r="1669" spans="1:11" x14ac:dyDescent="0.2">
      <c r="A1669" s="38" t="s">
        <v>7</v>
      </c>
      <c r="B1669" s="38" t="s">
        <v>7004</v>
      </c>
      <c r="C1669" s="43" t="s">
        <v>7005</v>
      </c>
      <c r="D1669" s="38" t="s">
        <v>12694</v>
      </c>
      <c r="E1669" s="44">
        <v>14500</v>
      </c>
      <c r="F1669" s="45">
        <v>12924</v>
      </c>
      <c r="G1669" s="44">
        <v>31500</v>
      </c>
      <c r="H1669" s="45">
        <v>28950</v>
      </c>
      <c r="I1669" s="45">
        <v>0.8913103448275862</v>
      </c>
      <c r="J1669" s="45">
        <v>0.919047619047619</v>
      </c>
      <c r="K1669" s="46">
        <v>3.1119659253363949E-2</v>
      </c>
    </row>
    <row r="1670" spans="1:11" x14ac:dyDescent="0.2">
      <c r="A1670" s="38" t="s">
        <v>7</v>
      </c>
      <c r="B1670" s="38" t="s">
        <v>7010</v>
      </c>
      <c r="C1670" s="43" t="s">
        <v>7011</v>
      </c>
      <c r="D1670" s="38" t="s">
        <v>12695</v>
      </c>
      <c r="G1670" s="44">
        <v>200</v>
      </c>
      <c r="H1670" s="45">
        <v>19200</v>
      </c>
      <c r="J1670" s="45">
        <v>96</v>
      </c>
    </row>
    <row r="1671" spans="1:11" x14ac:dyDescent="0.2">
      <c r="A1671" s="38" t="s">
        <v>7</v>
      </c>
      <c r="B1671" s="38" t="s">
        <v>7013</v>
      </c>
      <c r="C1671" s="43" t="s">
        <v>7014</v>
      </c>
      <c r="D1671" s="38" t="s">
        <v>12696</v>
      </c>
      <c r="E1671" s="44">
        <v>14195</v>
      </c>
      <c r="F1671" s="45">
        <v>8887372</v>
      </c>
      <c r="G1671" s="44">
        <v>14040</v>
      </c>
      <c r="H1671" s="45">
        <v>7567290</v>
      </c>
      <c r="I1671" s="45">
        <v>626.09172243747798</v>
      </c>
      <c r="J1671" s="45">
        <v>538.98076923076928</v>
      </c>
      <c r="K1671" s="46">
        <v>-0.13913449113745099</v>
      </c>
    </row>
    <row r="1672" spans="1:11" x14ac:dyDescent="0.2">
      <c r="A1672" s="38" t="s">
        <v>7</v>
      </c>
      <c r="B1672" s="38" t="s">
        <v>7016</v>
      </c>
      <c r="C1672" s="43" t="s">
        <v>7017</v>
      </c>
      <c r="D1672" s="38" t="s">
        <v>12696</v>
      </c>
      <c r="E1672" s="44">
        <v>148</v>
      </c>
      <c r="F1672" s="45">
        <v>9370</v>
      </c>
      <c r="G1672" s="44">
        <v>120</v>
      </c>
      <c r="H1672" s="45">
        <v>7128</v>
      </c>
      <c r="I1672" s="45">
        <v>63.310810810810814</v>
      </c>
      <c r="J1672" s="45">
        <v>59.4</v>
      </c>
      <c r="K1672" s="46">
        <v>-6.1771611526147352E-2</v>
      </c>
    </row>
    <row r="1673" spans="1:11" x14ac:dyDescent="0.2">
      <c r="A1673" s="38" t="s">
        <v>7</v>
      </c>
      <c r="B1673" s="38" t="s">
        <v>7019</v>
      </c>
      <c r="C1673" s="43" t="s">
        <v>7020</v>
      </c>
      <c r="D1673" s="38" t="s">
        <v>12697</v>
      </c>
      <c r="E1673" s="44">
        <v>4476</v>
      </c>
      <c r="F1673" s="45">
        <v>705864</v>
      </c>
      <c r="G1673" s="44">
        <v>4492</v>
      </c>
      <c r="H1673" s="45">
        <v>629136</v>
      </c>
      <c r="I1673" s="45">
        <v>157.69973190348526</v>
      </c>
      <c r="J1673" s="45">
        <v>140.05699020480856</v>
      </c>
      <c r="K1673" s="46">
        <v>-0.11187553387518971</v>
      </c>
    </row>
    <row r="1674" spans="1:11" x14ac:dyDescent="0.2">
      <c r="A1674" s="38" t="s">
        <v>7</v>
      </c>
      <c r="B1674" s="38" t="s">
        <v>7022</v>
      </c>
      <c r="C1674" s="43" t="s">
        <v>7023</v>
      </c>
      <c r="D1674" s="38" t="s">
        <v>12698</v>
      </c>
      <c r="E1674" s="44">
        <v>241</v>
      </c>
      <c r="F1674" s="45">
        <v>221670</v>
      </c>
      <c r="G1674" s="44">
        <v>121</v>
      </c>
      <c r="H1674" s="45">
        <v>104830</v>
      </c>
      <c r="I1674" s="45">
        <v>919.792531120332</v>
      </c>
      <c r="J1674" s="45">
        <v>866.36363636363637</v>
      </c>
      <c r="K1674" s="46">
        <v>-5.8087985006377255E-2</v>
      </c>
    </row>
    <row r="1675" spans="1:11" x14ac:dyDescent="0.2">
      <c r="A1675" s="38" t="s">
        <v>7</v>
      </c>
      <c r="B1675" s="38" t="s">
        <v>7028</v>
      </c>
      <c r="C1675" s="43" t="s">
        <v>7029</v>
      </c>
      <c r="D1675" s="38" t="s">
        <v>12699</v>
      </c>
      <c r="E1675" s="44">
        <v>1080</v>
      </c>
      <c r="F1675" s="45">
        <v>8640</v>
      </c>
      <c r="G1675" s="44">
        <v>2440</v>
      </c>
      <c r="H1675" s="45">
        <v>31760</v>
      </c>
      <c r="I1675" s="45">
        <v>8</v>
      </c>
      <c r="J1675" s="45">
        <v>13.016393442622951</v>
      </c>
      <c r="K1675" s="46">
        <v>0.62704918032786883</v>
      </c>
    </row>
    <row r="1676" spans="1:11" x14ac:dyDescent="0.2">
      <c r="A1676" s="38" t="s">
        <v>7</v>
      </c>
      <c r="B1676" s="38" t="s">
        <v>7031</v>
      </c>
      <c r="C1676" s="43" t="s">
        <v>7032</v>
      </c>
      <c r="D1676" s="38" t="s">
        <v>12700</v>
      </c>
      <c r="E1676" s="44">
        <v>322</v>
      </c>
      <c r="F1676" s="45">
        <v>240810</v>
      </c>
      <c r="G1676" s="44">
        <v>264</v>
      </c>
      <c r="H1676" s="45">
        <v>132136</v>
      </c>
      <c r="I1676" s="45">
        <v>747.85714285714289</v>
      </c>
      <c r="J1676" s="45">
        <v>500.5151515151515</v>
      </c>
      <c r="K1676" s="46">
        <v>-0.33073427686608209</v>
      </c>
    </row>
    <row r="1677" spans="1:11" x14ac:dyDescent="0.2">
      <c r="A1677" s="38" t="s">
        <v>7</v>
      </c>
      <c r="B1677" s="38" t="s">
        <v>7034</v>
      </c>
      <c r="C1677" s="43" t="s">
        <v>7035</v>
      </c>
      <c r="D1677" s="38" t="s">
        <v>12701</v>
      </c>
      <c r="G1677" s="44">
        <v>116</v>
      </c>
      <c r="H1677" s="45">
        <v>64528</v>
      </c>
      <c r="J1677" s="45">
        <v>556.27586206896547</v>
      </c>
    </row>
    <row r="1678" spans="1:11" x14ac:dyDescent="0.2">
      <c r="A1678" s="38" t="s">
        <v>7</v>
      </c>
      <c r="B1678" s="38" t="s">
        <v>7037</v>
      </c>
      <c r="C1678" s="43" t="s">
        <v>7038</v>
      </c>
      <c r="D1678" s="38" t="s">
        <v>12702</v>
      </c>
      <c r="G1678" s="44">
        <v>3460</v>
      </c>
      <c r="H1678" s="45">
        <v>103800</v>
      </c>
      <c r="J1678" s="45">
        <v>30</v>
      </c>
    </row>
    <row r="1679" spans="1:11" x14ac:dyDescent="0.2">
      <c r="A1679" s="38" t="s">
        <v>7</v>
      </c>
      <c r="B1679" s="38" t="s">
        <v>7040</v>
      </c>
      <c r="C1679" s="43" t="s">
        <v>7041</v>
      </c>
      <c r="D1679" s="38" t="s">
        <v>12703</v>
      </c>
      <c r="E1679" s="44">
        <v>26419</v>
      </c>
      <c r="F1679" s="45">
        <v>4653097</v>
      </c>
      <c r="G1679" s="44">
        <v>29087</v>
      </c>
      <c r="H1679" s="45">
        <v>4425992</v>
      </c>
      <c r="I1679" s="45">
        <v>176.12691623452818</v>
      </c>
      <c r="J1679" s="45">
        <v>152.16392202702238</v>
      </c>
      <c r="K1679" s="46">
        <v>-0.13605526469104248</v>
      </c>
    </row>
    <row r="1680" spans="1:11" x14ac:dyDescent="0.2">
      <c r="A1680" s="38" t="s">
        <v>7</v>
      </c>
      <c r="B1680" s="38" t="s">
        <v>7046</v>
      </c>
      <c r="C1680" s="43" t="s">
        <v>7047</v>
      </c>
      <c r="D1680" s="38" t="s">
        <v>12704</v>
      </c>
      <c r="G1680" s="44">
        <v>2</v>
      </c>
      <c r="H1680" s="45">
        <v>1354</v>
      </c>
      <c r="J1680" s="45">
        <v>677</v>
      </c>
    </row>
    <row r="1681" spans="1:11" x14ac:dyDescent="0.2">
      <c r="A1681" s="38" t="s">
        <v>7</v>
      </c>
      <c r="B1681" s="38" t="s">
        <v>7049</v>
      </c>
      <c r="C1681" s="43" t="s">
        <v>7050</v>
      </c>
      <c r="D1681" s="38" t="s">
        <v>12705</v>
      </c>
      <c r="G1681" s="44">
        <v>4</v>
      </c>
      <c r="H1681" s="45">
        <v>1288</v>
      </c>
      <c r="J1681" s="45">
        <v>322</v>
      </c>
    </row>
    <row r="1682" spans="1:11" x14ac:dyDescent="0.2">
      <c r="A1682" s="38" t="s">
        <v>7</v>
      </c>
      <c r="B1682" s="38" t="s">
        <v>7052</v>
      </c>
      <c r="C1682" s="43" t="s">
        <v>7053</v>
      </c>
      <c r="D1682" s="38" t="s">
        <v>12706</v>
      </c>
      <c r="E1682" s="44">
        <v>33</v>
      </c>
      <c r="F1682" s="45">
        <v>33768</v>
      </c>
      <c r="G1682" s="44">
        <v>26</v>
      </c>
      <c r="H1682" s="45">
        <v>27404</v>
      </c>
      <c r="I1682" s="45">
        <v>1023.2727272727273</v>
      </c>
      <c r="J1682" s="45">
        <v>1054</v>
      </c>
      <c r="K1682" s="46">
        <v>3.0028429282160648E-2</v>
      </c>
    </row>
    <row r="1683" spans="1:11" x14ac:dyDescent="0.2">
      <c r="A1683" s="38" t="s">
        <v>7</v>
      </c>
      <c r="B1683" s="38" t="s">
        <v>7055</v>
      </c>
      <c r="C1683" s="43" t="s">
        <v>7056</v>
      </c>
      <c r="D1683" s="38" t="s">
        <v>12706</v>
      </c>
      <c r="E1683" s="44">
        <v>523</v>
      </c>
      <c r="F1683" s="45">
        <v>496930</v>
      </c>
      <c r="G1683" s="44">
        <v>695</v>
      </c>
      <c r="H1683" s="45">
        <v>523496</v>
      </c>
      <c r="I1683" s="45">
        <v>950.15296367112808</v>
      </c>
      <c r="J1683" s="45">
        <v>753.23165467625904</v>
      </c>
      <c r="K1683" s="46">
        <v>-0.20725221782608519</v>
      </c>
    </row>
    <row r="1684" spans="1:11" x14ac:dyDescent="0.2">
      <c r="A1684" s="38" t="s">
        <v>7</v>
      </c>
      <c r="B1684" s="38" t="s">
        <v>7058</v>
      </c>
      <c r="C1684" s="43" t="s">
        <v>7059</v>
      </c>
      <c r="D1684" s="38" t="s">
        <v>12682</v>
      </c>
      <c r="G1684" s="44">
        <v>1</v>
      </c>
      <c r="H1684" s="45">
        <v>235</v>
      </c>
      <c r="J1684" s="45">
        <v>235</v>
      </c>
    </row>
    <row r="1685" spans="1:11" x14ac:dyDescent="0.2">
      <c r="A1685" s="38" t="s">
        <v>7</v>
      </c>
      <c r="B1685" s="38" t="s">
        <v>7061</v>
      </c>
      <c r="C1685" s="43" t="s">
        <v>7062</v>
      </c>
      <c r="D1685" s="38" t="s">
        <v>12682</v>
      </c>
      <c r="E1685" s="44">
        <v>221</v>
      </c>
      <c r="F1685" s="45">
        <v>76726</v>
      </c>
      <c r="G1685" s="44">
        <v>257</v>
      </c>
      <c r="H1685" s="45">
        <v>83014</v>
      </c>
      <c r="I1685" s="45">
        <v>347.1764705882353</v>
      </c>
      <c r="J1685" s="45">
        <v>323.01167315175098</v>
      </c>
      <c r="K1685" s="46">
        <v>-6.9603787939721024E-2</v>
      </c>
    </row>
    <row r="1686" spans="1:11" x14ac:dyDescent="0.2">
      <c r="A1686" s="38" t="s">
        <v>7</v>
      </c>
      <c r="B1686" s="38" t="s">
        <v>7067</v>
      </c>
      <c r="C1686" s="43" t="s">
        <v>7068</v>
      </c>
      <c r="D1686" s="38" t="s">
        <v>12707</v>
      </c>
      <c r="E1686" s="44">
        <v>167</v>
      </c>
      <c r="F1686" s="45">
        <v>136784</v>
      </c>
      <c r="G1686" s="44">
        <v>63</v>
      </c>
      <c r="H1686" s="45">
        <v>53200</v>
      </c>
      <c r="I1686" s="45">
        <v>819.06586826347302</v>
      </c>
      <c r="J1686" s="45">
        <v>844.44444444444446</v>
      </c>
      <c r="K1686" s="46">
        <v>3.0984780546132809E-2</v>
      </c>
    </row>
    <row r="1687" spans="1:11" x14ac:dyDescent="0.2">
      <c r="A1687" s="38" t="s">
        <v>7</v>
      </c>
      <c r="B1687" s="38" t="s">
        <v>7070</v>
      </c>
      <c r="C1687" s="43" t="s">
        <v>7071</v>
      </c>
      <c r="D1687" s="38" t="s">
        <v>12707</v>
      </c>
      <c r="E1687" s="44">
        <v>1653</v>
      </c>
      <c r="F1687" s="45">
        <v>100804</v>
      </c>
      <c r="G1687" s="44">
        <v>1736</v>
      </c>
      <c r="H1687" s="45">
        <v>92199</v>
      </c>
      <c r="I1687" s="45">
        <v>60.982456140350877</v>
      </c>
      <c r="J1687" s="45">
        <v>53.110023041474655</v>
      </c>
      <c r="K1687" s="46">
        <v>-0.12909340812311412</v>
      </c>
    </row>
    <row r="1688" spans="1:11" x14ac:dyDescent="0.2">
      <c r="A1688" s="38" t="s">
        <v>7</v>
      </c>
      <c r="B1688" s="38" t="s">
        <v>7073</v>
      </c>
      <c r="C1688" s="43" t="s">
        <v>7074</v>
      </c>
      <c r="D1688" s="38" t="s">
        <v>12708</v>
      </c>
      <c r="G1688" s="44">
        <v>3</v>
      </c>
      <c r="H1688" s="45">
        <v>959.25</v>
      </c>
      <c r="J1688" s="45">
        <v>319.75</v>
      </c>
    </row>
    <row r="1689" spans="1:11" x14ac:dyDescent="0.2">
      <c r="A1689" s="38" t="s">
        <v>7</v>
      </c>
      <c r="B1689" s="38" t="s">
        <v>12709</v>
      </c>
      <c r="C1689" s="43" t="s">
        <v>12710</v>
      </c>
      <c r="D1689" s="38" t="s">
        <v>12711</v>
      </c>
      <c r="G1689" s="44">
        <v>128</v>
      </c>
      <c r="H1689" s="45">
        <v>15104</v>
      </c>
      <c r="J1689" s="45">
        <v>118</v>
      </c>
    </row>
    <row r="1690" spans="1:11" x14ac:dyDescent="0.2">
      <c r="A1690" s="38" t="s">
        <v>7</v>
      </c>
      <c r="B1690" s="38" t="s">
        <v>7079</v>
      </c>
      <c r="C1690" s="43" t="s">
        <v>7080</v>
      </c>
      <c r="D1690" s="38" t="s">
        <v>12712</v>
      </c>
      <c r="G1690" s="44">
        <v>4</v>
      </c>
      <c r="H1690" s="45">
        <v>12648</v>
      </c>
      <c r="J1690" s="45">
        <v>3162</v>
      </c>
    </row>
    <row r="1691" spans="1:11" x14ac:dyDescent="0.2">
      <c r="A1691" s="38" t="s">
        <v>7</v>
      </c>
      <c r="B1691" s="38" t="s">
        <v>7082</v>
      </c>
      <c r="C1691" s="43" t="s">
        <v>7083</v>
      </c>
      <c r="D1691" s="38" t="s">
        <v>12713</v>
      </c>
      <c r="E1691" s="44">
        <v>126</v>
      </c>
      <c r="F1691" s="45">
        <v>28170</v>
      </c>
      <c r="G1691" s="44">
        <v>67</v>
      </c>
      <c r="H1691" s="45">
        <v>14925</v>
      </c>
      <c r="I1691" s="45">
        <v>223.57142857142858</v>
      </c>
      <c r="J1691" s="45">
        <v>222.76119402985074</v>
      </c>
      <c r="K1691" s="46">
        <v>-3.6240522626484924E-3</v>
      </c>
    </row>
    <row r="1692" spans="1:11" x14ac:dyDescent="0.2">
      <c r="A1692" s="38" t="s">
        <v>7</v>
      </c>
      <c r="B1692" s="38" t="s">
        <v>7091</v>
      </c>
      <c r="C1692" s="43" t="s">
        <v>7092</v>
      </c>
      <c r="D1692" s="38" t="s">
        <v>12714</v>
      </c>
      <c r="E1692" s="44">
        <v>66980</v>
      </c>
      <c r="F1692" s="45">
        <v>133960</v>
      </c>
      <c r="G1692" s="44">
        <v>111478</v>
      </c>
      <c r="H1692" s="45">
        <v>188796</v>
      </c>
      <c r="I1692" s="45">
        <v>2</v>
      </c>
      <c r="J1692" s="45">
        <v>1.6935718258311057</v>
      </c>
      <c r="K1692" s="46">
        <v>-0.15321408708444717</v>
      </c>
    </row>
    <row r="1693" spans="1:11" x14ac:dyDescent="0.2">
      <c r="A1693" s="38" t="s">
        <v>7</v>
      </c>
      <c r="B1693" s="38" t="s">
        <v>7097</v>
      </c>
      <c r="C1693" s="43" t="s">
        <v>7098</v>
      </c>
      <c r="D1693" s="38" t="s">
        <v>12715</v>
      </c>
      <c r="E1693" s="44">
        <v>188</v>
      </c>
      <c r="F1693" s="45">
        <v>15272</v>
      </c>
      <c r="G1693" s="44">
        <v>45</v>
      </c>
      <c r="H1693" s="45">
        <v>3298</v>
      </c>
      <c r="I1693" s="45">
        <v>81.234042553191486</v>
      </c>
      <c r="J1693" s="45">
        <v>73.288888888888891</v>
      </c>
      <c r="K1693" s="46">
        <v>-9.7805715616087474E-2</v>
      </c>
    </row>
    <row r="1694" spans="1:11" x14ac:dyDescent="0.2">
      <c r="A1694" s="38" t="s">
        <v>7</v>
      </c>
      <c r="B1694" s="38" t="s">
        <v>7100</v>
      </c>
      <c r="C1694" s="43" t="s">
        <v>7101</v>
      </c>
      <c r="D1694" s="38" t="s">
        <v>12716</v>
      </c>
      <c r="E1694" s="44">
        <v>22176</v>
      </c>
      <c r="F1694" s="45">
        <v>717444</v>
      </c>
      <c r="G1694" s="44">
        <v>24138</v>
      </c>
      <c r="H1694" s="45">
        <v>685760</v>
      </c>
      <c r="I1694" s="45">
        <v>32.352272727272727</v>
      </c>
      <c r="J1694" s="45">
        <v>28.409975971497225</v>
      </c>
      <c r="K1694" s="46">
        <v>-0.121855326486914</v>
      </c>
    </row>
    <row r="1695" spans="1:11" x14ac:dyDescent="0.2">
      <c r="A1695" s="38" t="s">
        <v>7</v>
      </c>
      <c r="B1695" s="38" t="s">
        <v>7103</v>
      </c>
      <c r="C1695" s="43" t="s">
        <v>7104</v>
      </c>
      <c r="D1695" s="38" t="s">
        <v>12682</v>
      </c>
      <c r="E1695" s="44">
        <v>1030</v>
      </c>
      <c r="F1695" s="45">
        <v>548810</v>
      </c>
      <c r="G1695" s="44">
        <v>1181</v>
      </c>
      <c r="H1695" s="45">
        <v>482583</v>
      </c>
      <c r="I1695" s="45">
        <v>532.82524271844659</v>
      </c>
      <c r="J1695" s="45">
        <v>408.62235393734125</v>
      </c>
      <c r="K1695" s="46">
        <v>-0.23310248618745741</v>
      </c>
    </row>
    <row r="1696" spans="1:11" x14ac:dyDescent="0.2">
      <c r="A1696" s="38" t="s">
        <v>7</v>
      </c>
      <c r="B1696" s="38" t="s">
        <v>7109</v>
      </c>
      <c r="C1696" s="43" t="s">
        <v>7110</v>
      </c>
      <c r="D1696" s="38" t="s">
        <v>12682</v>
      </c>
      <c r="G1696" s="44">
        <v>1</v>
      </c>
      <c r="H1696" s="45">
        <v>316</v>
      </c>
      <c r="J1696" s="45">
        <v>316</v>
      </c>
    </row>
    <row r="1697" spans="1:11" x14ac:dyDescent="0.2">
      <c r="A1697" s="38" t="s">
        <v>7</v>
      </c>
      <c r="B1697" s="38" t="s">
        <v>7112</v>
      </c>
      <c r="C1697" s="43" t="s">
        <v>7113</v>
      </c>
      <c r="D1697" s="38" t="s">
        <v>12682</v>
      </c>
      <c r="E1697" s="44">
        <v>312</v>
      </c>
      <c r="F1697" s="45">
        <v>140636</v>
      </c>
      <c r="G1697" s="44">
        <v>347</v>
      </c>
      <c r="H1697" s="45">
        <v>143647</v>
      </c>
      <c r="I1697" s="45">
        <v>450.75641025641028</v>
      </c>
      <c r="J1697" s="45">
        <v>413.96829971181558</v>
      </c>
      <c r="K1697" s="46">
        <v>-8.1614170553155285E-2</v>
      </c>
    </row>
    <row r="1698" spans="1:11" x14ac:dyDescent="0.2">
      <c r="A1698" s="38" t="s">
        <v>7</v>
      </c>
      <c r="B1698" s="38" t="s">
        <v>7115</v>
      </c>
      <c r="C1698" s="43" t="s">
        <v>7116</v>
      </c>
      <c r="D1698" s="38" t="s">
        <v>12717</v>
      </c>
      <c r="E1698" s="44">
        <v>172</v>
      </c>
      <c r="F1698" s="45">
        <v>12261.24</v>
      </c>
      <c r="G1698" s="44">
        <v>186</v>
      </c>
      <c r="H1698" s="45">
        <v>10896</v>
      </c>
      <c r="I1698" s="45">
        <v>71.286279069767446</v>
      </c>
      <c r="J1698" s="45">
        <v>58.58064516129032</v>
      </c>
      <c r="K1698" s="46">
        <v>-0.17823393329370157</v>
      </c>
    </row>
    <row r="1699" spans="1:11" x14ac:dyDescent="0.2">
      <c r="A1699" s="38" t="s">
        <v>7</v>
      </c>
      <c r="B1699" s="38" t="s">
        <v>7118</v>
      </c>
      <c r="C1699" s="43" t="s">
        <v>7119</v>
      </c>
      <c r="D1699" s="38" t="s">
        <v>12718</v>
      </c>
      <c r="E1699" s="44">
        <v>263</v>
      </c>
      <c r="F1699" s="45">
        <v>142760</v>
      </c>
      <c r="G1699" s="44">
        <v>257</v>
      </c>
      <c r="H1699" s="45">
        <v>124780</v>
      </c>
      <c r="I1699" s="45">
        <v>542.81368821292779</v>
      </c>
      <c r="J1699" s="45">
        <v>485.5252918287938</v>
      </c>
      <c r="K1699" s="46">
        <v>-0.10553970474241552</v>
      </c>
    </row>
    <row r="1700" spans="1:11" x14ac:dyDescent="0.2">
      <c r="A1700" s="38" t="s">
        <v>7</v>
      </c>
      <c r="B1700" s="38" t="s">
        <v>7121</v>
      </c>
      <c r="C1700" s="43" t="s">
        <v>7122</v>
      </c>
      <c r="D1700" s="38" t="s">
        <v>12719</v>
      </c>
      <c r="E1700" s="44">
        <v>140</v>
      </c>
      <c r="F1700" s="45">
        <v>29772</v>
      </c>
      <c r="G1700" s="44">
        <v>129</v>
      </c>
      <c r="H1700" s="45">
        <v>23131</v>
      </c>
      <c r="I1700" s="45">
        <v>212.65714285714284</v>
      </c>
      <c r="J1700" s="45">
        <v>179.31007751937983</v>
      </c>
      <c r="K1700" s="46">
        <v>-0.15681140492028825</v>
      </c>
    </row>
    <row r="1701" spans="1:11" x14ac:dyDescent="0.2">
      <c r="A1701" s="38" t="s">
        <v>7</v>
      </c>
      <c r="B1701" s="38" t="s">
        <v>7130</v>
      </c>
      <c r="C1701" s="43" t="s">
        <v>7131</v>
      </c>
      <c r="D1701" s="38" t="s">
        <v>12682</v>
      </c>
      <c r="E1701" s="44">
        <v>724</v>
      </c>
      <c r="F1701" s="45">
        <v>392267</v>
      </c>
      <c r="G1701" s="44">
        <v>756</v>
      </c>
      <c r="H1701" s="45">
        <v>342993</v>
      </c>
      <c r="I1701" s="45">
        <v>541.8052486187845</v>
      </c>
      <c r="J1701" s="45">
        <v>453.69444444444446</v>
      </c>
      <c r="K1701" s="46">
        <v>-0.16262449357764533</v>
      </c>
    </row>
    <row r="1702" spans="1:11" x14ac:dyDescent="0.2">
      <c r="A1702" s="38" t="s">
        <v>7</v>
      </c>
      <c r="B1702" s="38" t="s">
        <v>7133</v>
      </c>
      <c r="C1702" s="43" t="s">
        <v>7134</v>
      </c>
      <c r="D1702" s="38" t="s">
        <v>12682</v>
      </c>
      <c r="E1702" s="44">
        <v>349</v>
      </c>
      <c r="F1702" s="45">
        <v>189431</v>
      </c>
      <c r="G1702" s="44">
        <v>284</v>
      </c>
      <c r="H1702" s="45">
        <v>129133</v>
      </c>
      <c r="I1702" s="45">
        <v>542.78223495702002</v>
      </c>
      <c r="J1702" s="45">
        <v>454.69366197183098</v>
      </c>
      <c r="K1702" s="46">
        <v>-0.16229081814397317</v>
      </c>
    </row>
    <row r="1703" spans="1:11" x14ac:dyDescent="0.2">
      <c r="A1703" s="38" t="s">
        <v>7</v>
      </c>
      <c r="B1703" s="38" t="s">
        <v>7136</v>
      </c>
      <c r="C1703" s="43" t="s">
        <v>7137</v>
      </c>
      <c r="D1703" s="38" t="s">
        <v>12720</v>
      </c>
      <c r="E1703" s="44">
        <v>1035</v>
      </c>
      <c r="F1703" s="45">
        <v>219075</v>
      </c>
      <c r="G1703" s="44">
        <v>1088</v>
      </c>
      <c r="H1703" s="45">
        <v>192208</v>
      </c>
      <c r="I1703" s="45">
        <v>211.66666666666666</v>
      </c>
      <c r="J1703" s="45">
        <v>176.66176470588235</v>
      </c>
      <c r="K1703" s="46">
        <v>-0.16537748957850856</v>
      </c>
    </row>
    <row r="1704" spans="1:11" x14ac:dyDescent="0.2">
      <c r="A1704" s="38" t="s">
        <v>7</v>
      </c>
      <c r="B1704" s="38" t="s">
        <v>7142</v>
      </c>
      <c r="C1704" s="43" t="s">
        <v>7143</v>
      </c>
      <c r="D1704" s="38" t="s">
        <v>12721</v>
      </c>
      <c r="E1704" s="44">
        <v>773</v>
      </c>
      <c r="F1704" s="45">
        <v>367701</v>
      </c>
      <c r="G1704" s="44">
        <v>814</v>
      </c>
      <c r="H1704" s="45">
        <v>343374</v>
      </c>
      <c r="I1704" s="45">
        <v>475.68046571798186</v>
      </c>
      <c r="J1704" s="45">
        <v>421.83538083538082</v>
      </c>
      <c r="K1704" s="46">
        <v>-0.11319591356632321</v>
      </c>
    </row>
    <row r="1705" spans="1:11" x14ac:dyDescent="0.2">
      <c r="A1705" s="38" t="s">
        <v>7</v>
      </c>
      <c r="B1705" s="38" t="s">
        <v>7148</v>
      </c>
      <c r="C1705" s="43" t="s">
        <v>7149</v>
      </c>
      <c r="D1705" s="38" t="s">
        <v>12722</v>
      </c>
      <c r="E1705" s="44">
        <v>50</v>
      </c>
      <c r="F1705" s="45">
        <v>6092</v>
      </c>
      <c r="G1705" s="44">
        <v>71</v>
      </c>
      <c r="H1705" s="45">
        <v>8044</v>
      </c>
      <c r="I1705" s="45">
        <v>121.84</v>
      </c>
      <c r="J1705" s="45">
        <v>113.29577464788733</v>
      </c>
      <c r="K1705" s="46">
        <v>-7.0126603349578751E-2</v>
      </c>
    </row>
    <row r="1706" spans="1:11" x14ac:dyDescent="0.2">
      <c r="A1706" s="38" t="s">
        <v>7</v>
      </c>
      <c r="B1706" s="38" t="s">
        <v>7151</v>
      </c>
      <c r="C1706" s="43" t="s">
        <v>7152</v>
      </c>
      <c r="D1706" s="38" t="s">
        <v>12723</v>
      </c>
      <c r="E1706" s="44">
        <v>1010</v>
      </c>
      <c r="F1706" s="45">
        <v>83280</v>
      </c>
      <c r="G1706" s="44">
        <v>960</v>
      </c>
      <c r="H1706" s="45">
        <v>67680</v>
      </c>
      <c r="I1706" s="45">
        <v>82.455445544554451</v>
      </c>
      <c r="J1706" s="45">
        <v>70.5</v>
      </c>
      <c r="K1706" s="46">
        <v>-0.14499279538904894</v>
      </c>
    </row>
    <row r="1707" spans="1:11" x14ac:dyDescent="0.2">
      <c r="A1707" s="38" t="s">
        <v>7</v>
      </c>
      <c r="B1707" s="38" t="s">
        <v>7154</v>
      </c>
      <c r="C1707" s="43" t="s">
        <v>7155</v>
      </c>
      <c r="D1707" s="38" t="s">
        <v>12723</v>
      </c>
      <c r="G1707" s="44">
        <v>20</v>
      </c>
      <c r="H1707" s="45">
        <v>220</v>
      </c>
      <c r="J1707" s="45">
        <v>11</v>
      </c>
    </row>
    <row r="1708" spans="1:11" x14ac:dyDescent="0.2">
      <c r="A1708" s="38" t="s">
        <v>7</v>
      </c>
      <c r="B1708" s="38" t="s">
        <v>12724</v>
      </c>
      <c r="C1708" s="43" t="s">
        <v>12725</v>
      </c>
      <c r="D1708" s="38" t="s">
        <v>12682</v>
      </c>
      <c r="E1708" s="44">
        <v>279</v>
      </c>
      <c r="F1708" s="45">
        <v>305628</v>
      </c>
      <c r="G1708" s="44">
        <v>229</v>
      </c>
      <c r="H1708" s="45">
        <v>257396</v>
      </c>
      <c r="I1708" s="45">
        <v>1095.4408602150538</v>
      </c>
      <c r="J1708" s="45">
        <v>1124</v>
      </c>
      <c r="K1708" s="46">
        <v>2.6070909733401339E-2</v>
      </c>
    </row>
    <row r="1709" spans="1:11" x14ac:dyDescent="0.2">
      <c r="A1709" s="38" t="s">
        <v>7</v>
      </c>
      <c r="B1709" s="38" t="s">
        <v>7157</v>
      </c>
      <c r="C1709" s="43" t="s">
        <v>7158</v>
      </c>
      <c r="D1709" s="38" t="s">
        <v>12726</v>
      </c>
      <c r="G1709" s="44">
        <v>1700</v>
      </c>
      <c r="H1709" s="45">
        <v>3400</v>
      </c>
      <c r="J1709" s="45">
        <v>2</v>
      </c>
    </row>
    <row r="1710" spans="1:11" x14ac:dyDescent="0.2">
      <c r="A1710" s="38" t="s">
        <v>7</v>
      </c>
      <c r="B1710" s="38" t="s">
        <v>7160</v>
      </c>
      <c r="C1710" s="43" t="s">
        <v>7161</v>
      </c>
      <c r="D1710" s="38" t="s">
        <v>12727</v>
      </c>
      <c r="E1710" s="44">
        <v>16606</v>
      </c>
      <c r="F1710" s="45">
        <v>1575341</v>
      </c>
      <c r="G1710" s="44">
        <v>17668</v>
      </c>
      <c r="H1710" s="45">
        <v>1469356</v>
      </c>
      <c r="I1710" s="45">
        <v>94.865771407924854</v>
      </c>
      <c r="J1710" s="45">
        <v>83.164817749603799</v>
      </c>
      <c r="K1710" s="46">
        <v>-0.12334220746497389</v>
      </c>
    </row>
    <row r="1711" spans="1:11" x14ac:dyDescent="0.2">
      <c r="A1711" s="38" t="s">
        <v>7</v>
      </c>
      <c r="B1711" s="38" t="s">
        <v>7163</v>
      </c>
      <c r="C1711" s="43" t="s">
        <v>7164</v>
      </c>
      <c r="D1711" s="38" t="s">
        <v>12682</v>
      </c>
      <c r="E1711" s="44">
        <v>48</v>
      </c>
      <c r="F1711" s="45">
        <v>53218</v>
      </c>
      <c r="G1711" s="44">
        <v>45</v>
      </c>
      <c r="H1711" s="45">
        <v>47421</v>
      </c>
      <c r="I1711" s="45">
        <v>1108.7083333333333</v>
      </c>
      <c r="J1711" s="45">
        <v>1053.8</v>
      </c>
      <c r="K1711" s="46">
        <v>-4.9524596940884638E-2</v>
      </c>
    </row>
    <row r="1712" spans="1:11" x14ac:dyDescent="0.2">
      <c r="A1712" s="38" t="s">
        <v>7</v>
      </c>
      <c r="B1712" s="38" t="s">
        <v>7166</v>
      </c>
      <c r="C1712" s="43" t="s">
        <v>7167</v>
      </c>
      <c r="D1712" s="38" t="s">
        <v>12682</v>
      </c>
      <c r="E1712" s="44">
        <v>62</v>
      </c>
      <c r="F1712" s="45">
        <v>12335</v>
      </c>
      <c r="G1712" s="44">
        <v>53</v>
      </c>
      <c r="H1712" s="45">
        <v>9257</v>
      </c>
      <c r="I1712" s="45">
        <v>198.95161290322579</v>
      </c>
      <c r="J1712" s="45">
        <v>174.66037735849056</v>
      </c>
      <c r="K1712" s="46">
        <v>-0.12209619811703157</v>
      </c>
    </row>
    <row r="1713" spans="1:11" x14ac:dyDescent="0.2">
      <c r="A1713" s="38" t="s">
        <v>7</v>
      </c>
      <c r="B1713" s="38" t="s">
        <v>7169</v>
      </c>
      <c r="C1713" s="43" t="s">
        <v>7170</v>
      </c>
      <c r="D1713" s="38" t="s">
        <v>12682</v>
      </c>
      <c r="E1713" s="44">
        <v>476</v>
      </c>
      <c r="F1713" s="45">
        <v>99920</v>
      </c>
      <c r="G1713" s="44">
        <v>428</v>
      </c>
      <c r="H1713" s="45">
        <v>80212</v>
      </c>
      <c r="I1713" s="45">
        <v>209.91596638655463</v>
      </c>
      <c r="J1713" s="45">
        <v>187.41121495327104</v>
      </c>
      <c r="K1713" s="46">
        <v>-0.10720838352925327</v>
      </c>
    </row>
    <row r="1714" spans="1:11" x14ac:dyDescent="0.2">
      <c r="A1714" s="38" t="s">
        <v>7</v>
      </c>
      <c r="B1714" s="38" t="s">
        <v>7181</v>
      </c>
      <c r="C1714" s="43" t="s">
        <v>7182</v>
      </c>
      <c r="D1714" s="38" t="s">
        <v>12728</v>
      </c>
      <c r="G1714" s="44">
        <v>185</v>
      </c>
      <c r="H1714" s="45">
        <v>28120</v>
      </c>
      <c r="J1714" s="45">
        <v>152</v>
      </c>
    </row>
    <row r="1715" spans="1:11" x14ac:dyDescent="0.2">
      <c r="A1715" s="38" t="s">
        <v>7</v>
      </c>
      <c r="B1715" s="38" t="s">
        <v>7184</v>
      </c>
      <c r="C1715" s="43" t="s">
        <v>7185</v>
      </c>
      <c r="D1715" s="38" t="s">
        <v>12729</v>
      </c>
      <c r="E1715" s="44">
        <v>45500</v>
      </c>
      <c r="F1715" s="45">
        <v>711310</v>
      </c>
      <c r="G1715" s="44">
        <v>31820</v>
      </c>
      <c r="H1715" s="45">
        <v>435620</v>
      </c>
      <c r="I1715" s="45">
        <v>15.633186813186812</v>
      </c>
      <c r="J1715" s="45">
        <v>13.690131992457573</v>
      </c>
      <c r="K1715" s="46">
        <v>-0.12429038582781121</v>
      </c>
    </row>
    <row r="1716" spans="1:11" x14ac:dyDescent="0.2">
      <c r="A1716" s="38" t="s">
        <v>7</v>
      </c>
      <c r="B1716" s="38" t="s">
        <v>7187</v>
      </c>
      <c r="C1716" s="43" t="s">
        <v>7188</v>
      </c>
      <c r="D1716" s="38" t="s">
        <v>12730</v>
      </c>
      <c r="E1716" s="44">
        <v>3660</v>
      </c>
      <c r="F1716" s="45">
        <v>28580</v>
      </c>
      <c r="G1716" s="44">
        <v>2090</v>
      </c>
      <c r="H1716" s="45">
        <v>16840</v>
      </c>
      <c r="I1716" s="45">
        <v>7.8087431693989071</v>
      </c>
      <c r="J1716" s="45">
        <v>8.0574162679425836</v>
      </c>
      <c r="K1716" s="46">
        <v>3.1845470282360247E-2</v>
      </c>
    </row>
    <row r="1717" spans="1:11" x14ac:dyDescent="0.2">
      <c r="A1717" s="38" t="s">
        <v>7</v>
      </c>
      <c r="B1717" s="38" t="s">
        <v>7190</v>
      </c>
      <c r="C1717" s="43" t="s">
        <v>7191</v>
      </c>
      <c r="D1717" s="38" t="s">
        <v>12731</v>
      </c>
      <c r="E1717" s="44">
        <v>226</v>
      </c>
      <c r="F1717" s="45">
        <v>20642</v>
      </c>
      <c r="G1717" s="44">
        <v>710</v>
      </c>
      <c r="H1717" s="45">
        <v>67100</v>
      </c>
      <c r="I1717" s="45">
        <v>91.336283185840713</v>
      </c>
      <c r="J1717" s="45">
        <v>94.507042253521121</v>
      </c>
      <c r="K1717" s="46">
        <v>3.4715218936913671E-2</v>
      </c>
    </row>
    <row r="1718" spans="1:11" x14ac:dyDescent="0.2">
      <c r="A1718" s="38" t="s">
        <v>7</v>
      </c>
      <c r="B1718" s="38" t="s">
        <v>7193</v>
      </c>
      <c r="C1718" s="43" t="s">
        <v>7194</v>
      </c>
      <c r="D1718" s="38" t="s">
        <v>12732</v>
      </c>
      <c r="E1718" s="44">
        <v>767</v>
      </c>
      <c r="F1718" s="45">
        <v>436970</v>
      </c>
      <c r="G1718" s="44">
        <v>892</v>
      </c>
      <c r="H1718" s="45">
        <v>470566</v>
      </c>
      <c r="I1718" s="45">
        <v>569.71316818774449</v>
      </c>
      <c r="J1718" s="45">
        <v>527.54035874439467</v>
      </c>
      <c r="K1718" s="46">
        <v>-7.4024635199325603E-2</v>
      </c>
    </row>
    <row r="1719" spans="1:11" x14ac:dyDescent="0.2">
      <c r="A1719" s="38" t="s">
        <v>7</v>
      </c>
      <c r="B1719" s="38" t="s">
        <v>7196</v>
      </c>
      <c r="C1719" s="43" t="s">
        <v>7197</v>
      </c>
      <c r="D1719" s="38" t="s">
        <v>12733</v>
      </c>
      <c r="G1719" s="44">
        <v>145</v>
      </c>
      <c r="H1719" s="45">
        <v>81345</v>
      </c>
      <c r="J1719" s="45">
        <v>561</v>
      </c>
    </row>
    <row r="1720" spans="1:11" x14ac:dyDescent="0.2">
      <c r="A1720" s="38" t="s">
        <v>7</v>
      </c>
      <c r="B1720" s="38" t="s">
        <v>7199</v>
      </c>
      <c r="C1720" s="43" t="s">
        <v>7200</v>
      </c>
      <c r="D1720" s="38" t="s">
        <v>12734</v>
      </c>
      <c r="E1720" s="44">
        <v>140</v>
      </c>
      <c r="F1720" s="45">
        <v>980</v>
      </c>
      <c r="G1720" s="44">
        <v>260</v>
      </c>
      <c r="H1720" s="45">
        <v>1700</v>
      </c>
      <c r="I1720" s="45">
        <v>7</v>
      </c>
      <c r="J1720" s="45">
        <v>6.5384615384615383</v>
      </c>
      <c r="K1720" s="46">
        <v>-6.593406593406595E-2</v>
      </c>
    </row>
    <row r="1721" spans="1:11" x14ac:dyDescent="0.2">
      <c r="A1721" s="38" t="s">
        <v>7</v>
      </c>
      <c r="B1721" s="38" t="s">
        <v>7202</v>
      </c>
      <c r="C1721" s="43" t="s">
        <v>7203</v>
      </c>
      <c r="D1721" s="38" t="s">
        <v>12734</v>
      </c>
      <c r="G1721" s="44">
        <v>7500</v>
      </c>
      <c r="H1721" s="45">
        <v>33500</v>
      </c>
      <c r="J1721" s="45">
        <v>4.4666666666666668</v>
      </c>
    </row>
    <row r="1722" spans="1:11" x14ac:dyDescent="0.2">
      <c r="A1722" s="38" t="s">
        <v>7</v>
      </c>
      <c r="B1722" s="38" t="s">
        <v>7204</v>
      </c>
      <c r="C1722" s="43" t="s">
        <v>7205</v>
      </c>
      <c r="D1722" s="38" t="s">
        <v>12735</v>
      </c>
      <c r="E1722" s="44">
        <v>1</v>
      </c>
      <c r="F1722" s="45">
        <v>840</v>
      </c>
      <c r="G1722" s="44">
        <v>0</v>
      </c>
      <c r="H1722" s="45">
        <v>0</v>
      </c>
      <c r="I1722" s="45">
        <v>840</v>
      </c>
    </row>
    <row r="1723" spans="1:11" x14ac:dyDescent="0.2">
      <c r="A1723" s="38" t="s">
        <v>7</v>
      </c>
      <c r="B1723" s="38" t="s">
        <v>7207</v>
      </c>
      <c r="C1723" s="43" t="s">
        <v>7208</v>
      </c>
      <c r="D1723" s="38" t="s">
        <v>12736</v>
      </c>
      <c r="G1723" s="44">
        <v>6600</v>
      </c>
      <c r="H1723" s="45">
        <v>6600</v>
      </c>
      <c r="J1723" s="45">
        <v>1</v>
      </c>
    </row>
    <row r="1724" spans="1:11" x14ac:dyDescent="0.2">
      <c r="A1724" s="38" t="s">
        <v>7</v>
      </c>
      <c r="B1724" s="38" t="s">
        <v>7210</v>
      </c>
      <c r="C1724" s="43" t="s">
        <v>7211</v>
      </c>
      <c r="D1724" s="38" t="s">
        <v>12682</v>
      </c>
      <c r="E1724" s="44">
        <v>153</v>
      </c>
      <c r="F1724" s="45">
        <v>113712</v>
      </c>
      <c r="G1724" s="44">
        <v>259</v>
      </c>
      <c r="H1724" s="45">
        <v>157640</v>
      </c>
      <c r="I1724" s="45">
        <v>743.21568627450984</v>
      </c>
      <c r="J1724" s="45">
        <v>608.64864864864865</v>
      </c>
      <c r="K1724" s="46">
        <v>-0.18106054556033455</v>
      </c>
    </row>
    <row r="1725" spans="1:11" x14ac:dyDescent="0.2">
      <c r="A1725" s="38" t="s">
        <v>7</v>
      </c>
      <c r="B1725" s="38" t="s">
        <v>7213</v>
      </c>
      <c r="C1725" s="43" t="s">
        <v>7214</v>
      </c>
      <c r="D1725" s="38" t="s">
        <v>12682</v>
      </c>
      <c r="E1725" s="44">
        <v>4</v>
      </c>
      <c r="F1725" s="45">
        <v>4460</v>
      </c>
      <c r="G1725" s="44">
        <v>2</v>
      </c>
      <c r="H1725" s="45">
        <v>2272</v>
      </c>
      <c r="I1725" s="45">
        <v>1115</v>
      </c>
      <c r="J1725" s="45">
        <v>1136</v>
      </c>
      <c r="K1725" s="46">
        <v>1.883408071748879E-2</v>
      </c>
    </row>
    <row r="1726" spans="1:11" x14ac:dyDescent="0.2">
      <c r="A1726" s="38" t="s">
        <v>7</v>
      </c>
      <c r="B1726" s="38" t="s">
        <v>12737</v>
      </c>
      <c r="C1726" s="43" t="s">
        <v>12738</v>
      </c>
      <c r="D1726" s="38" t="s">
        <v>12739</v>
      </c>
      <c r="E1726" s="44">
        <v>1558</v>
      </c>
      <c r="F1726" s="45">
        <v>930580</v>
      </c>
      <c r="G1726" s="44">
        <v>1049</v>
      </c>
      <c r="H1726" s="45">
        <v>639890</v>
      </c>
      <c r="I1726" s="45">
        <v>597.29139922978175</v>
      </c>
      <c r="J1726" s="45">
        <v>610</v>
      </c>
      <c r="K1726" s="46">
        <v>2.1277053020696813E-2</v>
      </c>
    </row>
    <row r="1727" spans="1:11" x14ac:dyDescent="0.2">
      <c r="A1727" s="38" t="s">
        <v>7</v>
      </c>
      <c r="B1727" s="38" t="s">
        <v>7216</v>
      </c>
      <c r="C1727" s="43" t="s">
        <v>7217</v>
      </c>
      <c r="D1727" s="38" t="s">
        <v>12740</v>
      </c>
      <c r="E1727" s="44">
        <v>238</v>
      </c>
      <c r="F1727" s="45">
        <v>182960</v>
      </c>
      <c r="G1727" s="44">
        <v>207</v>
      </c>
      <c r="H1727" s="45">
        <v>133101</v>
      </c>
      <c r="I1727" s="45">
        <v>768.73949579831935</v>
      </c>
      <c r="J1727" s="45">
        <v>643</v>
      </c>
      <c r="K1727" s="46">
        <v>-0.16356580673371232</v>
      </c>
    </row>
    <row r="1728" spans="1:11" x14ac:dyDescent="0.2">
      <c r="A1728" s="38" t="s">
        <v>7</v>
      </c>
      <c r="B1728" s="38" t="s">
        <v>7219</v>
      </c>
      <c r="C1728" s="43" t="s">
        <v>7220</v>
      </c>
      <c r="D1728" s="38" t="s">
        <v>12682</v>
      </c>
      <c r="E1728" s="44">
        <v>5</v>
      </c>
      <c r="F1728" s="45">
        <v>6246</v>
      </c>
      <c r="G1728" s="44">
        <v>4</v>
      </c>
      <c r="H1728" s="45">
        <v>3839</v>
      </c>
      <c r="I1728" s="45">
        <v>1249.2</v>
      </c>
      <c r="J1728" s="45">
        <v>959.75</v>
      </c>
      <c r="K1728" s="46">
        <v>-0.23170829330771697</v>
      </c>
    </row>
    <row r="1729" spans="1:11" x14ac:dyDescent="0.2">
      <c r="A1729" s="38" t="s">
        <v>7</v>
      </c>
      <c r="B1729" s="38" t="s">
        <v>7222</v>
      </c>
      <c r="C1729" s="43" t="s">
        <v>7223</v>
      </c>
      <c r="D1729" s="38" t="s">
        <v>12741</v>
      </c>
      <c r="G1729" s="44">
        <v>130</v>
      </c>
      <c r="H1729" s="45">
        <v>28080</v>
      </c>
      <c r="J1729" s="45">
        <v>216</v>
      </c>
    </row>
    <row r="1730" spans="1:11" x14ac:dyDescent="0.2">
      <c r="A1730" s="38" t="s">
        <v>7</v>
      </c>
      <c r="B1730" s="38" t="s">
        <v>7225</v>
      </c>
      <c r="C1730" s="43" t="s">
        <v>7226</v>
      </c>
      <c r="D1730" s="38" t="s">
        <v>12682</v>
      </c>
      <c r="G1730" s="44">
        <v>10</v>
      </c>
      <c r="H1730" s="45">
        <v>2942</v>
      </c>
      <c r="J1730" s="45">
        <v>294.2</v>
      </c>
    </row>
    <row r="1731" spans="1:11" x14ac:dyDescent="0.2">
      <c r="A1731" s="38" t="s">
        <v>7</v>
      </c>
      <c r="B1731" s="38" t="s">
        <v>7228</v>
      </c>
      <c r="C1731" s="43" t="s">
        <v>7229</v>
      </c>
      <c r="D1731" s="38" t="s">
        <v>12742</v>
      </c>
      <c r="G1731" s="44">
        <v>3000</v>
      </c>
      <c r="H1731" s="45">
        <v>45000</v>
      </c>
      <c r="J1731" s="45">
        <v>15</v>
      </c>
    </row>
    <row r="1732" spans="1:11" x14ac:dyDescent="0.2">
      <c r="A1732" s="38" t="s">
        <v>7</v>
      </c>
      <c r="B1732" s="38" t="s">
        <v>7234</v>
      </c>
      <c r="C1732" s="43" t="s">
        <v>7235</v>
      </c>
      <c r="D1732" s="38" t="s">
        <v>12740</v>
      </c>
      <c r="E1732" s="44">
        <v>23</v>
      </c>
      <c r="F1732" s="45">
        <v>4333</v>
      </c>
      <c r="G1732" s="44">
        <v>6</v>
      </c>
      <c r="H1732" s="45">
        <v>862</v>
      </c>
      <c r="I1732" s="45">
        <v>188.39130434782609</v>
      </c>
      <c r="J1732" s="45">
        <v>143.66666666666666</v>
      </c>
      <c r="K1732" s="46">
        <v>-0.23740287714439579</v>
      </c>
    </row>
    <row r="1733" spans="1:11" x14ac:dyDescent="0.2">
      <c r="A1733" s="38" t="s">
        <v>7</v>
      </c>
      <c r="B1733" s="38" t="s">
        <v>12743</v>
      </c>
      <c r="C1733" s="43" t="s">
        <v>12744</v>
      </c>
      <c r="D1733" s="38" t="s">
        <v>12682</v>
      </c>
      <c r="E1733" s="44">
        <v>112</v>
      </c>
      <c r="F1733" s="45">
        <v>42529</v>
      </c>
      <c r="G1733" s="44">
        <v>51</v>
      </c>
      <c r="H1733" s="45">
        <v>20145</v>
      </c>
      <c r="I1733" s="45">
        <v>379.72321428571428</v>
      </c>
      <c r="J1733" s="45">
        <v>395</v>
      </c>
      <c r="K1733" s="46">
        <v>4.0231371534717508E-2</v>
      </c>
    </row>
    <row r="1734" spans="1:11" x14ac:dyDescent="0.2">
      <c r="A1734" s="38" t="s">
        <v>7</v>
      </c>
      <c r="B1734" s="38" t="s">
        <v>7240</v>
      </c>
      <c r="C1734" s="43" t="s">
        <v>7241</v>
      </c>
      <c r="D1734" s="38" t="s">
        <v>12745</v>
      </c>
      <c r="E1734" s="44">
        <v>208</v>
      </c>
      <c r="F1734" s="45">
        <v>60040</v>
      </c>
      <c r="G1734" s="44">
        <v>207</v>
      </c>
      <c r="H1734" s="45">
        <v>59929</v>
      </c>
      <c r="I1734" s="45">
        <v>288.65384615384613</v>
      </c>
      <c r="J1734" s="45">
        <v>289.51207729468598</v>
      </c>
      <c r="K1734" s="46">
        <v>2.9732191421500405E-3</v>
      </c>
    </row>
    <row r="1735" spans="1:11" x14ac:dyDescent="0.2">
      <c r="A1735" s="38" t="s">
        <v>7</v>
      </c>
      <c r="B1735" s="38" t="s">
        <v>12746</v>
      </c>
      <c r="C1735" s="43" t="s">
        <v>12747</v>
      </c>
      <c r="D1735" s="38" t="s">
        <v>12748</v>
      </c>
      <c r="E1735" s="44">
        <v>6258</v>
      </c>
      <c r="F1735" s="45">
        <v>2684300</v>
      </c>
      <c r="G1735" s="44">
        <v>6638</v>
      </c>
      <c r="H1735" s="45">
        <v>2907444</v>
      </c>
      <c r="I1735" s="45">
        <v>428.93895813358898</v>
      </c>
      <c r="J1735" s="45">
        <v>438</v>
      </c>
      <c r="K1735" s="46">
        <v>2.1124315463994393E-2</v>
      </c>
    </row>
    <row r="1736" spans="1:11" x14ac:dyDescent="0.2">
      <c r="A1736" s="38" t="s">
        <v>7</v>
      </c>
      <c r="B1736" s="38" t="s">
        <v>7243</v>
      </c>
      <c r="C1736" s="43" t="s">
        <v>7244</v>
      </c>
      <c r="D1736" s="38" t="s">
        <v>12749</v>
      </c>
      <c r="G1736" s="44">
        <v>70</v>
      </c>
      <c r="H1736" s="45">
        <v>4440</v>
      </c>
      <c r="J1736" s="45">
        <v>63.428571428571431</v>
      </c>
    </row>
    <row r="1737" spans="1:11" x14ac:dyDescent="0.2">
      <c r="A1737" s="38" t="s">
        <v>7</v>
      </c>
      <c r="B1737" s="38" t="s">
        <v>7246</v>
      </c>
      <c r="C1737" s="43" t="s">
        <v>7247</v>
      </c>
      <c r="D1737" s="38" t="s">
        <v>12750</v>
      </c>
      <c r="E1737" s="44">
        <v>90</v>
      </c>
      <c r="F1737" s="45">
        <v>14838</v>
      </c>
      <c r="G1737" s="44">
        <v>0</v>
      </c>
      <c r="H1737" s="45">
        <v>0</v>
      </c>
      <c r="I1737" s="45">
        <v>164.86666666666667</v>
      </c>
    </row>
    <row r="1738" spans="1:11" x14ac:dyDescent="0.2">
      <c r="A1738" s="38" t="s">
        <v>7</v>
      </c>
      <c r="B1738" s="38" t="s">
        <v>7248</v>
      </c>
      <c r="C1738" s="43" t="s">
        <v>7249</v>
      </c>
      <c r="D1738" s="38" t="s">
        <v>12751</v>
      </c>
      <c r="E1738" s="44">
        <v>4100</v>
      </c>
      <c r="F1738" s="45">
        <v>68300</v>
      </c>
      <c r="G1738" s="44">
        <v>5220</v>
      </c>
      <c r="H1738" s="45">
        <v>85140</v>
      </c>
      <c r="I1738" s="45">
        <v>16.658536585365855</v>
      </c>
      <c r="J1738" s="45">
        <v>16.310344827586206</v>
      </c>
      <c r="K1738" s="46">
        <v>-2.0901701418690476E-2</v>
      </c>
    </row>
    <row r="1739" spans="1:11" x14ac:dyDescent="0.2">
      <c r="A1739" s="38" t="s">
        <v>7</v>
      </c>
      <c r="B1739" s="38" t="s">
        <v>7251</v>
      </c>
      <c r="C1739" s="43" t="s">
        <v>7252</v>
      </c>
      <c r="D1739" s="38" t="s">
        <v>12752</v>
      </c>
      <c r="G1739" s="44">
        <v>3500</v>
      </c>
      <c r="H1739" s="45">
        <v>7000</v>
      </c>
      <c r="J1739" s="45">
        <v>2</v>
      </c>
    </row>
    <row r="1740" spans="1:11" x14ac:dyDescent="0.2">
      <c r="A1740" s="38" t="s">
        <v>7</v>
      </c>
      <c r="B1740" s="38" t="s">
        <v>7254</v>
      </c>
      <c r="C1740" s="43" t="s">
        <v>7255</v>
      </c>
      <c r="D1740" s="38" t="s">
        <v>12753</v>
      </c>
      <c r="G1740" s="44">
        <v>27320</v>
      </c>
      <c r="H1740" s="45">
        <v>27320</v>
      </c>
      <c r="J1740" s="45">
        <v>1</v>
      </c>
    </row>
    <row r="1741" spans="1:11" x14ac:dyDescent="0.2">
      <c r="A1741" s="38" t="s">
        <v>7</v>
      </c>
      <c r="B1741" s="38" t="s">
        <v>7260</v>
      </c>
      <c r="C1741" s="43" t="s">
        <v>7261</v>
      </c>
      <c r="D1741" s="38" t="s">
        <v>12754</v>
      </c>
      <c r="E1741" s="44">
        <v>12</v>
      </c>
      <c r="F1741" s="45">
        <v>2544</v>
      </c>
      <c r="G1741" s="44">
        <v>0</v>
      </c>
      <c r="H1741" s="45">
        <v>0</v>
      </c>
      <c r="I1741" s="45">
        <v>212</v>
      </c>
    </row>
    <row r="1742" spans="1:11" x14ac:dyDescent="0.2">
      <c r="A1742" s="38" t="s">
        <v>7</v>
      </c>
      <c r="B1742" s="38" t="s">
        <v>7263</v>
      </c>
      <c r="C1742" s="43" t="s">
        <v>7264</v>
      </c>
      <c r="D1742" s="38" t="s">
        <v>12755</v>
      </c>
      <c r="E1742" s="44">
        <v>41</v>
      </c>
      <c r="F1742" s="45">
        <v>2035</v>
      </c>
      <c r="G1742" s="44">
        <v>26</v>
      </c>
      <c r="H1742" s="45">
        <v>1206</v>
      </c>
      <c r="I1742" s="45">
        <v>49.634146341463413</v>
      </c>
      <c r="J1742" s="45">
        <v>46.384615384615387</v>
      </c>
      <c r="K1742" s="46">
        <v>-6.54696654696654E-2</v>
      </c>
    </row>
    <row r="1743" spans="1:11" x14ac:dyDescent="0.2">
      <c r="A1743" s="38" t="s">
        <v>7</v>
      </c>
      <c r="B1743" s="38" t="s">
        <v>7266</v>
      </c>
      <c r="C1743" s="43" t="s">
        <v>7267</v>
      </c>
      <c r="D1743" s="38" t="s">
        <v>12755</v>
      </c>
      <c r="E1743" s="44">
        <v>72</v>
      </c>
      <c r="F1743" s="45">
        <v>44608</v>
      </c>
      <c r="G1743" s="44">
        <v>131</v>
      </c>
      <c r="H1743" s="45">
        <v>71388</v>
      </c>
      <c r="I1743" s="45">
        <v>619.55555555555554</v>
      </c>
      <c r="J1743" s="45">
        <v>544.94656488549617</v>
      </c>
      <c r="K1743" s="46">
        <v>-0.12042340674866112</v>
      </c>
    </row>
    <row r="1744" spans="1:11" x14ac:dyDescent="0.2">
      <c r="A1744" s="38" t="s">
        <v>7</v>
      </c>
      <c r="B1744" s="38" t="s">
        <v>7269</v>
      </c>
      <c r="C1744" s="43" t="s">
        <v>7270</v>
      </c>
      <c r="D1744" s="38" t="s">
        <v>12756</v>
      </c>
      <c r="E1744" s="44">
        <v>58</v>
      </c>
      <c r="F1744" s="45">
        <v>37326</v>
      </c>
      <c r="G1744" s="44">
        <v>41</v>
      </c>
      <c r="H1744" s="45">
        <v>26467</v>
      </c>
      <c r="I1744" s="45">
        <v>643.55172413793105</v>
      </c>
      <c r="J1744" s="45">
        <v>645.53658536585363</v>
      </c>
      <c r="K1744" s="46">
        <v>3.0842295241791133E-3</v>
      </c>
    </row>
    <row r="1745" spans="1:11" x14ac:dyDescent="0.2">
      <c r="A1745" s="38" t="s">
        <v>7</v>
      </c>
      <c r="B1745" s="38" t="s">
        <v>7272</v>
      </c>
      <c r="C1745" s="43" t="s">
        <v>7273</v>
      </c>
      <c r="D1745" s="38" t="s">
        <v>12757</v>
      </c>
      <c r="E1745" s="44">
        <v>1501</v>
      </c>
      <c r="F1745" s="45">
        <v>16390.919999999998</v>
      </c>
      <c r="G1745" s="44">
        <v>2344</v>
      </c>
      <c r="H1745" s="45">
        <v>23132.959999999999</v>
      </c>
      <c r="I1745" s="45">
        <v>10.919999999999998</v>
      </c>
      <c r="J1745" s="45">
        <v>9.8690102389078493</v>
      </c>
      <c r="K1745" s="46">
        <v>-9.6244483616497165E-2</v>
      </c>
    </row>
    <row r="1746" spans="1:11" x14ac:dyDescent="0.2">
      <c r="A1746" s="38" t="s">
        <v>7</v>
      </c>
      <c r="B1746" s="38" t="s">
        <v>7278</v>
      </c>
      <c r="C1746" s="43" t="s">
        <v>7279</v>
      </c>
      <c r="D1746" s="38" t="s">
        <v>12758</v>
      </c>
      <c r="E1746" s="44">
        <v>347</v>
      </c>
      <c r="F1746" s="45">
        <v>139746</v>
      </c>
      <c r="G1746" s="44">
        <v>374</v>
      </c>
      <c r="H1746" s="45">
        <v>129414</v>
      </c>
      <c r="I1746" s="45">
        <v>402.72622478386165</v>
      </c>
      <c r="J1746" s="45">
        <v>346.02673796791441</v>
      </c>
      <c r="K1746" s="46">
        <v>-0.14078915979801707</v>
      </c>
    </row>
    <row r="1747" spans="1:11" x14ac:dyDescent="0.2">
      <c r="A1747" s="38" t="s">
        <v>7</v>
      </c>
      <c r="B1747" s="38" t="s">
        <v>7281</v>
      </c>
      <c r="C1747" s="43" t="s">
        <v>7282</v>
      </c>
      <c r="D1747" s="38" t="s">
        <v>12759</v>
      </c>
      <c r="G1747" s="44">
        <v>401</v>
      </c>
      <c r="H1747" s="45">
        <v>802</v>
      </c>
      <c r="J1747" s="45">
        <v>2</v>
      </c>
    </row>
    <row r="1748" spans="1:11" x14ac:dyDescent="0.2">
      <c r="A1748" s="38" t="s">
        <v>7</v>
      </c>
      <c r="B1748" s="38" t="s">
        <v>7284</v>
      </c>
      <c r="C1748" s="43" t="s">
        <v>7285</v>
      </c>
      <c r="D1748" s="38" t="s">
        <v>12759</v>
      </c>
      <c r="E1748" s="44">
        <v>1200</v>
      </c>
      <c r="F1748" s="45">
        <v>2400</v>
      </c>
      <c r="G1748" s="44">
        <v>750</v>
      </c>
      <c r="H1748" s="45">
        <v>2400</v>
      </c>
      <c r="I1748" s="45">
        <v>2</v>
      </c>
      <c r="J1748" s="45">
        <v>3.2</v>
      </c>
      <c r="K1748" s="46">
        <v>0.60000000000000009</v>
      </c>
    </row>
    <row r="1749" spans="1:11" x14ac:dyDescent="0.2">
      <c r="A1749" s="38" t="s">
        <v>7</v>
      </c>
      <c r="B1749" s="38" t="s">
        <v>7287</v>
      </c>
      <c r="C1749" s="43" t="s">
        <v>7288</v>
      </c>
      <c r="D1749" s="38" t="s">
        <v>12760</v>
      </c>
      <c r="E1749" s="44">
        <v>17230</v>
      </c>
      <c r="F1749" s="45">
        <v>705030</v>
      </c>
      <c r="G1749" s="44">
        <v>21045</v>
      </c>
      <c r="H1749" s="45">
        <v>792630</v>
      </c>
      <c r="I1749" s="45">
        <v>40.918746372605916</v>
      </c>
      <c r="J1749" s="45">
        <v>37.663578047042051</v>
      </c>
      <c r="K1749" s="46">
        <v>-7.9552005233061565E-2</v>
      </c>
    </row>
    <row r="1750" spans="1:11" x14ac:dyDescent="0.2">
      <c r="A1750" s="38" t="s">
        <v>7</v>
      </c>
      <c r="B1750" s="38" t="s">
        <v>7290</v>
      </c>
      <c r="C1750" s="43" t="s">
        <v>7291</v>
      </c>
      <c r="D1750" s="38" t="s">
        <v>12760</v>
      </c>
      <c r="E1750" s="44">
        <v>16050</v>
      </c>
      <c r="F1750" s="45">
        <v>578052</v>
      </c>
      <c r="G1750" s="44">
        <v>23070</v>
      </c>
      <c r="H1750" s="45">
        <v>758418</v>
      </c>
      <c r="I1750" s="45">
        <v>36.015700934579442</v>
      </c>
      <c r="J1750" s="45">
        <v>32.874642392717817</v>
      </c>
      <c r="K1750" s="46">
        <v>-8.7213589083471862E-2</v>
      </c>
    </row>
    <row r="1751" spans="1:11" x14ac:dyDescent="0.2">
      <c r="A1751" s="38" t="s">
        <v>7</v>
      </c>
      <c r="B1751" s="38" t="s">
        <v>7296</v>
      </c>
      <c r="C1751" s="43" t="s">
        <v>7297</v>
      </c>
      <c r="D1751" s="38" t="s">
        <v>12682</v>
      </c>
      <c r="G1751" s="44">
        <v>49</v>
      </c>
      <c r="H1751" s="45">
        <v>77546</v>
      </c>
      <c r="J1751" s="45">
        <v>1582.5714285714287</v>
      </c>
    </row>
    <row r="1752" spans="1:11" x14ac:dyDescent="0.2">
      <c r="A1752" s="38" t="s">
        <v>7</v>
      </c>
      <c r="B1752" s="38" t="s">
        <v>7299</v>
      </c>
      <c r="C1752" s="43" t="s">
        <v>7300</v>
      </c>
      <c r="D1752" s="38" t="s">
        <v>12761</v>
      </c>
      <c r="E1752" s="44">
        <v>4</v>
      </c>
      <c r="F1752" s="45">
        <v>2473</v>
      </c>
      <c r="G1752" s="44">
        <v>1</v>
      </c>
      <c r="H1752" s="45">
        <v>630</v>
      </c>
      <c r="I1752" s="45">
        <v>618.25</v>
      </c>
      <c r="J1752" s="45">
        <v>630</v>
      </c>
      <c r="K1752" s="46">
        <v>1.9005256773150021E-2</v>
      </c>
    </row>
    <row r="1753" spans="1:11" x14ac:dyDescent="0.2">
      <c r="A1753" s="38" t="s">
        <v>7</v>
      </c>
      <c r="B1753" s="38" t="s">
        <v>7302</v>
      </c>
      <c r="C1753" s="43" t="s">
        <v>7303</v>
      </c>
      <c r="D1753" s="38" t="s">
        <v>12762</v>
      </c>
      <c r="E1753" s="44">
        <v>2095</v>
      </c>
      <c r="F1753" s="45">
        <v>822660</v>
      </c>
      <c r="G1753" s="44">
        <v>2280</v>
      </c>
      <c r="H1753" s="45">
        <v>796176</v>
      </c>
      <c r="I1753" s="45">
        <v>392.67780429594274</v>
      </c>
      <c r="J1753" s="45">
        <v>349.2</v>
      </c>
      <c r="K1753" s="46">
        <v>-0.11072131864925978</v>
      </c>
    </row>
    <row r="1754" spans="1:11" x14ac:dyDescent="0.2">
      <c r="A1754" s="38" t="s">
        <v>7</v>
      </c>
      <c r="B1754" s="38" t="s">
        <v>7305</v>
      </c>
      <c r="C1754" s="43" t="s">
        <v>7306</v>
      </c>
      <c r="D1754" s="38" t="s">
        <v>12763</v>
      </c>
      <c r="E1754" s="44">
        <v>1117</v>
      </c>
      <c r="F1754" s="45">
        <v>589789</v>
      </c>
      <c r="G1754" s="44">
        <v>1083</v>
      </c>
      <c r="H1754" s="45">
        <v>496347</v>
      </c>
      <c r="I1754" s="45">
        <v>528.01163831692031</v>
      </c>
      <c r="J1754" s="45">
        <v>458.30747922437672</v>
      </c>
      <c r="K1754" s="46">
        <v>-0.1320125429710815</v>
      </c>
    </row>
    <row r="1755" spans="1:11" x14ac:dyDescent="0.2">
      <c r="A1755" s="38" t="s">
        <v>7</v>
      </c>
      <c r="B1755" s="38" t="s">
        <v>7311</v>
      </c>
      <c r="C1755" s="43" t="s">
        <v>7312</v>
      </c>
      <c r="D1755" s="38" t="s">
        <v>12764</v>
      </c>
      <c r="E1755" s="44">
        <v>309</v>
      </c>
      <c r="F1755" s="45">
        <v>5130</v>
      </c>
      <c r="G1755" s="44">
        <v>1640</v>
      </c>
      <c r="H1755" s="45">
        <v>25722</v>
      </c>
      <c r="I1755" s="45">
        <v>16.601941747572816</v>
      </c>
      <c r="J1755" s="45">
        <v>15.684146341463414</v>
      </c>
      <c r="K1755" s="46">
        <v>-5.528241335044936E-2</v>
      </c>
    </row>
    <row r="1756" spans="1:11" x14ac:dyDescent="0.2">
      <c r="A1756" s="38" t="s">
        <v>7</v>
      </c>
      <c r="B1756" s="38" t="s">
        <v>7314</v>
      </c>
      <c r="C1756" s="43" t="s">
        <v>7315</v>
      </c>
      <c r="D1756" s="38" t="s">
        <v>12764</v>
      </c>
      <c r="E1756" s="44">
        <v>1345</v>
      </c>
      <c r="F1756" s="45">
        <v>4304</v>
      </c>
      <c r="G1756" s="44">
        <v>16581</v>
      </c>
      <c r="H1756" s="45">
        <v>48753.599999999999</v>
      </c>
      <c r="I1756" s="45">
        <v>3.2</v>
      </c>
      <c r="J1756" s="45">
        <v>2.9403292925637778</v>
      </c>
      <c r="K1756" s="46">
        <v>-8.114709607381948E-2</v>
      </c>
    </row>
    <row r="1757" spans="1:11" x14ac:dyDescent="0.2">
      <c r="A1757" s="38" t="s">
        <v>7</v>
      </c>
      <c r="B1757" s="38" t="s">
        <v>7317</v>
      </c>
      <c r="C1757" s="43" t="s">
        <v>7318</v>
      </c>
      <c r="D1757" s="38" t="s">
        <v>12764</v>
      </c>
      <c r="E1757" s="44">
        <v>35114</v>
      </c>
      <c r="F1757" s="45">
        <v>75846.240000000005</v>
      </c>
      <c r="G1757" s="44">
        <v>3647</v>
      </c>
      <c r="H1757" s="45">
        <v>7280.12</v>
      </c>
      <c r="I1757" s="45">
        <v>2.16</v>
      </c>
      <c r="J1757" s="45">
        <v>1.996194132163422</v>
      </c>
      <c r="K1757" s="46">
        <v>-7.5836049924341717E-2</v>
      </c>
    </row>
    <row r="1758" spans="1:11" x14ac:dyDescent="0.2">
      <c r="A1758" s="38" t="s">
        <v>7</v>
      </c>
      <c r="B1758" s="38" t="s">
        <v>7320</v>
      </c>
      <c r="C1758" s="43" t="s">
        <v>7321</v>
      </c>
      <c r="D1758" s="38" t="s">
        <v>12764</v>
      </c>
      <c r="E1758" s="44">
        <v>500</v>
      </c>
      <c r="F1758" s="45">
        <v>4860</v>
      </c>
      <c r="G1758" s="44">
        <v>240</v>
      </c>
      <c r="H1758" s="45">
        <v>2440</v>
      </c>
      <c r="I1758" s="45">
        <v>9.7200000000000006</v>
      </c>
      <c r="J1758" s="45">
        <v>10.166666666666666</v>
      </c>
      <c r="K1758" s="46">
        <v>4.5953360768175452E-2</v>
      </c>
    </row>
    <row r="1759" spans="1:11" x14ac:dyDescent="0.2">
      <c r="A1759" s="38" t="s">
        <v>7</v>
      </c>
      <c r="B1759" s="38" t="s">
        <v>7323</v>
      </c>
      <c r="C1759" s="43" t="s">
        <v>7324</v>
      </c>
      <c r="D1759" s="38" t="s">
        <v>12765</v>
      </c>
      <c r="E1759" s="44">
        <v>2800</v>
      </c>
      <c r="F1759" s="45">
        <v>83300</v>
      </c>
      <c r="G1759" s="44">
        <v>0</v>
      </c>
      <c r="H1759" s="45">
        <v>0</v>
      </c>
      <c r="I1759" s="45">
        <v>29.75</v>
      </c>
    </row>
    <row r="1760" spans="1:11" x14ac:dyDescent="0.2">
      <c r="A1760" s="38" t="s">
        <v>7</v>
      </c>
      <c r="B1760" s="38" t="s">
        <v>7332</v>
      </c>
      <c r="C1760" s="43" t="s">
        <v>7333</v>
      </c>
      <c r="D1760" s="38" t="s">
        <v>12682</v>
      </c>
      <c r="E1760" s="44">
        <v>210</v>
      </c>
      <c r="F1760" s="45">
        <v>162643</v>
      </c>
      <c r="G1760" s="44">
        <v>151</v>
      </c>
      <c r="H1760" s="45">
        <v>133248</v>
      </c>
      <c r="I1760" s="45">
        <v>774.49047619047622</v>
      </c>
      <c r="J1760" s="45">
        <v>882.43708609271528</v>
      </c>
      <c r="K1760" s="46">
        <v>0.13937758206298581</v>
      </c>
    </row>
    <row r="1761" spans="1:11" x14ac:dyDescent="0.2">
      <c r="A1761" s="38" t="s">
        <v>7</v>
      </c>
      <c r="B1761" s="38" t="s">
        <v>7335</v>
      </c>
      <c r="C1761" s="43" t="s">
        <v>7336</v>
      </c>
      <c r="D1761" s="38" t="s">
        <v>12766</v>
      </c>
      <c r="E1761" s="44">
        <v>75</v>
      </c>
      <c r="F1761" s="45">
        <v>30150</v>
      </c>
      <c r="G1761" s="44">
        <v>75</v>
      </c>
      <c r="H1761" s="45">
        <v>30150</v>
      </c>
      <c r="I1761" s="45">
        <v>402</v>
      </c>
      <c r="J1761" s="45">
        <v>402</v>
      </c>
      <c r="K1761" s="46">
        <v>0</v>
      </c>
    </row>
    <row r="1762" spans="1:11" x14ac:dyDescent="0.2">
      <c r="A1762" s="38" t="s">
        <v>7</v>
      </c>
      <c r="B1762" s="38" t="s">
        <v>7338</v>
      </c>
      <c r="C1762" s="43" t="s">
        <v>7339</v>
      </c>
      <c r="D1762" s="38" t="s">
        <v>12682</v>
      </c>
      <c r="E1762" s="44">
        <v>640</v>
      </c>
      <c r="F1762" s="45">
        <v>218780</v>
      </c>
      <c r="G1762" s="44">
        <v>9</v>
      </c>
      <c r="H1762" s="45">
        <v>2953</v>
      </c>
      <c r="I1762" s="45">
        <v>341.84375</v>
      </c>
      <c r="J1762" s="45">
        <v>328.11111111111109</v>
      </c>
      <c r="K1762" s="46">
        <v>-4.017226843810634E-2</v>
      </c>
    </row>
    <row r="1763" spans="1:11" x14ac:dyDescent="0.2">
      <c r="A1763" s="38" t="s">
        <v>7</v>
      </c>
      <c r="B1763" s="38" t="s">
        <v>7341</v>
      </c>
      <c r="C1763" s="43" t="s">
        <v>7342</v>
      </c>
      <c r="D1763" s="38" t="s">
        <v>12682</v>
      </c>
      <c r="E1763" s="44">
        <v>3</v>
      </c>
      <c r="F1763" s="45">
        <v>922</v>
      </c>
      <c r="G1763" s="44">
        <v>1</v>
      </c>
      <c r="H1763" s="45">
        <v>315</v>
      </c>
      <c r="I1763" s="45">
        <v>307.33333333333331</v>
      </c>
      <c r="J1763" s="45">
        <v>315</v>
      </c>
      <c r="K1763" s="46">
        <v>2.4945770065075985E-2</v>
      </c>
    </row>
    <row r="1764" spans="1:11" x14ac:dyDescent="0.2">
      <c r="A1764" s="38" t="s">
        <v>7</v>
      </c>
      <c r="B1764" s="38" t="s">
        <v>7359</v>
      </c>
      <c r="C1764" s="43" t="s">
        <v>7360</v>
      </c>
      <c r="D1764" s="38" t="s">
        <v>12682</v>
      </c>
      <c r="G1764" s="44">
        <v>2</v>
      </c>
      <c r="H1764" s="45">
        <v>1110</v>
      </c>
      <c r="J1764" s="45">
        <v>555</v>
      </c>
    </row>
    <row r="1765" spans="1:11" x14ac:dyDescent="0.2">
      <c r="A1765" s="38" t="s">
        <v>7</v>
      </c>
      <c r="B1765" s="38" t="s">
        <v>7362</v>
      </c>
      <c r="C1765" s="43" t="s">
        <v>7363</v>
      </c>
      <c r="D1765" s="38" t="s">
        <v>12682</v>
      </c>
      <c r="E1765" s="44">
        <v>23</v>
      </c>
      <c r="F1765" s="45">
        <v>11617</v>
      </c>
      <c r="G1765" s="44">
        <v>602</v>
      </c>
      <c r="H1765" s="45">
        <v>203230</v>
      </c>
      <c r="I1765" s="45">
        <v>505.08695652173913</v>
      </c>
      <c r="J1765" s="45">
        <v>337.59136212624583</v>
      </c>
      <c r="K1765" s="46">
        <v>-0.33161734278181509</v>
      </c>
    </row>
    <row r="1766" spans="1:11" x14ac:dyDescent="0.2">
      <c r="A1766" s="38" t="s">
        <v>7</v>
      </c>
      <c r="B1766" s="38" t="s">
        <v>7365</v>
      </c>
      <c r="C1766" s="43" t="s">
        <v>7366</v>
      </c>
      <c r="D1766" s="38" t="s">
        <v>12682</v>
      </c>
      <c r="E1766" s="44">
        <v>13</v>
      </c>
      <c r="F1766" s="45">
        <v>3993</v>
      </c>
      <c r="G1766" s="44">
        <v>17</v>
      </c>
      <c r="H1766" s="45">
        <v>5259</v>
      </c>
      <c r="I1766" s="45">
        <v>307.15384615384613</v>
      </c>
      <c r="J1766" s="45">
        <v>309.35294117647061</v>
      </c>
      <c r="K1766" s="46">
        <v>7.1595881027092896E-3</v>
      </c>
    </row>
    <row r="1767" spans="1:11" x14ac:dyDescent="0.2">
      <c r="A1767" s="38" t="s">
        <v>7</v>
      </c>
      <c r="B1767" s="38" t="s">
        <v>7368</v>
      </c>
      <c r="C1767" s="43" t="s">
        <v>7369</v>
      </c>
      <c r="D1767" s="38" t="s">
        <v>12682</v>
      </c>
      <c r="E1767" s="44">
        <v>1171</v>
      </c>
      <c r="F1767" s="45">
        <v>356405</v>
      </c>
      <c r="G1767" s="44">
        <v>325</v>
      </c>
      <c r="H1767" s="45">
        <v>101400</v>
      </c>
      <c r="I1767" s="45">
        <v>304.35952177625961</v>
      </c>
      <c r="J1767" s="45">
        <v>312</v>
      </c>
      <c r="K1767" s="46">
        <v>2.5103463756120128E-2</v>
      </c>
    </row>
    <row r="1768" spans="1:11" x14ac:dyDescent="0.2">
      <c r="A1768" s="38" t="s">
        <v>7</v>
      </c>
      <c r="B1768" s="38" t="s">
        <v>7371</v>
      </c>
      <c r="C1768" s="43" t="s">
        <v>7372</v>
      </c>
      <c r="D1768" s="38" t="s">
        <v>12764</v>
      </c>
      <c r="E1768" s="44">
        <v>6227</v>
      </c>
      <c r="F1768" s="45">
        <v>30616.6</v>
      </c>
      <c r="G1768" s="44">
        <v>3399</v>
      </c>
      <c r="H1768" s="45">
        <v>25674</v>
      </c>
      <c r="I1768" s="45">
        <v>4.9167496386703062</v>
      </c>
      <c r="J1768" s="45">
        <v>7.5533980582524274</v>
      </c>
      <c r="K1768" s="46">
        <v>0.5362584254534426</v>
      </c>
    </row>
    <row r="1769" spans="1:11" x14ac:dyDescent="0.2">
      <c r="A1769" s="38" t="s">
        <v>7</v>
      </c>
      <c r="B1769" s="38" t="s">
        <v>7374</v>
      </c>
      <c r="C1769" s="43" t="s">
        <v>7375</v>
      </c>
      <c r="D1769" s="38" t="s">
        <v>12767</v>
      </c>
      <c r="G1769" s="44">
        <v>1100</v>
      </c>
      <c r="H1769" s="45">
        <v>298327.7</v>
      </c>
      <c r="J1769" s="45">
        <v>271.20699999999999</v>
      </c>
    </row>
    <row r="1770" spans="1:11" x14ac:dyDescent="0.2">
      <c r="A1770" s="38" t="s">
        <v>7</v>
      </c>
      <c r="B1770" s="38" t="s">
        <v>7383</v>
      </c>
      <c r="C1770" s="43" t="s">
        <v>7384</v>
      </c>
      <c r="D1770" s="38" t="s">
        <v>12768</v>
      </c>
      <c r="G1770" s="44">
        <v>80</v>
      </c>
      <c r="H1770" s="45">
        <v>22080</v>
      </c>
      <c r="J1770" s="45">
        <v>276</v>
      </c>
    </row>
    <row r="1771" spans="1:11" x14ac:dyDescent="0.2">
      <c r="A1771" s="38" t="s">
        <v>7</v>
      </c>
      <c r="B1771" s="38" t="s">
        <v>7386</v>
      </c>
      <c r="C1771" s="43" t="s">
        <v>7387</v>
      </c>
      <c r="D1771" s="38" t="s">
        <v>12769</v>
      </c>
      <c r="E1771" s="44">
        <v>6010</v>
      </c>
      <c r="F1771" s="45">
        <v>430780</v>
      </c>
      <c r="G1771" s="44">
        <v>10100</v>
      </c>
      <c r="H1771" s="45">
        <v>614115</v>
      </c>
      <c r="I1771" s="45">
        <v>71.677204658901829</v>
      </c>
      <c r="J1771" s="45">
        <v>60.803465346534651</v>
      </c>
      <c r="K1771" s="46">
        <v>-0.15170428819194656</v>
      </c>
    </row>
    <row r="1772" spans="1:11" x14ac:dyDescent="0.2">
      <c r="A1772" s="38" t="s">
        <v>7</v>
      </c>
      <c r="B1772" s="38" t="s">
        <v>7389</v>
      </c>
      <c r="C1772" s="43" t="s">
        <v>7390</v>
      </c>
      <c r="D1772" s="38" t="s">
        <v>12769</v>
      </c>
      <c r="E1772" s="44">
        <v>34420</v>
      </c>
      <c r="F1772" s="45">
        <v>644420</v>
      </c>
      <c r="G1772" s="44">
        <v>39900</v>
      </c>
      <c r="H1772" s="45">
        <v>627060</v>
      </c>
      <c r="I1772" s="45">
        <v>18.722254503195817</v>
      </c>
      <c r="J1772" s="45">
        <v>15.715789473684211</v>
      </c>
      <c r="K1772" s="46">
        <v>-0.16058242499579387</v>
      </c>
    </row>
    <row r="1773" spans="1:11" x14ac:dyDescent="0.2">
      <c r="A1773" s="38" t="s">
        <v>7</v>
      </c>
      <c r="B1773" s="38" t="s">
        <v>7391</v>
      </c>
      <c r="C1773" s="43" t="s">
        <v>7392</v>
      </c>
      <c r="D1773" s="38" t="s">
        <v>12682</v>
      </c>
      <c r="E1773" s="44">
        <v>116</v>
      </c>
      <c r="F1773" s="45">
        <v>109178</v>
      </c>
      <c r="G1773" s="44">
        <v>112</v>
      </c>
      <c r="H1773" s="45">
        <v>90796</v>
      </c>
      <c r="I1773" s="45">
        <v>941.18965517241384</v>
      </c>
      <c r="J1773" s="45">
        <v>810.67857142857144</v>
      </c>
      <c r="K1773" s="46">
        <v>-0.13866608395725985</v>
      </c>
    </row>
    <row r="1774" spans="1:11" x14ac:dyDescent="0.2">
      <c r="A1774" s="38" t="s">
        <v>7</v>
      </c>
      <c r="B1774" s="38" t="s">
        <v>7394</v>
      </c>
      <c r="C1774" s="43" t="s">
        <v>7395</v>
      </c>
      <c r="D1774" s="38" t="s">
        <v>12770</v>
      </c>
      <c r="E1774" s="44">
        <v>13259</v>
      </c>
      <c r="F1774" s="45">
        <v>3750459</v>
      </c>
      <c r="G1774" s="44">
        <v>13735</v>
      </c>
      <c r="H1774" s="45">
        <v>3314686</v>
      </c>
      <c r="I1774" s="45">
        <v>282.86137717776603</v>
      </c>
      <c r="J1774" s="45">
        <v>241.3313432835821</v>
      </c>
      <c r="K1774" s="46">
        <v>-0.14682115426484726</v>
      </c>
    </row>
    <row r="1775" spans="1:11" x14ac:dyDescent="0.2">
      <c r="A1775" s="38" t="s">
        <v>7</v>
      </c>
      <c r="B1775" s="38" t="s">
        <v>7397</v>
      </c>
      <c r="C1775" s="43" t="s">
        <v>7398</v>
      </c>
      <c r="D1775" s="38" t="s">
        <v>12682</v>
      </c>
      <c r="G1775" s="44">
        <v>4</v>
      </c>
      <c r="H1775" s="45">
        <v>236</v>
      </c>
      <c r="J1775" s="45">
        <v>59</v>
      </c>
    </row>
    <row r="1776" spans="1:11" x14ac:dyDescent="0.2">
      <c r="A1776" s="38" t="s">
        <v>7</v>
      </c>
      <c r="B1776" s="38" t="s">
        <v>7400</v>
      </c>
      <c r="C1776" s="43" t="s">
        <v>7401</v>
      </c>
      <c r="D1776" s="38" t="s">
        <v>12771</v>
      </c>
      <c r="G1776" s="44">
        <v>45000</v>
      </c>
      <c r="H1776" s="45">
        <v>139976</v>
      </c>
      <c r="J1776" s="45">
        <v>3.1105777777777779</v>
      </c>
    </row>
    <row r="1777" spans="1:11" x14ac:dyDescent="0.2">
      <c r="A1777" s="38" t="s">
        <v>7</v>
      </c>
      <c r="B1777" s="38" t="s">
        <v>7403</v>
      </c>
      <c r="C1777" s="43" t="s">
        <v>7404</v>
      </c>
      <c r="D1777" s="38" t="s">
        <v>12772</v>
      </c>
      <c r="E1777" s="44">
        <v>1786</v>
      </c>
      <c r="F1777" s="45">
        <v>29201.1</v>
      </c>
      <c r="G1777" s="44">
        <v>2240</v>
      </c>
      <c r="H1777" s="45">
        <v>30791</v>
      </c>
      <c r="I1777" s="45">
        <v>16.349999999999998</v>
      </c>
      <c r="J1777" s="45">
        <v>13.745982142857143</v>
      </c>
      <c r="K1777" s="46">
        <v>-0.15926714722586272</v>
      </c>
    </row>
    <row r="1778" spans="1:11" x14ac:dyDescent="0.2">
      <c r="A1778" s="38" t="s">
        <v>7</v>
      </c>
      <c r="B1778" s="38" t="s">
        <v>7406</v>
      </c>
      <c r="C1778" s="43" t="s">
        <v>7407</v>
      </c>
      <c r="D1778" s="38" t="s">
        <v>12773</v>
      </c>
      <c r="E1778" s="44">
        <v>30</v>
      </c>
      <c r="F1778" s="45">
        <v>674.4</v>
      </c>
      <c r="G1778" s="44">
        <v>780</v>
      </c>
      <c r="H1778" s="45">
        <v>21316.799999999999</v>
      </c>
      <c r="I1778" s="45">
        <v>22.48</v>
      </c>
      <c r="J1778" s="45">
        <v>27.329230769230769</v>
      </c>
      <c r="K1778" s="46">
        <v>0.21571311251026548</v>
      </c>
    </row>
    <row r="1779" spans="1:11" x14ac:dyDescent="0.2">
      <c r="A1779" s="38" t="s">
        <v>7</v>
      </c>
      <c r="B1779" s="38" t="s">
        <v>7409</v>
      </c>
      <c r="C1779" s="43" t="s">
        <v>7410</v>
      </c>
      <c r="D1779" s="38" t="s">
        <v>12774</v>
      </c>
      <c r="E1779" s="44">
        <v>32750</v>
      </c>
      <c r="F1779" s="45">
        <v>869750</v>
      </c>
      <c r="G1779" s="44">
        <v>88000</v>
      </c>
      <c r="H1779" s="45">
        <v>2078300</v>
      </c>
      <c r="I1779" s="45">
        <v>26.557251908396946</v>
      </c>
      <c r="J1779" s="45">
        <v>23.617045454545455</v>
      </c>
      <c r="K1779" s="46">
        <v>-0.11071199926833727</v>
      </c>
    </row>
    <row r="1780" spans="1:11" x14ac:dyDescent="0.2">
      <c r="A1780" s="38" t="s">
        <v>7</v>
      </c>
      <c r="B1780" s="38" t="s">
        <v>7412</v>
      </c>
      <c r="C1780" s="43" t="s">
        <v>7413</v>
      </c>
      <c r="D1780" s="38" t="s">
        <v>12774</v>
      </c>
      <c r="E1780" s="44">
        <v>3500</v>
      </c>
      <c r="F1780" s="45">
        <v>10500</v>
      </c>
      <c r="G1780" s="44">
        <v>4950</v>
      </c>
      <c r="H1780" s="45">
        <v>14350</v>
      </c>
      <c r="I1780" s="45">
        <v>3</v>
      </c>
      <c r="J1780" s="45">
        <v>2.8989898989898988</v>
      </c>
      <c r="K1780" s="46">
        <v>-3.3670033670033739E-2</v>
      </c>
    </row>
    <row r="1781" spans="1:11" x14ac:dyDescent="0.2">
      <c r="A1781" s="38" t="s">
        <v>7</v>
      </c>
      <c r="B1781" s="38" t="s">
        <v>7415</v>
      </c>
      <c r="C1781" s="43" t="s">
        <v>7416</v>
      </c>
      <c r="D1781" s="38" t="s">
        <v>12682</v>
      </c>
      <c r="E1781" s="44">
        <v>1832</v>
      </c>
      <c r="F1781" s="45">
        <v>785928</v>
      </c>
      <c r="G1781" s="44">
        <v>2262</v>
      </c>
      <c r="H1781" s="45">
        <v>719631</v>
      </c>
      <c r="I1781" s="45">
        <v>429</v>
      </c>
      <c r="J1781" s="45">
        <v>318.13925729442968</v>
      </c>
      <c r="K1781" s="46">
        <v>-0.25841664966333405</v>
      </c>
    </row>
    <row r="1782" spans="1:11" x14ac:dyDescent="0.2">
      <c r="A1782" s="38" t="s">
        <v>7</v>
      </c>
      <c r="B1782" s="38" t="s">
        <v>7418</v>
      </c>
      <c r="C1782" s="43" t="s">
        <v>7419</v>
      </c>
      <c r="D1782" s="38" t="s">
        <v>12775</v>
      </c>
      <c r="G1782" s="44">
        <v>10</v>
      </c>
      <c r="H1782" s="45">
        <v>2690</v>
      </c>
      <c r="J1782" s="45">
        <v>269</v>
      </c>
    </row>
    <row r="1783" spans="1:11" x14ac:dyDescent="0.2">
      <c r="A1783" s="38" t="s">
        <v>7</v>
      </c>
      <c r="B1783" s="38" t="s">
        <v>7421</v>
      </c>
      <c r="C1783" s="43" t="s">
        <v>7422</v>
      </c>
      <c r="D1783" s="38" t="s">
        <v>12775</v>
      </c>
      <c r="E1783" s="44">
        <v>2230</v>
      </c>
      <c r="F1783" s="45">
        <v>1038050</v>
      </c>
      <c r="G1783" s="44">
        <v>2679</v>
      </c>
      <c r="H1783" s="45">
        <v>1088936</v>
      </c>
      <c r="I1783" s="45">
        <v>465.49327354260089</v>
      </c>
      <c r="J1783" s="45">
        <v>406.47107129525943</v>
      </c>
      <c r="K1783" s="46">
        <v>-0.12679496268153889</v>
      </c>
    </row>
    <row r="1784" spans="1:11" x14ac:dyDescent="0.2">
      <c r="A1784" s="38" t="s">
        <v>7</v>
      </c>
      <c r="B1784" s="38" t="s">
        <v>12776</v>
      </c>
      <c r="C1784" s="43" t="s">
        <v>12777</v>
      </c>
      <c r="D1784" s="38" t="s">
        <v>12682</v>
      </c>
      <c r="E1784" s="44">
        <v>86</v>
      </c>
      <c r="F1784" s="45">
        <v>73796</v>
      </c>
      <c r="G1784" s="44">
        <v>0</v>
      </c>
      <c r="H1784" s="45">
        <v>0</v>
      </c>
      <c r="I1784" s="45">
        <v>858.09302325581393</v>
      </c>
    </row>
    <row r="1785" spans="1:11" x14ac:dyDescent="0.2">
      <c r="A1785" s="38" t="s">
        <v>7</v>
      </c>
      <c r="B1785" s="38" t="s">
        <v>12778</v>
      </c>
      <c r="C1785" s="43" t="s">
        <v>12779</v>
      </c>
      <c r="D1785" s="38" t="s">
        <v>12780</v>
      </c>
      <c r="G1785" s="44">
        <v>200</v>
      </c>
      <c r="H1785" s="45">
        <v>200</v>
      </c>
      <c r="J1785" s="45">
        <v>1</v>
      </c>
    </row>
    <row r="1786" spans="1:11" x14ac:dyDescent="0.2">
      <c r="A1786" s="38" t="s">
        <v>7</v>
      </c>
      <c r="B1786" s="38" t="s">
        <v>12781</v>
      </c>
      <c r="C1786" s="43" t="s">
        <v>12782</v>
      </c>
      <c r="D1786" s="38" t="s">
        <v>12682</v>
      </c>
      <c r="G1786" s="44">
        <v>2</v>
      </c>
      <c r="H1786" s="45">
        <v>216</v>
      </c>
      <c r="J1786" s="45">
        <v>108</v>
      </c>
    </row>
    <row r="1787" spans="1:11" x14ac:dyDescent="0.2">
      <c r="A1787" s="38" t="s">
        <v>7</v>
      </c>
      <c r="B1787" s="38" t="s">
        <v>7427</v>
      </c>
      <c r="C1787" s="43" t="s">
        <v>7428</v>
      </c>
      <c r="D1787" s="38" t="s">
        <v>12783</v>
      </c>
      <c r="G1787" s="44">
        <v>13200</v>
      </c>
      <c r="H1787" s="45">
        <v>924</v>
      </c>
      <c r="J1787" s="45">
        <v>7.0000000000000007E-2</v>
      </c>
    </row>
    <row r="1788" spans="1:11" x14ac:dyDescent="0.2">
      <c r="A1788" s="38" t="s">
        <v>7</v>
      </c>
      <c r="B1788" s="38" t="s">
        <v>7430</v>
      </c>
      <c r="C1788" s="43" t="s">
        <v>7431</v>
      </c>
      <c r="D1788" s="38" t="s">
        <v>12783</v>
      </c>
      <c r="G1788" s="44">
        <v>421513</v>
      </c>
      <c r="H1788" s="45">
        <v>151744.68</v>
      </c>
      <c r="J1788" s="45">
        <v>0.36</v>
      </c>
    </row>
    <row r="1789" spans="1:11" x14ac:dyDescent="0.2">
      <c r="A1789" s="38" t="s">
        <v>7</v>
      </c>
      <c r="B1789" s="38" t="s">
        <v>7432</v>
      </c>
      <c r="C1789" s="43" t="s">
        <v>7433</v>
      </c>
      <c r="D1789" s="38" t="s">
        <v>12784</v>
      </c>
      <c r="G1789" s="44">
        <v>84500</v>
      </c>
      <c r="H1789" s="45">
        <v>12675</v>
      </c>
      <c r="J1789" s="45">
        <v>0.15</v>
      </c>
    </row>
    <row r="1790" spans="1:11" x14ac:dyDescent="0.2">
      <c r="A1790" s="38" t="s">
        <v>7</v>
      </c>
      <c r="B1790" s="38" t="s">
        <v>12785</v>
      </c>
      <c r="C1790" s="43" t="s">
        <v>12786</v>
      </c>
      <c r="D1790" s="38" t="s">
        <v>12682</v>
      </c>
      <c r="E1790" s="44">
        <v>514</v>
      </c>
      <c r="F1790" s="45">
        <v>43244</v>
      </c>
      <c r="G1790" s="44">
        <v>193</v>
      </c>
      <c r="H1790" s="45">
        <v>16598</v>
      </c>
      <c r="I1790" s="45">
        <v>84.132295719844365</v>
      </c>
      <c r="J1790" s="45">
        <v>86</v>
      </c>
      <c r="K1790" s="46">
        <v>2.2199611506798552E-2</v>
      </c>
    </row>
    <row r="1791" spans="1:11" x14ac:dyDescent="0.2">
      <c r="A1791" s="38" t="s">
        <v>7</v>
      </c>
      <c r="B1791" s="38" t="s">
        <v>12787</v>
      </c>
      <c r="C1791" s="43" t="s">
        <v>12788</v>
      </c>
      <c r="D1791" s="38" t="s">
        <v>12682</v>
      </c>
      <c r="E1791" s="44">
        <v>562</v>
      </c>
      <c r="F1791" s="45">
        <v>7681</v>
      </c>
      <c r="G1791" s="44">
        <v>184</v>
      </c>
      <c r="H1791" s="45">
        <v>2576</v>
      </c>
      <c r="I1791" s="45">
        <v>13.667259786476869</v>
      </c>
      <c r="J1791" s="45">
        <v>14</v>
      </c>
      <c r="K1791" s="46">
        <v>2.4345788308813905E-2</v>
      </c>
    </row>
    <row r="1792" spans="1:11" x14ac:dyDescent="0.2">
      <c r="A1792" s="38" t="s">
        <v>7</v>
      </c>
      <c r="B1792" s="38" t="s">
        <v>12789</v>
      </c>
      <c r="C1792" s="43" t="s">
        <v>12790</v>
      </c>
      <c r="D1792" s="38" t="s">
        <v>12682</v>
      </c>
      <c r="E1792" s="44">
        <v>1354</v>
      </c>
      <c r="F1792" s="45">
        <v>18546</v>
      </c>
      <c r="G1792" s="44">
        <v>382</v>
      </c>
      <c r="H1792" s="45">
        <v>5348</v>
      </c>
      <c r="I1792" s="45">
        <v>13.697193500738553</v>
      </c>
      <c r="J1792" s="45">
        <v>14</v>
      </c>
      <c r="K1792" s="46">
        <v>2.2107192925698203E-2</v>
      </c>
    </row>
    <row r="1793" spans="1:11" x14ac:dyDescent="0.2">
      <c r="A1793" s="38" t="s">
        <v>7</v>
      </c>
      <c r="B1793" s="38" t="s">
        <v>12791</v>
      </c>
      <c r="C1793" s="43" t="s">
        <v>12792</v>
      </c>
      <c r="D1793" s="38" t="s">
        <v>12682</v>
      </c>
      <c r="E1793" s="44">
        <v>5025</v>
      </c>
      <c r="F1793" s="45">
        <v>656820</v>
      </c>
      <c r="G1793" s="44">
        <v>1625</v>
      </c>
      <c r="H1793" s="45">
        <v>217750</v>
      </c>
      <c r="I1793" s="45">
        <v>130.71044776119402</v>
      </c>
      <c r="J1793" s="45">
        <v>134</v>
      </c>
      <c r="K1793" s="46">
        <v>2.5166712341280807E-2</v>
      </c>
    </row>
    <row r="1794" spans="1:11" x14ac:dyDescent="0.2">
      <c r="A1794" s="38" t="s">
        <v>7</v>
      </c>
      <c r="B1794" s="38" t="s">
        <v>12793</v>
      </c>
      <c r="C1794" s="43" t="s">
        <v>12794</v>
      </c>
      <c r="D1794" s="38" t="s">
        <v>12682</v>
      </c>
      <c r="E1794" s="44">
        <v>31</v>
      </c>
      <c r="F1794" s="45">
        <v>1176</v>
      </c>
      <c r="G1794" s="44">
        <v>24</v>
      </c>
      <c r="H1794" s="45">
        <v>936</v>
      </c>
      <c r="I1794" s="45">
        <v>37.935483870967744</v>
      </c>
      <c r="J1794" s="45">
        <v>39</v>
      </c>
      <c r="K1794" s="46">
        <v>2.806122448979587E-2</v>
      </c>
    </row>
    <row r="1795" spans="1:11" x14ac:dyDescent="0.2">
      <c r="A1795" s="38" t="s">
        <v>7</v>
      </c>
      <c r="B1795" s="38" t="s">
        <v>12795</v>
      </c>
      <c r="C1795" s="43" t="s">
        <v>12796</v>
      </c>
      <c r="D1795" s="38" t="s">
        <v>12682</v>
      </c>
      <c r="E1795" s="44">
        <v>558</v>
      </c>
      <c r="F1795" s="45">
        <v>6468</v>
      </c>
      <c r="G1795" s="44">
        <v>167</v>
      </c>
      <c r="H1795" s="45">
        <v>2004</v>
      </c>
      <c r="I1795" s="45">
        <v>11.591397849462366</v>
      </c>
      <c r="J1795" s="45">
        <v>12</v>
      </c>
      <c r="K1795" s="46">
        <v>3.5250463821892362E-2</v>
      </c>
    </row>
    <row r="1796" spans="1:11" x14ac:dyDescent="0.2">
      <c r="A1796" s="38" t="s">
        <v>7</v>
      </c>
      <c r="B1796" s="38" t="s">
        <v>12797</v>
      </c>
      <c r="C1796" s="43" t="s">
        <v>12798</v>
      </c>
      <c r="D1796" s="38" t="s">
        <v>12682</v>
      </c>
      <c r="E1796" s="44">
        <v>97</v>
      </c>
      <c r="F1796" s="45">
        <v>4617</v>
      </c>
      <c r="G1796" s="44">
        <v>25</v>
      </c>
      <c r="H1796" s="45">
        <v>1225</v>
      </c>
      <c r="I1796" s="45">
        <v>47.597938144329895</v>
      </c>
      <c r="J1796" s="45">
        <v>49</v>
      </c>
      <c r="K1796" s="46">
        <v>2.9456356941737104E-2</v>
      </c>
    </row>
    <row r="1797" spans="1:11" x14ac:dyDescent="0.2">
      <c r="A1797" s="38" t="s">
        <v>7</v>
      </c>
      <c r="B1797" s="38" t="s">
        <v>12799</v>
      </c>
      <c r="C1797" s="43" t="s">
        <v>12800</v>
      </c>
      <c r="D1797" s="38" t="s">
        <v>12682</v>
      </c>
      <c r="E1797" s="44">
        <v>10</v>
      </c>
      <c r="F1797" s="45">
        <v>3475</v>
      </c>
      <c r="G1797" s="44">
        <v>6</v>
      </c>
      <c r="H1797" s="45">
        <v>2166</v>
      </c>
      <c r="I1797" s="45">
        <v>347.5</v>
      </c>
      <c r="J1797" s="45">
        <v>361</v>
      </c>
      <c r="K1797" s="46">
        <v>3.884892086330935E-2</v>
      </c>
    </row>
    <row r="1798" spans="1:11" x14ac:dyDescent="0.2">
      <c r="A1798" s="38" t="s">
        <v>7</v>
      </c>
      <c r="B1798" s="38" t="s">
        <v>12801</v>
      </c>
      <c r="C1798" s="43" t="s">
        <v>12802</v>
      </c>
      <c r="D1798" s="38" t="s">
        <v>12682</v>
      </c>
      <c r="G1798" s="44">
        <v>1</v>
      </c>
      <c r="H1798" s="45">
        <v>63</v>
      </c>
      <c r="J1798" s="45">
        <v>63</v>
      </c>
    </row>
    <row r="1799" spans="1:11" x14ac:dyDescent="0.2">
      <c r="A1799" s="38" t="s">
        <v>7</v>
      </c>
      <c r="B1799" s="38" t="s">
        <v>12803</v>
      </c>
      <c r="C1799" s="43" t="s">
        <v>12804</v>
      </c>
      <c r="D1799" s="38" t="s">
        <v>12682</v>
      </c>
      <c r="G1799" s="44">
        <v>3</v>
      </c>
      <c r="H1799" s="45">
        <v>132</v>
      </c>
      <c r="J1799" s="45">
        <v>44</v>
      </c>
    </row>
    <row r="1800" spans="1:11" x14ac:dyDescent="0.2">
      <c r="A1800" s="38" t="s">
        <v>7</v>
      </c>
      <c r="B1800" s="38" t="s">
        <v>12805</v>
      </c>
      <c r="C1800" s="43" t="s">
        <v>12806</v>
      </c>
      <c r="D1800" s="38" t="s">
        <v>12682</v>
      </c>
      <c r="E1800" s="44">
        <v>155</v>
      </c>
      <c r="F1800" s="45">
        <v>28540</v>
      </c>
      <c r="G1800" s="44">
        <v>21</v>
      </c>
      <c r="H1800" s="45">
        <v>3990</v>
      </c>
      <c r="I1800" s="45">
        <v>184.12903225806451</v>
      </c>
      <c r="J1800" s="45">
        <v>190</v>
      </c>
      <c r="K1800" s="46">
        <v>3.1885073580939054E-2</v>
      </c>
    </row>
    <row r="1801" spans="1:11" x14ac:dyDescent="0.2">
      <c r="A1801" s="38" t="s">
        <v>7</v>
      </c>
      <c r="B1801" s="38" t="s">
        <v>7438</v>
      </c>
      <c r="C1801" s="43" t="s">
        <v>7439</v>
      </c>
      <c r="D1801" s="38" t="s">
        <v>12807</v>
      </c>
      <c r="E1801" s="44">
        <v>510</v>
      </c>
      <c r="F1801" s="45">
        <v>148500</v>
      </c>
      <c r="G1801" s="44">
        <v>597</v>
      </c>
      <c r="H1801" s="45">
        <v>135693</v>
      </c>
      <c r="I1801" s="45">
        <v>291.1764705882353</v>
      </c>
      <c r="J1801" s="45">
        <v>227.29145728643215</v>
      </c>
      <c r="K1801" s="46">
        <v>-0.21940307598599063</v>
      </c>
    </row>
    <row r="1802" spans="1:11" x14ac:dyDescent="0.2">
      <c r="A1802" s="38" t="s">
        <v>7</v>
      </c>
      <c r="B1802" s="38" t="s">
        <v>7441</v>
      </c>
      <c r="C1802" s="43" t="s">
        <v>7442</v>
      </c>
      <c r="D1802" s="38" t="s">
        <v>12808</v>
      </c>
      <c r="E1802" s="44">
        <v>1609</v>
      </c>
      <c r="F1802" s="45">
        <v>648428</v>
      </c>
      <c r="G1802" s="44">
        <v>2080</v>
      </c>
      <c r="H1802" s="45">
        <v>695016</v>
      </c>
      <c r="I1802" s="45">
        <v>403.00062150403977</v>
      </c>
      <c r="J1802" s="45">
        <v>334.14230769230767</v>
      </c>
      <c r="K1802" s="46">
        <v>-0.17086403875692746</v>
      </c>
    </row>
    <row r="1803" spans="1:11" x14ac:dyDescent="0.2">
      <c r="A1803" s="38" t="s">
        <v>7</v>
      </c>
      <c r="B1803" s="38" t="s">
        <v>7444</v>
      </c>
      <c r="C1803" s="43" t="s">
        <v>7445</v>
      </c>
      <c r="D1803" s="38" t="s">
        <v>12809</v>
      </c>
      <c r="E1803" s="44">
        <v>1064</v>
      </c>
      <c r="F1803" s="45">
        <v>131510</v>
      </c>
      <c r="G1803" s="44">
        <v>462</v>
      </c>
      <c r="H1803" s="45">
        <v>50738</v>
      </c>
      <c r="I1803" s="45">
        <v>123.59962406015038</v>
      </c>
      <c r="J1803" s="45">
        <v>109.82251082251082</v>
      </c>
      <c r="K1803" s="46">
        <v>-0.11146565648884865</v>
      </c>
    </row>
    <row r="1804" spans="1:11" x14ac:dyDescent="0.2">
      <c r="A1804" s="38" t="s">
        <v>7</v>
      </c>
      <c r="B1804" s="38" t="s">
        <v>7447</v>
      </c>
      <c r="C1804" s="43" t="s">
        <v>7448</v>
      </c>
      <c r="D1804" s="38" t="s">
        <v>12809</v>
      </c>
      <c r="E1804" s="44">
        <v>7414</v>
      </c>
      <c r="F1804" s="45">
        <v>376344</v>
      </c>
      <c r="G1804" s="44">
        <v>10578</v>
      </c>
      <c r="H1804" s="45">
        <v>427066</v>
      </c>
      <c r="I1804" s="45">
        <v>50.761262476396006</v>
      </c>
      <c r="J1804" s="45">
        <v>40.373038381546607</v>
      </c>
      <c r="K1804" s="46">
        <v>-0.20464865505817403</v>
      </c>
    </row>
    <row r="1805" spans="1:11" x14ac:dyDescent="0.2">
      <c r="A1805" s="38" t="s">
        <v>7</v>
      </c>
      <c r="B1805" s="38" t="s">
        <v>7452</v>
      </c>
      <c r="C1805" s="43" t="s">
        <v>7453</v>
      </c>
      <c r="D1805" s="38" t="s">
        <v>12810</v>
      </c>
      <c r="E1805" s="44">
        <v>600</v>
      </c>
      <c r="F1805" s="45">
        <v>873</v>
      </c>
      <c r="G1805" s="44">
        <v>600</v>
      </c>
      <c r="H1805" s="45">
        <v>723</v>
      </c>
      <c r="I1805" s="45">
        <v>1.4550000000000001</v>
      </c>
      <c r="J1805" s="45">
        <v>1.2050000000000001</v>
      </c>
      <c r="K1805" s="46">
        <v>-0.1718213058419244</v>
      </c>
    </row>
    <row r="1806" spans="1:11" x14ac:dyDescent="0.2">
      <c r="A1806" s="38" t="s">
        <v>7</v>
      </c>
      <c r="B1806" s="38" t="s">
        <v>7461</v>
      </c>
      <c r="C1806" s="43" t="s">
        <v>7462</v>
      </c>
      <c r="D1806" s="38" t="s">
        <v>12811</v>
      </c>
      <c r="E1806" s="44">
        <v>9005</v>
      </c>
      <c r="F1806" s="45">
        <v>1426170</v>
      </c>
      <c r="G1806" s="44">
        <v>11775</v>
      </c>
      <c r="H1806" s="45">
        <v>1499120</v>
      </c>
      <c r="I1806" s="45">
        <v>158.3753470294281</v>
      </c>
      <c r="J1806" s="45">
        <v>127.31380042462845</v>
      </c>
      <c r="K1806" s="46">
        <v>-0.19612614707659032</v>
      </c>
    </row>
    <row r="1807" spans="1:11" x14ac:dyDescent="0.2">
      <c r="A1807" s="38" t="s">
        <v>7</v>
      </c>
      <c r="B1807" s="38" t="s">
        <v>7464</v>
      </c>
      <c r="C1807" s="43" t="s">
        <v>7465</v>
      </c>
      <c r="D1807" s="38" t="s">
        <v>12812</v>
      </c>
      <c r="E1807" s="44">
        <v>7</v>
      </c>
      <c r="F1807" s="45">
        <v>752.64</v>
      </c>
      <c r="G1807" s="44">
        <v>41</v>
      </c>
      <c r="H1807" s="45">
        <v>3177.36</v>
      </c>
      <c r="I1807" s="45">
        <v>107.52</v>
      </c>
      <c r="J1807" s="45">
        <v>77.496585365853662</v>
      </c>
      <c r="K1807" s="46">
        <v>-0.27923562717770029</v>
      </c>
    </row>
    <row r="1808" spans="1:11" x14ac:dyDescent="0.2">
      <c r="A1808" s="38" t="s">
        <v>7</v>
      </c>
      <c r="B1808" s="38" t="s">
        <v>7467</v>
      </c>
      <c r="C1808" s="43" t="s">
        <v>7468</v>
      </c>
      <c r="D1808" s="38" t="s">
        <v>12813</v>
      </c>
      <c r="G1808" s="44">
        <v>1</v>
      </c>
      <c r="H1808" s="45">
        <v>329</v>
      </c>
      <c r="J1808" s="45">
        <v>329</v>
      </c>
    </row>
    <row r="1809" spans="1:11" x14ac:dyDescent="0.2">
      <c r="A1809" s="38" t="s">
        <v>7</v>
      </c>
      <c r="B1809" s="38" t="s">
        <v>7473</v>
      </c>
      <c r="C1809" s="43" t="s">
        <v>7474</v>
      </c>
      <c r="D1809" s="38" t="s">
        <v>12814</v>
      </c>
      <c r="E1809" s="44">
        <v>120</v>
      </c>
      <c r="F1809" s="45">
        <v>183.6</v>
      </c>
      <c r="G1809" s="44">
        <v>2240</v>
      </c>
      <c r="H1809" s="45">
        <v>3045.6</v>
      </c>
      <c r="I1809" s="45">
        <v>1.53</v>
      </c>
      <c r="J1809" s="45">
        <v>1.3596428571428572</v>
      </c>
      <c r="K1809" s="46">
        <v>-0.11134453781512606</v>
      </c>
    </row>
    <row r="1810" spans="1:11" x14ac:dyDescent="0.2">
      <c r="A1810" s="38" t="s">
        <v>7</v>
      </c>
      <c r="B1810" s="38" t="s">
        <v>7476</v>
      </c>
      <c r="C1810" s="43" t="s">
        <v>7477</v>
      </c>
      <c r="D1810" s="38" t="s">
        <v>12815</v>
      </c>
      <c r="E1810" s="44">
        <v>1946</v>
      </c>
      <c r="F1810" s="45">
        <v>8873.76</v>
      </c>
      <c r="G1810" s="44">
        <v>59863</v>
      </c>
      <c r="H1810" s="45">
        <v>232935.96</v>
      </c>
      <c r="I1810" s="45">
        <v>4.5600000000000005</v>
      </c>
      <c r="J1810" s="45">
        <v>3.8911507943136829</v>
      </c>
      <c r="K1810" s="46">
        <v>-0.14667745738735033</v>
      </c>
    </row>
    <row r="1811" spans="1:11" x14ac:dyDescent="0.2">
      <c r="A1811" s="38" t="s">
        <v>7</v>
      </c>
      <c r="B1811" s="38" t="s">
        <v>12816</v>
      </c>
      <c r="C1811" s="43" t="s">
        <v>12817</v>
      </c>
      <c r="D1811" s="38" t="s">
        <v>12818</v>
      </c>
      <c r="E1811" s="44">
        <v>3184</v>
      </c>
      <c r="F1811" s="45">
        <v>1927160</v>
      </c>
      <c r="G1811" s="44">
        <v>0</v>
      </c>
      <c r="H1811" s="45">
        <v>0</v>
      </c>
      <c r="I1811" s="45">
        <v>605.2638190954774</v>
      </c>
    </row>
    <row r="1812" spans="1:11" x14ac:dyDescent="0.2">
      <c r="A1812" s="38" t="s">
        <v>7</v>
      </c>
      <c r="B1812" s="38" t="s">
        <v>12819</v>
      </c>
      <c r="C1812" s="43" t="s">
        <v>12820</v>
      </c>
      <c r="D1812" s="38" t="s">
        <v>12821</v>
      </c>
      <c r="E1812" s="44">
        <v>693</v>
      </c>
      <c r="F1812" s="45">
        <v>735921</v>
      </c>
      <c r="G1812" s="44">
        <v>0</v>
      </c>
      <c r="H1812" s="45">
        <v>0</v>
      </c>
      <c r="I1812" s="45">
        <v>1061.9350649350649</v>
      </c>
    </row>
    <row r="1813" spans="1:11" x14ac:dyDescent="0.2">
      <c r="A1813" s="38" t="s">
        <v>7</v>
      </c>
      <c r="B1813" s="38" t="s">
        <v>7479</v>
      </c>
      <c r="C1813" s="43" t="s">
        <v>7480</v>
      </c>
      <c r="D1813" s="38" t="s">
        <v>12822</v>
      </c>
      <c r="E1813" s="44">
        <v>2449</v>
      </c>
      <c r="F1813" s="45">
        <v>1205140</v>
      </c>
      <c r="G1813" s="44">
        <v>2372</v>
      </c>
      <c r="H1813" s="45">
        <v>1000656</v>
      </c>
      <c r="I1813" s="45">
        <v>492.09473254389547</v>
      </c>
      <c r="J1813" s="45">
        <v>421.86172006745363</v>
      </c>
      <c r="K1813" s="46">
        <v>-0.14272254472908216</v>
      </c>
    </row>
    <row r="1814" spans="1:11" x14ac:dyDescent="0.2">
      <c r="A1814" s="38" t="s">
        <v>7</v>
      </c>
      <c r="B1814" s="38" t="s">
        <v>7482</v>
      </c>
      <c r="C1814" s="43" t="s">
        <v>7483</v>
      </c>
      <c r="D1814" s="38" t="s">
        <v>12682</v>
      </c>
      <c r="E1814" s="44">
        <v>362</v>
      </c>
      <c r="F1814" s="45">
        <v>86616</v>
      </c>
      <c r="G1814" s="44">
        <v>431</v>
      </c>
      <c r="H1814" s="45">
        <v>75108</v>
      </c>
      <c r="I1814" s="45">
        <v>239.2707182320442</v>
      </c>
      <c r="J1814" s="45">
        <v>174.26450116009281</v>
      </c>
      <c r="K1814" s="46">
        <v>-0.27168479934476775</v>
      </c>
    </row>
    <row r="1815" spans="1:11" x14ac:dyDescent="0.2">
      <c r="A1815" s="38" t="s">
        <v>7</v>
      </c>
      <c r="B1815" s="38" t="s">
        <v>7485</v>
      </c>
      <c r="C1815" s="43" t="s">
        <v>7486</v>
      </c>
      <c r="D1815" s="38" t="s">
        <v>12823</v>
      </c>
      <c r="E1815" s="44">
        <v>89950</v>
      </c>
      <c r="F1815" s="45">
        <v>35551</v>
      </c>
      <c r="G1815" s="44">
        <v>100750</v>
      </c>
      <c r="H1815" s="45">
        <v>51520</v>
      </c>
      <c r="I1815" s="45">
        <v>0.39523068371317399</v>
      </c>
      <c r="J1815" s="45">
        <v>0.51136476426799005</v>
      </c>
      <c r="K1815" s="46">
        <v>0.29383872594035904</v>
      </c>
    </row>
    <row r="1816" spans="1:11" x14ac:dyDescent="0.2">
      <c r="A1816" s="38" t="s">
        <v>7</v>
      </c>
      <c r="B1816" s="38" t="s">
        <v>7488</v>
      </c>
      <c r="C1816" s="43" t="s">
        <v>7489</v>
      </c>
      <c r="D1816" s="38" t="s">
        <v>12824</v>
      </c>
      <c r="E1816" s="44">
        <v>4400</v>
      </c>
      <c r="F1816" s="45">
        <v>114000</v>
      </c>
      <c r="G1816" s="44">
        <v>6200</v>
      </c>
      <c r="H1816" s="45">
        <v>124200</v>
      </c>
      <c r="I1816" s="45">
        <v>25.90909090909091</v>
      </c>
      <c r="J1816" s="45">
        <v>20.032258064516128</v>
      </c>
      <c r="K1816" s="46">
        <v>-0.22682512733446525</v>
      </c>
    </row>
    <row r="1817" spans="1:11" x14ac:dyDescent="0.2">
      <c r="A1817" s="38" t="s">
        <v>7</v>
      </c>
      <c r="B1817" s="38" t="s">
        <v>7494</v>
      </c>
      <c r="C1817" s="43" t="s">
        <v>7495</v>
      </c>
      <c r="D1817" s="38" t="s">
        <v>12825</v>
      </c>
      <c r="E1817" s="44">
        <v>28537</v>
      </c>
      <c r="F1817" s="45">
        <v>474847</v>
      </c>
      <c r="G1817" s="44">
        <v>37210</v>
      </c>
      <c r="H1817" s="45">
        <v>796693</v>
      </c>
      <c r="I1817" s="45">
        <v>16.639695833479344</v>
      </c>
      <c r="J1817" s="45">
        <v>21.410722923945176</v>
      </c>
      <c r="K1817" s="46">
        <v>0.28672561915864153</v>
      </c>
    </row>
    <row r="1818" spans="1:11" x14ac:dyDescent="0.2">
      <c r="A1818" s="38" t="s">
        <v>7</v>
      </c>
      <c r="B1818" s="38" t="s">
        <v>7497</v>
      </c>
      <c r="C1818" s="43" t="s">
        <v>7498</v>
      </c>
      <c r="D1818" s="38" t="s">
        <v>12682</v>
      </c>
      <c r="E1818" s="44">
        <v>346</v>
      </c>
      <c r="F1818" s="45">
        <v>158622</v>
      </c>
      <c r="G1818" s="44">
        <v>201</v>
      </c>
      <c r="H1818" s="45">
        <v>77208</v>
      </c>
      <c r="I1818" s="45">
        <v>458.4450867052023</v>
      </c>
      <c r="J1818" s="45">
        <v>384.1194029850746</v>
      </c>
      <c r="K1818" s="46">
        <v>-0.16212559775544491</v>
      </c>
    </row>
    <row r="1819" spans="1:11" x14ac:dyDescent="0.2">
      <c r="A1819" s="38" t="s">
        <v>7</v>
      </c>
      <c r="B1819" s="38" t="s">
        <v>7499</v>
      </c>
      <c r="C1819" s="43" t="s">
        <v>7500</v>
      </c>
      <c r="D1819" s="38" t="s">
        <v>12826</v>
      </c>
      <c r="G1819" s="44">
        <v>300</v>
      </c>
      <c r="H1819" s="45">
        <v>225</v>
      </c>
      <c r="J1819" s="45">
        <v>0.75</v>
      </c>
    </row>
    <row r="1820" spans="1:11" x14ac:dyDescent="0.2">
      <c r="A1820" s="38" t="s">
        <v>7</v>
      </c>
      <c r="B1820" s="38" t="s">
        <v>12827</v>
      </c>
      <c r="C1820" s="43" t="s">
        <v>12828</v>
      </c>
      <c r="D1820" s="38" t="s">
        <v>12829</v>
      </c>
      <c r="E1820" s="44">
        <v>149</v>
      </c>
      <c r="F1820" s="45">
        <v>114269</v>
      </c>
      <c r="G1820" s="44">
        <v>0</v>
      </c>
      <c r="H1820" s="45">
        <v>0</v>
      </c>
      <c r="I1820" s="45">
        <v>766.90604026845642</v>
      </c>
    </row>
    <row r="1821" spans="1:11" x14ac:dyDescent="0.2">
      <c r="A1821" s="38" t="s">
        <v>7</v>
      </c>
      <c r="B1821" s="38" t="s">
        <v>7502</v>
      </c>
      <c r="C1821" s="43" t="s">
        <v>7503</v>
      </c>
      <c r="D1821" s="38" t="s">
        <v>12830</v>
      </c>
      <c r="E1821" s="44">
        <v>3400</v>
      </c>
      <c r="F1821" s="45">
        <v>763300</v>
      </c>
      <c r="G1821" s="44">
        <v>3080</v>
      </c>
      <c r="H1821" s="45">
        <v>603800</v>
      </c>
      <c r="I1821" s="45">
        <v>224.5</v>
      </c>
      <c r="J1821" s="45">
        <v>196.03896103896105</v>
      </c>
      <c r="K1821" s="46">
        <v>-0.12677522922511783</v>
      </c>
    </row>
    <row r="1822" spans="1:11" x14ac:dyDescent="0.2">
      <c r="A1822" s="38" t="s">
        <v>7</v>
      </c>
      <c r="B1822" s="38" t="s">
        <v>7505</v>
      </c>
      <c r="C1822" s="43" t="s">
        <v>7506</v>
      </c>
      <c r="D1822" s="38" t="s">
        <v>12831</v>
      </c>
      <c r="E1822" s="44">
        <v>209</v>
      </c>
      <c r="F1822" s="45">
        <v>163093</v>
      </c>
      <c r="G1822" s="44">
        <v>140</v>
      </c>
      <c r="H1822" s="45">
        <v>96256</v>
      </c>
      <c r="I1822" s="45">
        <v>780.3492822966507</v>
      </c>
      <c r="J1822" s="45">
        <v>687.54285714285709</v>
      </c>
      <c r="K1822" s="46">
        <v>-0.11892934005225771</v>
      </c>
    </row>
    <row r="1823" spans="1:11" x14ac:dyDescent="0.2">
      <c r="A1823" s="38" t="s">
        <v>7</v>
      </c>
      <c r="B1823" s="38" t="s">
        <v>7508</v>
      </c>
      <c r="C1823" s="43" t="s">
        <v>7509</v>
      </c>
      <c r="D1823" s="38" t="s">
        <v>12832</v>
      </c>
      <c r="E1823" s="44">
        <v>4374</v>
      </c>
      <c r="F1823" s="45">
        <v>136728</v>
      </c>
      <c r="G1823" s="44">
        <v>1902</v>
      </c>
      <c r="H1823" s="45">
        <v>54504</v>
      </c>
      <c r="I1823" s="45">
        <v>31.25925925925926</v>
      </c>
      <c r="J1823" s="45">
        <v>28.656151419558359</v>
      </c>
      <c r="K1823" s="46">
        <v>-8.3274776862469563E-2</v>
      </c>
    </row>
    <row r="1824" spans="1:11" x14ac:dyDescent="0.2">
      <c r="A1824" s="38" t="s">
        <v>7</v>
      </c>
      <c r="B1824" s="38" t="s">
        <v>7511</v>
      </c>
      <c r="C1824" s="43" t="s">
        <v>7512</v>
      </c>
      <c r="D1824" s="38" t="s">
        <v>12833</v>
      </c>
      <c r="E1824" s="44">
        <v>6000</v>
      </c>
      <c r="F1824" s="45">
        <v>4920</v>
      </c>
      <c r="G1824" s="44">
        <v>28000</v>
      </c>
      <c r="H1824" s="45">
        <v>23545</v>
      </c>
      <c r="I1824" s="45">
        <v>0.82</v>
      </c>
      <c r="J1824" s="45">
        <v>0.84089285714285711</v>
      </c>
      <c r="K1824" s="46">
        <v>2.5479094076655072E-2</v>
      </c>
    </row>
    <row r="1825" spans="1:11" x14ac:dyDescent="0.2">
      <c r="A1825" s="38" t="s">
        <v>7</v>
      </c>
      <c r="B1825" s="38" t="s">
        <v>7514</v>
      </c>
      <c r="C1825" s="43" t="s">
        <v>7515</v>
      </c>
      <c r="D1825" s="38" t="s">
        <v>12682</v>
      </c>
      <c r="G1825" s="44">
        <v>23</v>
      </c>
      <c r="H1825" s="45">
        <v>6616</v>
      </c>
      <c r="J1825" s="45">
        <v>287.6521739130435</v>
      </c>
    </row>
    <row r="1826" spans="1:11" x14ac:dyDescent="0.2">
      <c r="A1826" s="38" t="s">
        <v>7</v>
      </c>
      <c r="B1826" s="38" t="s">
        <v>7517</v>
      </c>
      <c r="C1826" s="43" t="s">
        <v>7518</v>
      </c>
      <c r="D1826" s="38" t="s">
        <v>12682</v>
      </c>
      <c r="G1826" s="44">
        <v>4</v>
      </c>
      <c r="H1826" s="45">
        <v>588</v>
      </c>
      <c r="J1826" s="45">
        <v>147</v>
      </c>
    </row>
    <row r="1827" spans="1:11" x14ac:dyDescent="0.2">
      <c r="A1827" s="38" t="s">
        <v>7</v>
      </c>
      <c r="B1827" s="38" t="s">
        <v>7520</v>
      </c>
      <c r="C1827" s="43" t="s">
        <v>7521</v>
      </c>
      <c r="D1827" s="38" t="s">
        <v>12834</v>
      </c>
      <c r="E1827" s="44">
        <v>3402</v>
      </c>
      <c r="F1827" s="45">
        <v>144318</v>
      </c>
      <c r="G1827" s="44">
        <v>4808</v>
      </c>
      <c r="H1827" s="45">
        <v>195572</v>
      </c>
      <c r="I1827" s="45">
        <v>42.421516754850089</v>
      </c>
      <c r="J1827" s="45">
        <v>40.676372712146424</v>
      </c>
      <c r="K1827" s="46">
        <v>-4.1138181192074907E-2</v>
      </c>
    </row>
    <row r="1828" spans="1:11" x14ac:dyDescent="0.2">
      <c r="A1828" s="38" t="s">
        <v>7</v>
      </c>
      <c r="B1828" s="38" t="s">
        <v>7523</v>
      </c>
      <c r="C1828" s="43" t="s">
        <v>7524</v>
      </c>
      <c r="D1828" s="38" t="s">
        <v>12682</v>
      </c>
      <c r="G1828" s="44">
        <v>1</v>
      </c>
      <c r="H1828" s="45">
        <v>1032</v>
      </c>
      <c r="J1828" s="45">
        <v>1032</v>
      </c>
    </row>
    <row r="1829" spans="1:11" x14ac:dyDescent="0.2">
      <c r="A1829" s="38" t="s">
        <v>7</v>
      </c>
      <c r="B1829" s="38" t="s">
        <v>7526</v>
      </c>
      <c r="C1829" s="43" t="s">
        <v>7527</v>
      </c>
      <c r="D1829" s="38" t="s">
        <v>12835</v>
      </c>
      <c r="E1829" s="44">
        <v>43224</v>
      </c>
      <c r="F1829" s="45">
        <v>7875352</v>
      </c>
      <c r="G1829" s="44">
        <v>42285</v>
      </c>
      <c r="H1829" s="45">
        <v>6639259</v>
      </c>
      <c r="I1829" s="45">
        <v>182.19859337405146</v>
      </c>
      <c r="J1829" s="45">
        <v>157.01215561073667</v>
      </c>
      <c r="K1829" s="46">
        <v>-0.13823618117406286</v>
      </c>
    </row>
    <row r="1830" spans="1:11" x14ac:dyDescent="0.2">
      <c r="A1830" s="38" t="s">
        <v>7</v>
      </c>
      <c r="B1830" s="38" t="s">
        <v>7532</v>
      </c>
      <c r="C1830" s="43" t="s">
        <v>7533</v>
      </c>
      <c r="D1830" s="38" t="s">
        <v>12834</v>
      </c>
      <c r="E1830" s="44">
        <v>36</v>
      </c>
      <c r="F1830" s="45">
        <v>676</v>
      </c>
      <c r="G1830" s="44">
        <v>60</v>
      </c>
      <c r="H1830" s="45">
        <v>1140</v>
      </c>
      <c r="I1830" s="45">
        <v>18.777777777777779</v>
      </c>
      <c r="J1830" s="45">
        <v>19</v>
      </c>
      <c r="K1830" s="46">
        <v>1.1834319526627177E-2</v>
      </c>
    </row>
    <row r="1831" spans="1:11" x14ac:dyDescent="0.2">
      <c r="A1831" s="38" t="s">
        <v>7</v>
      </c>
      <c r="B1831" s="38" t="s">
        <v>7534</v>
      </c>
      <c r="C1831" s="43" t="s">
        <v>7535</v>
      </c>
      <c r="D1831" s="38" t="s">
        <v>12836</v>
      </c>
      <c r="E1831" s="44">
        <v>655</v>
      </c>
      <c r="F1831" s="45">
        <v>19335.599999999999</v>
      </c>
      <c r="G1831" s="44">
        <v>1175</v>
      </c>
      <c r="H1831" s="45">
        <v>29837.200000000001</v>
      </c>
      <c r="I1831" s="45">
        <v>29.519999999999996</v>
      </c>
      <c r="J1831" s="45">
        <v>25.39336170212766</v>
      </c>
      <c r="K1831" s="46">
        <v>-0.13979127025312796</v>
      </c>
    </row>
    <row r="1832" spans="1:11" x14ac:dyDescent="0.2">
      <c r="A1832" s="38" t="s">
        <v>7</v>
      </c>
      <c r="B1832" s="38" t="s">
        <v>7537</v>
      </c>
      <c r="C1832" s="43" t="s">
        <v>7538</v>
      </c>
      <c r="D1832" s="38" t="s">
        <v>12837</v>
      </c>
      <c r="E1832" s="44">
        <v>160</v>
      </c>
      <c r="F1832" s="45">
        <v>2044.8</v>
      </c>
      <c r="G1832" s="44">
        <v>540</v>
      </c>
      <c r="H1832" s="45">
        <v>6220.8</v>
      </c>
      <c r="I1832" s="45">
        <v>12.78</v>
      </c>
      <c r="J1832" s="45">
        <v>11.52</v>
      </c>
      <c r="K1832" s="46">
        <v>-9.8591549295774641E-2</v>
      </c>
    </row>
    <row r="1833" spans="1:11" x14ac:dyDescent="0.2">
      <c r="A1833" s="38" t="s">
        <v>7</v>
      </c>
      <c r="B1833" s="38" t="s">
        <v>7540</v>
      </c>
      <c r="C1833" s="43" t="s">
        <v>7541</v>
      </c>
      <c r="D1833" s="38" t="s">
        <v>12838</v>
      </c>
      <c r="E1833" s="44">
        <v>4</v>
      </c>
      <c r="F1833" s="45">
        <v>1652</v>
      </c>
      <c r="G1833" s="44">
        <v>12</v>
      </c>
      <c r="H1833" s="45">
        <v>4956</v>
      </c>
      <c r="I1833" s="45">
        <v>413</v>
      </c>
      <c r="J1833" s="45">
        <v>413</v>
      </c>
      <c r="K1833" s="46">
        <v>0</v>
      </c>
    </row>
    <row r="1834" spans="1:11" x14ac:dyDescent="0.2">
      <c r="A1834" s="38" t="s">
        <v>7</v>
      </c>
      <c r="B1834" s="38" t="s">
        <v>7543</v>
      </c>
      <c r="C1834" s="43" t="s">
        <v>7544</v>
      </c>
      <c r="D1834" s="38" t="s">
        <v>12839</v>
      </c>
      <c r="G1834" s="44">
        <v>31</v>
      </c>
      <c r="H1834" s="45">
        <v>95478</v>
      </c>
      <c r="J1834" s="45">
        <v>3079.9354838709678</v>
      </c>
    </row>
    <row r="1835" spans="1:11" x14ac:dyDescent="0.2">
      <c r="A1835" s="38" t="s">
        <v>7</v>
      </c>
      <c r="B1835" s="38" t="s">
        <v>7546</v>
      </c>
      <c r="C1835" s="43" t="s">
        <v>7547</v>
      </c>
      <c r="D1835" s="38" t="s">
        <v>12840</v>
      </c>
      <c r="E1835" s="44">
        <v>6595</v>
      </c>
      <c r="F1835" s="45">
        <v>4242706</v>
      </c>
      <c r="G1835" s="44">
        <v>8369</v>
      </c>
      <c r="H1835" s="45">
        <v>4453851</v>
      </c>
      <c r="I1835" s="45">
        <v>643.32160727824112</v>
      </c>
      <c r="J1835" s="45">
        <v>532.18437089257975</v>
      </c>
      <c r="K1835" s="46">
        <v>-0.17275532972669722</v>
      </c>
    </row>
    <row r="1836" spans="1:11" x14ac:dyDescent="0.2">
      <c r="A1836" s="38" t="s">
        <v>7</v>
      </c>
      <c r="B1836" s="38" t="s">
        <v>7549</v>
      </c>
      <c r="C1836" s="43" t="s">
        <v>7550</v>
      </c>
      <c r="D1836" s="38" t="s">
        <v>12657</v>
      </c>
      <c r="E1836" s="44">
        <v>109</v>
      </c>
      <c r="F1836" s="45">
        <v>3232</v>
      </c>
      <c r="G1836" s="44">
        <v>82</v>
      </c>
      <c r="H1836" s="45">
        <v>2559</v>
      </c>
      <c r="I1836" s="45">
        <v>29.651376146788991</v>
      </c>
      <c r="J1836" s="45">
        <v>31.207317073170731</v>
      </c>
      <c r="K1836" s="46">
        <v>5.2474492876116878E-2</v>
      </c>
    </row>
    <row r="1837" spans="1:11" x14ac:dyDescent="0.2">
      <c r="A1837" s="38" t="s">
        <v>7</v>
      </c>
      <c r="B1837" s="38" t="s">
        <v>7552</v>
      </c>
      <c r="C1837" s="43" t="s">
        <v>7553</v>
      </c>
      <c r="D1837" s="38" t="s">
        <v>12841</v>
      </c>
      <c r="G1837" s="44">
        <v>3</v>
      </c>
      <c r="H1837" s="45">
        <v>344</v>
      </c>
      <c r="J1837" s="45">
        <v>114.66666666666667</v>
      </c>
    </row>
    <row r="1838" spans="1:11" x14ac:dyDescent="0.2">
      <c r="A1838" s="38" t="s">
        <v>7</v>
      </c>
      <c r="B1838" s="38" t="s">
        <v>7555</v>
      </c>
      <c r="C1838" s="43" t="s">
        <v>7556</v>
      </c>
      <c r="D1838" s="38" t="s">
        <v>12842</v>
      </c>
      <c r="E1838" s="44">
        <v>168</v>
      </c>
      <c r="F1838" s="45">
        <v>21168</v>
      </c>
      <c r="G1838" s="44">
        <v>84</v>
      </c>
      <c r="H1838" s="45">
        <v>10584</v>
      </c>
      <c r="I1838" s="45">
        <v>126</v>
      </c>
      <c r="J1838" s="45">
        <v>126</v>
      </c>
      <c r="K1838" s="46">
        <v>0</v>
      </c>
    </row>
    <row r="1839" spans="1:11" x14ac:dyDescent="0.2">
      <c r="A1839" s="38" t="s">
        <v>7</v>
      </c>
      <c r="B1839" s="38" t="s">
        <v>7561</v>
      </c>
      <c r="C1839" s="43" t="s">
        <v>7562</v>
      </c>
      <c r="D1839" s="38" t="s">
        <v>12843</v>
      </c>
      <c r="G1839" s="44">
        <v>351</v>
      </c>
      <c r="H1839" s="45">
        <v>46467</v>
      </c>
      <c r="J1839" s="45">
        <v>132.38461538461539</v>
      </c>
    </row>
    <row r="1840" spans="1:11" x14ac:dyDescent="0.2">
      <c r="A1840" s="38" t="s">
        <v>7</v>
      </c>
      <c r="B1840" s="38" t="s">
        <v>7564</v>
      </c>
      <c r="C1840" s="43" t="s">
        <v>7565</v>
      </c>
      <c r="D1840" s="38" t="s">
        <v>12844</v>
      </c>
      <c r="G1840" s="44">
        <v>3</v>
      </c>
      <c r="H1840" s="45">
        <v>3178</v>
      </c>
      <c r="J1840" s="45">
        <v>1059.3333333333333</v>
      </c>
    </row>
    <row r="1841" spans="1:11" x14ac:dyDescent="0.2">
      <c r="A1841" s="38" t="s">
        <v>7</v>
      </c>
      <c r="B1841" s="38" t="s">
        <v>7567</v>
      </c>
      <c r="C1841" s="43" t="s">
        <v>7568</v>
      </c>
      <c r="D1841" s="38" t="s">
        <v>12845</v>
      </c>
      <c r="E1841" s="44">
        <v>276500</v>
      </c>
      <c r="F1841" s="45">
        <v>11060</v>
      </c>
      <c r="G1841" s="44">
        <v>608500</v>
      </c>
      <c r="H1841" s="45">
        <v>167860</v>
      </c>
      <c r="I1841" s="45">
        <v>0.04</v>
      </c>
      <c r="J1841" s="45">
        <v>0.27585866885784716</v>
      </c>
      <c r="K1841" s="46">
        <v>5.8964667214461786</v>
      </c>
    </row>
    <row r="1842" spans="1:11" x14ac:dyDescent="0.2">
      <c r="A1842" s="38" t="s">
        <v>7</v>
      </c>
      <c r="B1842" s="38" t="s">
        <v>7570</v>
      </c>
      <c r="C1842" s="43" t="s">
        <v>7571</v>
      </c>
      <c r="D1842" s="38" t="s">
        <v>12845</v>
      </c>
      <c r="E1842" s="44">
        <v>11050</v>
      </c>
      <c r="F1842" s="45">
        <v>7293</v>
      </c>
      <c r="G1842" s="44">
        <v>21450</v>
      </c>
      <c r="H1842" s="45">
        <v>15092</v>
      </c>
      <c r="I1842" s="45">
        <v>0.66</v>
      </c>
      <c r="J1842" s="45">
        <v>0.70358974358974358</v>
      </c>
      <c r="K1842" s="46">
        <v>6.6045066045065978E-2</v>
      </c>
    </row>
    <row r="1843" spans="1:11" x14ac:dyDescent="0.2">
      <c r="A1843" s="38" t="s">
        <v>7</v>
      </c>
      <c r="B1843" s="38" t="s">
        <v>7573</v>
      </c>
      <c r="C1843" s="43" t="s">
        <v>7574</v>
      </c>
      <c r="D1843" s="38" t="s">
        <v>12846</v>
      </c>
      <c r="G1843" s="44">
        <v>66</v>
      </c>
      <c r="H1843" s="45">
        <v>1056</v>
      </c>
      <c r="J1843" s="45">
        <v>16</v>
      </c>
    </row>
    <row r="1844" spans="1:11" x14ac:dyDescent="0.2">
      <c r="A1844" s="38" t="s">
        <v>7</v>
      </c>
      <c r="B1844" s="38" t="s">
        <v>7576</v>
      </c>
      <c r="C1844" s="43" t="s">
        <v>7577</v>
      </c>
      <c r="D1844" s="38" t="s">
        <v>12847</v>
      </c>
      <c r="E1844" s="44">
        <v>510</v>
      </c>
      <c r="F1844" s="45">
        <v>155470</v>
      </c>
      <c r="G1844" s="44">
        <v>740</v>
      </c>
      <c r="H1844" s="45">
        <v>210460</v>
      </c>
      <c r="I1844" s="45">
        <v>304.84313725490193</v>
      </c>
      <c r="J1844" s="45">
        <v>284.40540540540542</v>
      </c>
      <c r="K1844" s="46">
        <v>-6.7043437597242059E-2</v>
      </c>
    </row>
    <row r="1845" spans="1:11" x14ac:dyDescent="0.2">
      <c r="A1845" s="38" t="s">
        <v>7</v>
      </c>
      <c r="B1845" s="38" t="s">
        <v>7579</v>
      </c>
      <c r="C1845" s="43" t="s">
        <v>7580</v>
      </c>
      <c r="D1845" s="38" t="s">
        <v>12848</v>
      </c>
      <c r="G1845" s="44">
        <v>2</v>
      </c>
      <c r="H1845" s="45">
        <v>830</v>
      </c>
      <c r="J1845" s="45">
        <v>415</v>
      </c>
    </row>
    <row r="1846" spans="1:11" x14ac:dyDescent="0.2">
      <c r="A1846" s="38" t="s">
        <v>7</v>
      </c>
      <c r="B1846" s="38" t="s">
        <v>7582</v>
      </c>
      <c r="C1846" s="43" t="s">
        <v>7583</v>
      </c>
      <c r="D1846" s="38" t="s">
        <v>12848</v>
      </c>
      <c r="E1846" s="44">
        <v>25541</v>
      </c>
      <c r="F1846" s="45">
        <v>5753567</v>
      </c>
      <c r="G1846" s="44">
        <v>29806</v>
      </c>
      <c r="H1846" s="45">
        <v>5476596</v>
      </c>
      <c r="I1846" s="45">
        <v>225.26788301162836</v>
      </c>
      <c r="J1846" s="45">
        <v>183.74139435013083</v>
      </c>
      <c r="K1846" s="46">
        <v>-0.18434269504523165</v>
      </c>
    </row>
    <row r="1847" spans="1:11" x14ac:dyDescent="0.2">
      <c r="A1847" s="38" t="s">
        <v>7</v>
      </c>
      <c r="B1847" s="38" t="s">
        <v>7585</v>
      </c>
      <c r="C1847" s="43" t="s">
        <v>7586</v>
      </c>
      <c r="D1847" s="38" t="s">
        <v>12849</v>
      </c>
      <c r="E1847" s="44">
        <v>5</v>
      </c>
      <c r="F1847" s="45">
        <v>3103</v>
      </c>
      <c r="G1847" s="44">
        <v>11</v>
      </c>
      <c r="H1847" s="45">
        <v>6930</v>
      </c>
      <c r="I1847" s="45">
        <v>620.6</v>
      </c>
      <c r="J1847" s="45">
        <v>630</v>
      </c>
      <c r="K1847" s="46">
        <v>1.5146632291330933E-2</v>
      </c>
    </row>
    <row r="1848" spans="1:11" x14ac:dyDescent="0.2">
      <c r="A1848" s="38" t="s">
        <v>7</v>
      </c>
      <c r="B1848" s="38" t="s">
        <v>7588</v>
      </c>
      <c r="C1848" s="43" t="s">
        <v>7589</v>
      </c>
      <c r="D1848" s="38" t="s">
        <v>12682</v>
      </c>
      <c r="E1848" s="44">
        <v>66</v>
      </c>
      <c r="F1848" s="45">
        <v>8528</v>
      </c>
      <c r="G1848" s="44">
        <v>18</v>
      </c>
      <c r="H1848" s="45">
        <v>2169</v>
      </c>
      <c r="I1848" s="45">
        <v>129.21212121212122</v>
      </c>
      <c r="J1848" s="45">
        <v>120.5</v>
      </c>
      <c r="K1848" s="46">
        <v>-6.7424953095684845E-2</v>
      </c>
    </row>
    <row r="1849" spans="1:11" x14ac:dyDescent="0.2">
      <c r="A1849" s="38" t="s">
        <v>7</v>
      </c>
      <c r="B1849" s="38" t="s">
        <v>7591</v>
      </c>
      <c r="C1849" s="43" t="s">
        <v>7592</v>
      </c>
      <c r="D1849" s="38" t="s">
        <v>12682</v>
      </c>
      <c r="E1849" s="44">
        <v>157</v>
      </c>
      <c r="F1849" s="45">
        <v>28129</v>
      </c>
      <c r="G1849" s="44">
        <v>218</v>
      </c>
      <c r="H1849" s="45">
        <v>38870</v>
      </c>
      <c r="I1849" s="45">
        <v>179.16560509554139</v>
      </c>
      <c r="J1849" s="45">
        <v>178.30275229357798</v>
      </c>
      <c r="K1849" s="46">
        <v>-4.8159511503521584E-3</v>
      </c>
    </row>
    <row r="1850" spans="1:11" x14ac:dyDescent="0.2">
      <c r="A1850" s="38" t="s">
        <v>7</v>
      </c>
      <c r="B1850" s="38" t="s">
        <v>7594</v>
      </c>
      <c r="C1850" s="43" t="s">
        <v>7595</v>
      </c>
      <c r="D1850" s="38" t="s">
        <v>12850</v>
      </c>
      <c r="E1850" s="44">
        <v>77</v>
      </c>
      <c r="F1850" s="45">
        <v>29159</v>
      </c>
      <c r="G1850" s="44">
        <v>71</v>
      </c>
      <c r="H1850" s="45">
        <v>26491</v>
      </c>
      <c r="I1850" s="45">
        <v>378.68831168831167</v>
      </c>
      <c r="J1850" s="45">
        <v>373.11267605633805</v>
      </c>
      <c r="K1850" s="46">
        <v>-1.4723548258238251E-2</v>
      </c>
    </row>
    <row r="1851" spans="1:11" x14ac:dyDescent="0.2">
      <c r="A1851" s="38" t="s">
        <v>7</v>
      </c>
      <c r="B1851" s="38" t="s">
        <v>7597</v>
      </c>
      <c r="C1851" s="43" t="s">
        <v>7598</v>
      </c>
      <c r="D1851" s="38" t="s">
        <v>12851</v>
      </c>
      <c r="E1851" s="44">
        <v>345</v>
      </c>
      <c r="F1851" s="45">
        <v>101021</v>
      </c>
      <c r="G1851" s="44">
        <v>309</v>
      </c>
      <c r="H1851" s="45">
        <v>75861</v>
      </c>
      <c r="I1851" s="45">
        <v>292.8144927536232</v>
      </c>
      <c r="J1851" s="45">
        <v>245.50485436893203</v>
      </c>
      <c r="K1851" s="46">
        <v>-0.16156863664701848</v>
      </c>
    </row>
    <row r="1852" spans="1:11" x14ac:dyDescent="0.2">
      <c r="A1852" s="38" t="s">
        <v>7</v>
      </c>
      <c r="B1852" s="38" t="s">
        <v>7600</v>
      </c>
      <c r="C1852" s="43" t="s">
        <v>7601</v>
      </c>
      <c r="D1852" s="38" t="s">
        <v>12852</v>
      </c>
      <c r="E1852" s="44">
        <v>351510</v>
      </c>
      <c r="F1852" s="45">
        <v>3407510</v>
      </c>
      <c r="G1852" s="44">
        <v>347280</v>
      </c>
      <c r="H1852" s="45">
        <v>2940900</v>
      </c>
      <c r="I1852" s="45">
        <v>9.6939205143523655</v>
      </c>
      <c r="J1852" s="45">
        <v>8.4683828610919143</v>
      </c>
      <c r="K1852" s="46">
        <v>-0.12642332392203726</v>
      </c>
    </row>
    <row r="1853" spans="1:11" x14ac:dyDescent="0.2">
      <c r="A1853" s="38" t="s">
        <v>7</v>
      </c>
      <c r="B1853" s="38" t="s">
        <v>7603</v>
      </c>
      <c r="C1853" s="43" t="s">
        <v>7604</v>
      </c>
      <c r="D1853" s="38" t="s">
        <v>12853</v>
      </c>
      <c r="E1853" s="44">
        <v>230</v>
      </c>
      <c r="F1853" s="45">
        <v>18260</v>
      </c>
      <c r="G1853" s="44">
        <v>215</v>
      </c>
      <c r="H1853" s="45">
        <v>16760</v>
      </c>
      <c r="I1853" s="45">
        <v>79.391304347826093</v>
      </c>
      <c r="J1853" s="45">
        <v>77.95348837209302</v>
      </c>
      <c r="K1853" s="46">
        <v>-1.8110496956112096E-2</v>
      </c>
    </row>
    <row r="1854" spans="1:11" x14ac:dyDescent="0.2">
      <c r="A1854" s="38" t="s">
        <v>7</v>
      </c>
      <c r="B1854" s="38" t="s">
        <v>7606</v>
      </c>
      <c r="C1854" s="43" t="s">
        <v>7607</v>
      </c>
      <c r="D1854" s="38" t="s">
        <v>12854</v>
      </c>
      <c r="G1854" s="44">
        <v>2138</v>
      </c>
      <c r="H1854" s="45">
        <v>23518</v>
      </c>
      <c r="J1854" s="45">
        <v>11</v>
      </c>
    </row>
    <row r="1855" spans="1:11" x14ac:dyDescent="0.2">
      <c r="A1855" s="38" t="s">
        <v>7</v>
      </c>
      <c r="B1855" s="38" t="s">
        <v>7609</v>
      </c>
      <c r="C1855" s="43" t="s">
        <v>7610</v>
      </c>
      <c r="D1855" s="38" t="s">
        <v>12855</v>
      </c>
      <c r="G1855" s="44">
        <v>8</v>
      </c>
      <c r="H1855" s="45">
        <v>1884</v>
      </c>
      <c r="J1855" s="45">
        <v>235.5</v>
      </c>
    </row>
    <row r="1856" spans="1:11" x14ac:dyDescent="0.2">
      <c r="A1856" s="38" t="s">
        <v>7</v>
      </c>
      <c r="B1856" s="38" t="s">
        <v>7612</v>
      </c>
      <c r="C1856" s="43" t="s">
        <v>7613</v>
      </c>
      <c r="D1856" s="38" t="s">
        <v>12856</v>
      </c>
      <c r="E1856" s="44">
        <v>16</v>
      </c>
      <c r="F1856" s="45">
        <v>28631.68</v>
      </c>
      <c r="G1856" s="44">
        <v>24</v>
      </c>
      <c r="H1856" s="45">
        <v>42947.519999999997</v>
      </c>
      <c r="I1856" s="45">
        <v>1789.48</v>
      </c>
      <c r="J1856" s="45">
        <v>1789.4799999999998</v>
      </c>
      <c r="K1856" s="46">
        <v>-1.270613113548249E-16</v>
      </c>
    </row>
    <row r="1857" spans="1:11" x14ac:dyDescent="0.2">
      <c r="A1857" s="38" t="s">
        <v>7</v>
      </c>
      <c r="B1857" s="38" t="s">
        <v>7618</v>
      </c>
      <c r="C1857" s="43" t="s">
        <v>7619</v>
      </c>
      <c r="D1857" s="38" t="s">
        <v>12857</v>
      </c>
      <c r="E1857" s="44">
        <v>11</v>
      </c>
      <c r="F1857" s="45">
        <v>22583</v>
      </c>
      <c r="G1857" s="44">
        <v>21</v>
      </c>
      <c r="H1857" s="45">
        <v>33033</v>
      </c>
      <c r="I1857" s="45">
        <v>2053</v>
      </c>
      <c r="J1857" s="45">
        <v>1573</v>
      </c>
      <c r="K1857" s="46">
        <v>-0.23380418899171942</v>
      </c>
    </row>
    <row r="1858" spans="1:11" x14ac:dyDescent="0.2">
      <c r="A1858" s="38" t="s">
        <v>7</v>
      </c>
      <c r="B1858" s="38" t="s">
        <v>7624</v>
      </c>
      <c r="C1858" s="43" t="s">
        <v>7625</v>
      </c>
      <c r="D1858" s="38" t="s">
        <v>12858</v>
      </c>
      <c r="E1858" s="44">
        <v>608</v>
      </c>
      <c r="F1858" s="45">
        <v>227524</v>
      </c>
      <c r="G1858" s="44">
        <v>736</v>
      </c>
      <c r="H1858" s="45">
        <v>292432</v>
      </c>
      <c r="I1858" s="45">
        <v>374.21710526315792</v>
      </c>
      <c r="J1858" s="45">
        <v>397.32608695652175</v>
      </c>
      <c r="K1858" s="46">
        <v>6.1752873848759729E-2</v>
      </c>
    </row>
    <row r="1859" spans="1:11" x14ac:dyDescent="0.2">
      <c r="A1859" s="38" t="s">
        <v>7</v>
      </c>
      <c r="B1859" s="38" t="s">
        <v>7630</v>
      </c>
      <c r="C1859" s="43" t="s">
        <v>7631</v>
      </c>
      <c r="D1859" s="38" t="s">
        <v>12859</v>
      </c>
      <c r="E1859" s="44">
        <v>17600</v>
      </c>
      <c r="F1859" s="45">
        <v>694672</v>
      </c>
      <c r="G1859" s="44">
        <v>12800</v>
      </c>
      <c r="H1859" s="45">
        <v>515575</v>
      </c>
      <c r="I1859" s="45">
        <v>39.47</v>
      </c>
      <c r="J1859" s="45">
        <v>40.279296875</v>
      </c>
      <c r="K1859" s="46">
        <v>2.0504101216113534E-2</v>
      </c>
    </row>
    <row r="1860" spans="1:11" x14ac:dyDescent="0.2">
      <c r="A1860" s="38" t="s">
        <v>7</v>
      </c>
      <c r="B1860" s="38" t="s">
        <v>7636</v>
      </c>
      <c r="C1860" s="43" t="s">
        <v>7637</v>
      </c>
      <c r="D1860" s="38" t="s">
        <v>12860</v>
      </c>
      <c r="E1860" s="44">
        <v>90</v>
      </c>
      <c r="F1860" s="45">
        <v>28350</v>
      </c>
      <c r="G1860" s="44">
        <v>15</v>
      </c>
      <c r="H1860" s="45">
        <v>4845</v>
      </c>
      <c r="I1860" s="45">
        <v>315</v>
      </c>
      <c r="J1860" s="45">
        <v>323</v>
      </c>
      <c r="K1860" s="46">
        <v>2.5396825396825397E-2</v>
      </c>
    </row>
    <row r="1861" spans="1:11" x14ac:dyDescent="0.2">
      <c r="A1861" s="38" t="s">
        <v>7</v>
      </c>
      <c r="B1861" s="38" t="s">
        <v>7639</v>
      </c>
      <c r="C1861" s="43" t="s">
        <v>7640</v>
      </c>
      <c r="D1861" s="38" t="s">
        <v>12861</v>
      </c>
      <c r="G1861" s="44">
        <v>70</v>
      </c>
      <c r="H1861" s="45">
        <v>12040</v>
      </c>
      <c r="J1861" s="45">
        <v>172</v>
      </c>
    </row>
    <row r="1862" spans="1:11" x14ac:dyDescent="0.2">
      <c r="A1862" s="38" t="s">
        <v>7</v>
      </c>
      <c r="B1862" s="38" t="s">
        <v>7645</v>
      </c>
      <c r="C1862" s="43" t="s">
        <v>7646</v>
      </c>
      <c r="D1862" s="38" t="s">
        <v>12682</v>
      </c>
      <c r="E1862" s="44">
        <v>1577</v>
      </c>
      <c r="F1862" s="45">
        <v>1259895</v>
      </c>
      <c r="G1862" s="44">
        <v>1227</v>
      </c>
      <c r="H1862" s="45">
        <v>831021</v>
      </c>
      <c r="I1862" s="45">
        <v>798.91883322764738</v>
      </c>
      <c r="J1862" s="45">
        <v>677.27872860635694</v>
      </c>
      <c r="K1862" s="46">
        <v>-0.1522558982992829</v>
      </c>
    </row>
    <row r="1863" spans="1:11" x14ac:dyDescent="0.2">
      <c r="A1863" s="38" t="s">
        <v>7</v>
      </c>
      <c r="B1863" s="38" t="s">
        <v>7648</v>
      </c>
      <c r="C1863" s="43" t="s">
        <v>7649</v>
      </c>
      <c r="D1863" s="38" t="s">
        <v>12862</v>
      </c>
      <c r="E1863" s="44">
        <v>132560</v>
      </c>
      <c r="F1863" s="45">
        <v>397680</v>
      </c>
      <c r="G1863" s="44">
        <v>112520</v>
      </c>
      <c r="H1863" s="45">
        <v>293520</v>
      </c>
      <c r="I1863" s="45">
        <v>3</v>
      </c>
      <c r="J1863" s="45">
        <v>2.6086029150373267</v>
      </c>
      <c r="K1863" s="46">
        <v>-0.13046569498755778</v>
      </c>
    </row>
    <row r="1864" spans="1:11" x14ac:dyDescent="0.2">
      <c r="A1864" s="38" t="s">
        <v>7</v>
      </c>
      <c r="B1864" s="38" t="s">
        <v>7654</v>
      </c>
      <c r="C1864" s="43" t="s">
        <v>7655</v>
      </c>
      <c r="D1864" s="38" t="s">
        <v>12682</v>
      </c>
      <c r="G1864" s="44">
        <v>5</v>
      </c>
      <c r="H1864" s="45">
        <v>210</v>
      </c>
      <c r="J1864" s="45">
        <v>42</v>
      </c>
    </row>
    <row r="1865" spans="1:11" x14ac:dyDescent="0.2">
      <c r="A1865" s="38" t="s">
        <v>7</v>
      </c>
      <c r="B1865" s="38" t="s">
        <v>7657</v>
      </c>
      <c r="C1865" s="43" t="s">
        <v>7658</v>
      </c>
      <c r="D1865" s="38" t="s">
        <v>12682</v>
      </c>
      <c r="G1865" s="44">
        <v>2</v>
      </c>
      <c r="H1865" s="45">
        <v>280</v>
      </c>
      <c r="J1865" s="45">
        <v>140</v>
      </c>
    </row>
    <row r="1866" spans="1:11" x14ac:dyDescent="0.2">
      <c r="A1866" s="38" t="s">
        <v>7</v>
      </c>
      <c r="B1866" s="38" t="s">
        <v>7660</v>
      </c>
      <c r="C1866" s="43" t="s">
        <v>7661</v>
      </c>
      <c r="D1866" s="38" t="s">
        <v>12682</v>
      </c>
      <c r="G1866" s="44">
        <v>38</v>
      </c>
      <c r="H1866" s="45">
        <v>8778</v>
      </c>
      <c r="J1866" s="45">
        <v>231</v>
      </c>
    </row>
    <row r="1867" spans="1:11" x14ac:dyDescent="0.2">
      <c r="A1867" s="38" t="s">
        <v>7</v>
      </c>
      <c r="B1867" s="38" t="s">
        <v>7663</v>
      </c>
      <c r="C1867" s="43" t="s">
        <v>7664</v>
      </c>
      <c r="D1867" s="38" t="s">
        <v>12682</v>
      </c>
      <c r="E1867" s="44">
        <v>891</v>
      </c>
      <c r="F1867" s="45">
        <v>68265</v>
      </c>
      <c r="G1867" s="44">
        <v>849</v>
      </c>
      <c r="H1867" s="45">
        <v>63092</v>
      </c>
      <c r="I1867" s="45">
        <v>76.616161616161619</v>
      </c>
      <c r="J1867" s="45">
        <v>74.313309776207305</v>
      </c>
      <c r="K1867" s="46">
        <v>-3.0056998306588943E-2</v>
      </c>
    </row>
    <row r="1868" spans="1:11" x14ac:dyDescent="0.2">
      <c r="A1868" s="38" t="s">
        <v>7</v>
      </c>
      <c r="B1868" s="38" t="s">
        <v>7666</v>
      </c>
      <c r="C1868" s="43" t="s">
        <v>7667</v>
      </c>
      <c r="D1868" s="38" t="s">
        <v>12682</v>
      </c>
      <c r="E1868" s="44">
        <v>464</v>
      </c>
      <c r="F1868" s="45">
        <v>177625</v>
      </c>
      <c r="G1868" s="44">
        <v>468</v>
      </c>
      <c r="H1868" s="45">
        <v>163626</v>
      </c>
      <c r="I1868" s="45">
        <v>382.8125</v>
      </c>
      <c r="J1868" s="45">
        <v>349.62820512820514</v>
      </c>
      <c r="K1868" s="46">
        <v>-8.6685504971219227E-2</v>
      </c>
    </row>
    <row r="1869" spans="1:11" x14ac:dyDescent="0.2">
      <c r="A1869" s="38" t="s">
        <v>7</v>
      </c>
      <c r="B1869" s="38" t="s">
        <v>7669</v>
      </c>
      <c r="C1869" s="43" t="s">
        <v>7670</v>
      </c>
      <c r="D1869" s="38" t="s">
        <v>12682</v>
      </c>
      <c r="E1869" s="44">
        <v>109</v>
      </c>
      <c r="F1869" s="45">
        <v>19098</v>
      </c>
      <c r="G1869" s="44">
        <v>35</v>
      </c>
      <c r="H1869" s="45">
        <v>6060</v>
      </c>
      <c r="I1869" s="45">
        <v>175.21100917431193</v>
      </c>
      <c r="J1869" s="45">
        <v>173.14285714285714</v>
      </c>
      <c r="K1869" s="46">
        <v>-1.1803779004533027E-2</v>
      </c>
    </row>
    <row r="1870" spans="1:11" x14ac:dyDescent="0.2">
      <c r="A1870" s="38" t="s">
        <v>7</v>
      </c>
      <c r="B1870" s="38" t="s">
        <v>7672</v>
      </c>
      <c r="C1870" s="43" t="s">
        <v>7673</v>
      </c>
      <c r="D1870" s="38" t="s">
        <v>12863</v>
      </c>
      <c r="E1870" s="44">
        <v>518</v>
      </c>
      <c r="F1870" s="45">
        <v>5001</v>
      </c>
      <c r="G1870" s="44">
        <v>258</v>
      </c>
      <c r="H1870" s="45">
        <v>2508</v>
      </c>
      <c r="I1870" s="45">
        <v>9.6544401544401541</v>
      </c>
      <c r="J1870" s="45">
        <v>9.720930232558139</v>
      </c>
      <c r="K1870" s="46">
        <v>6.8869946940844197E-3</v>
      </c>
    </row>
    <row r="1871" spans="1:11" x14ac:dyDescent="0.2">
      <c r="A1871" s="38" t="s">
        <v>7</v>
      </c>
      <c r="B1871" s="38" t="s">
        <v>7675</v>
      </c>
      <c r="C1871" s="43" t="s">
        <v>7676</v>
      </c>
      <c r="D1871" s="38" t="s">
        <v>12863</v>
      </c>
      <c r="E1871" s="44">
        <v>10155</v>
      </c>
      <c r="F1871" s="45">
        <v>259510</v>
      </c>
      <c r="G1871" s="44">
        <v>13243</v>
      </c>
      <c r="H1871" s="45">
        <v>300290</v>
      </c>
      <c r="I1871" s="45">
        <v>25.554899064500248</v>
      </c>
      <c r="J1871" s="45">
        <v>22.675375670165369</v>
      </c>
      <c r="K1871" s="46">
        <v>-0.11267989699614923</v>
      </c>
    </row>
    <row r="1872" spans="1:11" x14ac:dyDescent="0.2">
      <c r="A1872" s="38" t="s">
        <v>7</v>
      </c>
      <c r="B1872" s="38" t="s">
        <v>7678</v>
      </c>
      <c r="C1872" s="43" t="s">
        <v>7679</v>
      </c>
      <c r="D1872" s="38" t="s">
        <v>12682</v>
      </c>
      <c r="G1872" s="44">
        <v>96</v>
      </c>
      <c r="H1872" s="45">
        <v>9123</v>
      </c>
      <c r="J1872" s="45">
        <v>95.03125</v>
      </c>
    </row>
    <row r="1873" spans="1:11" x14ac:dyDescent="0.2">
      <c r="A1873" s="38" t="s">
        <v>7</v>
      </c>
      <c r="B1873" s="38" t="s">
        <v>7681</v>
      </c>
      <c r="C1873" s="43" t="s">
        <v>7682</v>
      </c>
      <c r="D1873" s="38" t="s">
        <v>12682</v>
      </c>
      <c r="E1873" s="44">
        <v>398</v>
      </c>
      <c r="F1873" s="45">
        <v>176010</v>
      </c>
      <c r="G1873" s="44">
        <v>477</v>
      </c>
      <c r="H1873" s="45">
        <v>250109</v>
      </c>
      <c r="I1873" s="45">
        <v>442.2361809045226</v>
      </c>
      <c r="J1873" s="45">
        <v>524.33752620545079</v>
      </c>
      <c r="K1873" s="46">
        <v>0.18565044843911949</v>
      </c>
    </row>
    <row r="1874" spans="1:11" x14ac:dyDescent="0.2">
      <c r="A1874" s="38" t="s">
        <v>7</v>
      </c>
      <c r="B1874" s="38" t="s">
        <v>7687</v>
      </c>
      <c r="C1874" s="43" t="s">
        <v>7688</v>
      </c>
      <c r="D1874" s="38" t="s">
        <v>12864</v>
      </c>
      <c r="E1874" s="44">
        <v>6450</v>
      </c>
      <c r="F1874" s="45">
        <v>68600</v>
      </c>
      <c r="G1874" s="44">
        <v>3455</v>
      </c>
      <c r="H1874" s="45">
        <v>34495</v>
      </c>
      <c r="I1874" s="45">
        <v>10.635658914728682</v>
      </c>
      <c r="J1874" s="45">
        <v>9.984081041968162</v>
      </c>
      <c r="K1874" s="46">
        <v>-6.1263517191040104E-2</v>
      </c>
    </row>
    <row r="1875" spans="1:11" x14ac:dyDescent="0.2">
      <c r="A1875" s="38" t="s">
        <v>7</v>
      </c>
      <c r="B1875" s="38" t="s">
        <v>7693</v>
      </c>
      <c r="C1875" s="43" t="s">
        <v>7694</v>
      </c>
      <c r="D1875" s="38" t="s">
        <v>12865</v>
      </c>
      <c r="E1875" s="44">
        <v>6</v>
      </c>
      <c r="F1875" s="45">
        <v>2092</v>
      </c>
      <c r="G1875" s="44">
        <v>8</v>
      </c>
      <c r="H1875" s="45">
        <v>2460</v>
      </c>
      <c r="I1875" s="45">
        <v>348.66666666666669</v>
      </c>
      <c r="J1875" s="45">
        <v>307.5</v>
      </c>
      <c r="K1875" s="46">
        <v>-0.1180688336520077</v>
      </c>
    </row>
    <row r="1876" spans="1:11" x14ac:dyDescent="0.2">
      <c r="A1876" s="38" t="s">
        <v>7</v>
      </c>
      <c r="B1876" s="38" t="s">
        <v>7696</v>
      </c>
      <c r="C1876" s="43" t="s">
        <v>7697</v>
      </c>
      <c r="D1876" s="38" t="s">
        <v>12866</v>
      </c>
      <c r="G1876" s="44">
        <v>45</v>
      </c>
      <c r="H1876" s="45">
        <v>26739</v>
      </c>
      <c r="J1876" s="45">
        <v>594.20000000000005</v>
      </c>
    </row>
    <row r="1877" spans="1:11" x14ac:dyDescent="0.2">
      <c r="A1877" s="38" t="s">
        <v>7</v>
      </c>
      <c r="B1877" s="38" t="s">
        <v>7699</v>
      </c>
      <c r="C1877" s="43" t="s">
        <v>7700</v>
      </c>
      <c r="D1877" s="38" t="s">
        <v>12867</v>
      </c>
      <c r="G1877" s="44">
        <v>316</v>
      </c>
      <c r="H1877" s="45">
        <v>202648</v>
      </c>
      <c r="J1877" s="45">
        <v>641.29113924050637</v>
      </c>
    </row>
    <row r="1878" spans="1:11" x14ac:dyDescent="0.2">
      <c r="A1878" s="38" t="s">
        <v>7</v>
      </c>
      <c r="B1878" s="38" t="s">
        <v>7702</v>
      </c>
      <c r="C1878" s="43" t="s">
        <v>7703</v>
      </c>
      <c r="D1878" s="38" t="s">
        <v>12868</v>
      </c>
      <c r="E1878" s="44">
        <v>21020</v>
      </c>
      <c r="F1878" s="45">
        <v>42040</v>
      </c>
      <c r="G1878" s="44">
        <v>6600</v>
      </c>
      <c r="H1878" s="45">
        <v>13200</v>
      </c>
      <c r="I1878" s="45">
        <v>2</v>
      </c>
      <c r="J1878" s="45">
        <v>2</v>
      </c>
      <c r="K1878" s="46">
        <v>0</v>
      </c>
    </row>
    <row r="1879" spans="1:11" x14ac:dyDescent="0.2">
      <c r="A1879" s="38" t="s">
        <v>7</v>
      </c>
      <c r="B1879" s="38" t="s">
        <v>7705</v>
      </c>
      <c r="C1879" s="43" t="s">
        <v>7706</v>
      </c>
      <c r="D1879" s="38" t="s">
        <v>12682</v>
      </c>
      <c r="G1879" s="44">
        <v>26</v>
      </c>
      <c r="H1879" s="45">
        <v>59280</v>
      </c>
      <c r="J1879" s="45">
        <v>2280</v>
      </c>
    </row>
    <row r="1880" spans="1:11" x14ac:dyDescent="0.2">
      <c r="A1880" s="38" t="s">
        <v>7</v>
      </c>
      <c r="B1880" s="38" t="s">
        <v>7708</v>
      </c>
      <c r="C1880" s="43" t="s">
        <v>7709</v>
      </c>
      <c r="D1880" s="38" t="s">
        <v>12682</v>
      </c>
      <c r="E1880" s="44">
        <v>6</v>
      </c>
      <c r="F1880" s="45">
        <v>1464</v>
      </c>
      <c r="G1880" s="44">
        <v>3</v>
      </c>
      <c r="H1880" s="45">
        <v>732</v>
      </c>
      <c r="I1880" s="45">
        <v>244</v>
      </c>
      <c r="J1880" s="45">
        <v>244</v>
      </c>
      <c r="K1880" s="46">
        <v>0</v>
      </c>
    </row>
    <row r="1881" spans="1:11" x14ac:dyDescent="0.2">
      <c r="A1881" s="38" t="s">
        <v>7</v>
      </c>
      <c r="B1881" s="38" t="s">
        <v>7711</v>
      </c>
      <c r="C1881" s="43" t="s">
        <v>7712</v>
      </c>
      <c r="D1881" s="38" t="s">
        <v>12869</v>
      </c>
      <c r="E1881" s="44">
        <v>1716</v>
      </c>
      <c r="F1881" s="45">
        <v>427852</v>
      </c>
      <c r="G1881" s="44">
        <v>2590</v>
      </c>
      <c r="H1881" s="45">
        <v>581766</v>
      </c>
      <c r="I1881" s="45">
        <v>249.33100233100234</v>
      </c>
      <c r="J1881" s="45">
        <v>224.62007722007721</v>
      </c>
      <c r="K1881" s="46">
        <v>-9.9108914976084081E-2</v>
      </c>
    </row>
    <row r="1882" spans="1:11" x14ac:dyDescent="0.2">
      <c r="A1882" s="38" t="s">
        <v>7</v>
      </c>
      <c r="B1882" s="38" t="s">
        <v>7714</v>
      </c>
      <c r="C1882" s="43" t="s">
        <v>7715</v>
      </c>
      <c r="D1882" s="38" t="s">
        <v>12870</v>
      </c>
      <c r="G1882" s="44">
        <v>1750</v>
      </c>
      <c r="H1882" s="45">
        <v>11500</v>
      </c>
      <c r="J1882" s="45">
        <v>6.5714285714285712</v>
      </c>
    </row>
    <row r="1883" spans="1:11" x14ac:dyDescent="0.2">
      <c r="A1883" s="38" t="s">
        <v>7</v>
      </c>
      <c r="B1883" s="38" t="s">
        <v>7723</v>
      </c>
      <c r="C1883" s="43" t="s">
        <v>7724</v>
      </c>
      <c r="D1883" s="38" t="s">
        <v>12682</v>
      </c>
      <c r="E1883" s="44">
        <v>1525</v>
      </c>
      <c r="F1883" s="45">
        <v>827162</v>
      </c>
      <c r="G1883" s="44">
        <v>1232</v>
      </c>
      <c r="H1883" s="45">
        <v>555067</v>
      </c>
      <c r="I1883" s="45">
        <v>542.40131147540978</v>
      </c>
      <c r="J1883" s="45">
        <v>450.54139610389609</v>
      </c>
      <c r="K1883" s="46">
        <v>-0.16935784156133671</v>
      </c>
    </row>
    <row r="1884" spans="1:11" x14ac:dyDescent="0.2">
      <c r="A1884" s="38" t="s">
        <v>7</v>
      </c>
      <c r="B1884" s="38" t="s">
        <v>7726</v>
      </c>
      <c r="C1884" s="43" t="s">
        <v>7727</v>
      </c>
      <c r="D1884" s="38" t="s">
        <v>12871</v>
      </c>
      <c r="E1884" s="44">
        <v>28</v>
      </c>
      <c r="F1884" s="45">
        <v>1492</v>
      </c>
      <c r="G1884" s="44">
        <v>8</v>
      </c>
      <c r="H1884" s="45">
        <v>440</v>
      </c>
      <c r="I1884" s="45">
        <v>53.285714285714285</v>
      </c>
      <c r="J1884" s="45">
        <v>55</v>
      </c>
      <c r="K1884" s="46">
        <v>3.2171581769437019E-2</v>
      </c>
    </row>
    <row r="1885" spans="1:11" x14ac:dyDescent="0.2">
      <c r="A1885" s="38" t="s">
        <v>7</v>
      </c>
      <c r="B1885" s="38" t="s">
        <v>7729</v>
      </c>
      <c r="C1885" s="43" t="s">
        <v>7730</v>
      </c>
      <c r="D1885" s="38" t="s">
        <v>12872</v>
      </c>
      <c r="G1885" s="44">
        <v>4</v>
      </c>
      <c r="H1885" s="45">
        <v>776</v>
      </c>
      <c r="J1885" s="45">
        <v>194</v>
      </c>
    </row>
    <row r="1886" spans="1:11" x14ac:dyDescent="0.2">
      <c r="A1886" s="38" t="s">
        <v>7</v>
      </c>
      <c r="B1886" s="38" t="s">
        <v>7732</v>
      </c>
      <c r="C1886" s="43" t="s">
        <v>7733</v>
      </c>
      <c r="D1886" s="38" t="s">
        <v>12682</v>
      </c>
      <c r="G1886" s="44">
        <v>73</v>
      </c>
      <c r="H1886" s="45">
        <v>15947</v>
      </c>
      <c r="J1886" s="45">
        <v>218.45205479452054</v>
      </c>
    </row>
    <row r="1887" spans="1:11" x14ac:dyDescent="0.2">
      <c r="A1887" s="38" t="s">
        <v>7</v>
      </c>
      <c r="B1887" s="38" t="s">
        <v>7735</v>
      </c>
      <c r="C1887" s="43" t="s">
        <v>7736</v>
      </c>
      <c r="D1887" s="38" t="s">
        <v>12873</v>
      </c>
      <c r="E1887" s="44">
        <v>2949</v>
      </c>
      <c r="F1887" s="45">
        <v>1367805</v>
      </c>
      <c r="G1887" s="44">
        <v>3246</v>
      </c>
      <c r="H1887" s="45">
        <v>1414725</v>
      </c>
      <c r="I1887" s="45">
        <v>463.81993896236014</v>
      </c>
      <c r="J1887" s="45">
        <v>435.83641404805917</v>
      </c>
      <c r="K1887" s="46">
        <v>-6.0332733812402763E-2</v>
      </c>
    </row>
    <row r="1888" spans="1:11" x14ac:dyDescent="0.2">
      <c r="A1888" s="38" t="s">
        <v>7</v>
      </c>
      <c r="B1888" s="38" t="s">
        <v>7738</v>
      </c>
      <c r="C1888" s="43" t="s">
        <v>7739</v>
      </c>
      <c r="D1888" s="38" t="s">
        <v>12873</v>
      </c>
      <c r="E1888" s="44">
        <v>4463</v>
      </c>
      <c r="F1888" s="45">
        <v>4102069</v>
      </c>
      <c r="G1888" s="44">
        <v>5305</v>
      </c>
      <c r="H1888" s="45">
        <v>3781951</v>
      </c>
      <c r="I1888" s="45">
        <v>919.12816491149454</v>
      </c>
      <c r="J1888" s="45">
        <v>712.903110273327</v>
      </c>
      <c r="K1888" s="46">
        <v>-0.22437029188200922</v>
      </c>
    </row>
    <row r="1889" spans="1:11" x14ac:dyDescent="0.2">
      <c r="A1889" s="38" t="s">
        <v>7</v>
      </c>
      <c r="B1889" s="38" t="s">
        <v>7741</v>
      </c>
      <c r="C1889" s="43" t="s">
        <v>7742</v>
      </c>
      <c r="D1889" s="38" t="s">
        <v>12874</v>
      </c>
      <c r="E1889" s="44">
        <v>2140</v>
      </c>
      <c r="F1889" s="45">
        <v>67410</v>
      </c>
      <c r="G1889" s="44">
        <v>5940</v>
      </c>
      <c r="H1889" s="45">
        <v>143500</v>
      </c>
      <c r="I1889" s="45">
        <v>31.5</v>
      </c>
      <c r="J1889" s="45">
        <v>24.158249158249159</v>
      </c>
      <c r="K1889" s="46">
        <v>-0.23307145529367748</v>
      </c>
    </row>
    <row r="1890" spans="1:11" x14ac:dyDescent="0.2">
      <c r="A1890" s="38" t="s">
        <v>7</v>
      </c>
      <c r="B1890" s="38" t="s">
        <v>7744</v>
      </c>
      <c r="C1890" s="43" t="s">
        <v>7745</v>
      </c>
      <c r="D1890" s="38" t="s">
        <v>12682</v>
      </c>
      <c r="E1890" s="44">
        <v>38</v>
      </c>
      <c r="F1890" s="45">
        <v>30404</v>
      </c>
      <c r="G1890" s="44">
        <v>40</v>
      </c>
      <c r="H1890" s="45">
        <v>30763</v>
      </c>
      <c r="I1890" s="45">
        <v>800.10526315789468</v>
      </c>
      <c r="J1890" s="45">
        <v>769.07500000000005</v>
      </c>
      <c r="K1890" s="46">
        <v>-3.8782725957110784E-2</v>
      </c>
    </row>
    <row r="1891" spans="1:11" x14ac:dyDescent="0.2">
      <c r="A1891" s="38" t="s">
        <v>7</v>
      </c>
      <c r="B1891" s="38" t="s">
        <v>7750</v>
      </c>
      <c r="C1891" s="43" t="s">
        <v>7751</v>
      </c>
      <c r="D1891" s="38" t="s">
        <v>12682</v>
      </c>
      <c r="E1891" s="44">
        <v>219</v>
      </c>
      <c r="F1891" s="45">
        <v>176111</v>
      </c>
      <c r="G1891" s="44">
        <v>169</v>
      </c>
      <c r="H1891" s="45">
        <v>119041</v>
      </c>
      <c r="I1891" s="45">
        <v>804.15981735159812</v>
      </c>
      <c r="J1891" s="45">
        <v>704.38461538461536</v>
      </c>
      <c r="K1891" s="46">
        <v>-0.12407384678282007</v>
      </c>
    </row>
    <row r="1892" spans="1:11" x14ac:dyDescent="0.2">
      <c r="A1892" s="38" t="s">
        <v>7</v>
      </c>
      <c r="B1892" s="38" t="s">
        <v>7756</v>
      </c>
      <c r="C1892" s="43" t="s">
        <v>7757</v>
      </c>
      <c r="D1892" s="38" t="s">
        <v>12875</v>
      </c>
      <c r="G1892" s="44">
        <v>60</v>
      </c>
      <c r="H1892" s="45">
        <v>900</v>
      </c>
      <c r="J1892" s="45">
        <v>15</v>
      </c>
    </row>
    <row r="1893" spans="1:11" x14ac:dyDescent="0.2">
      <c r="A1893" s="38" t="s">
        <v>7</v>
      </c>
      <c r="B1893" s="38" t="s">
        <v>7759</v>
      </c>
      <c r="C1893" s="43" t="s">
        <v>7760</v>
      </c>
      <c r="D1893" s="38" t="s">
        <v>12682</v>
      </c>
      <c r="G1893" s="44">
        <v>2</v>
      </c>
      <c r="H1893" s="45">
        <v>88</v>
      </c>
      <c r="J1893" s="45">
        <v>44</v>
      </c>
    </row>
    <row r="1894" spans="1:11" x14ac:dyDescent="0.2">
      <c r="A1894" s="38" t="s">
        <v>7</v>
      </c>
      <c r="B1894" s="38" t="s">
        <v>7762</v>
      </c>
      <c r="C1894" s="43" t="s">
        <v>7763</v>
      </c>
      <c r="D1894" s="38" t="s">
        <v>12682</v>
      </c>
      <c r="E1894" s="44">
        <v>29</v>
      </c>
      <c r="F1894" s="45">
        <v>5139</v>
      </c>
      <c r="G1894" s="44">
        <v>30</v>
      </c>
      <c r="H1894" s="45">
        <v>5490</v>
      </c>
      <c r="I1894" s="45">
        <v>177.20689655172413</v>
      </c>
      <c r="J1894" s="45">
        <v>183</v>
      </c>
      <c r="K1894" s="46">
        <v>3.2691185055458316E-2</v>
      </c>
    </row>
    <row r="1895" spans="1:11" x14ac:dyDescent="0.2">
      <c r="A1895" s="38" t="s">
        <v>7</v>
      </c>
      <c r="B1895" s="38" t="s">
        <v>7768</v>
      </c>
      <c r="C1895" s="43" t="s">
        <v>7769</v>
      </c>
      <c r="D1895" s="38" t="s">
        <v>12876</v>
      </c>
      <c r="E1895" s="44">
        <v>194</v>
      </c>
      <c r="F1895" s="45">
        <v>35382</v>
      </c>
      <c r="G1895" s="44">
        <v>170</v>
      </c>
      <c r="H1895" s="45">
        <v>25418</v>
      </c>
      <c r="I1895" s="45">
        <v>182.38144329896906</v>
      </c>
      <c r="J1895" s="45">
        <v>149.51764705882354</v>
      </c>
      <c r="K1895" s="46">
        <v>-0.18019265362580494</v>
      </c>
    </row>
    <row r="1896" spans="1:11" x14ac:dyDescent="0.2">
      <c r="A1896" s="38" t="s">
        <v>7</v>
      </c>
      <c r="B1896" s="38" t="s">
        <v>7774</v>
      </c>
      <c r="C1896" s="43" t="s">
        <v>7775</v>
      </c>
      <c r="D1896" s="38" t="s">
        <v>12657</v>
      </c>
      <c r="E1896" s="44">
        <v>50</v>
      </c>
      <c r="F1896" s="45">
        <v>2072</v>
      </c>
      <c r="G1896" s="44">
        <v>37</v>
      </c>
      <c r="H1896" s="45">
        <v>1551</v>
      </c>
      <c r="I1896" s="45">
        <v>41.44</v>
      </c>
      <c r="J1896" s="45">
        <v>41.918918918918919</v>
      </c>
      <c r="K1896" s="46">
        <v>1.1556923719085945E-2</v>
      </c>
    </row>
    <row r="1897" spans="1:11" x14ac:dyDescent="0.2">
      <c r="A1897" s="38" t="s">
        <v>7</v>
      </c>
      <c r="B1897" s="38" t="s">
        <v>7777</v>
      </c>
      <c r="C1897" s="43" t="s">
        <v>7778</v>
      </c>
      <c r="D1897" s="38" t="s">
        <v>12657</v>
      </c>
      <c r="E1897" s="44">
        <v>81</v>
      </c>
      <c r="F1897" s="45">
        <v>2645</v>
      </c>
      <c r="G1897" s="44">
        <v>17</v>
      </c>
      <c r="H1897" s="45">
        <v>499</v>
      </c>
      <c r="I1897" s="45">
        <v>32.654320987654323</v>
      </c>
      <c r="J1897" s="45">
        <v>29.352941176470587</v>
      </c>
      <c r="K1897" s="46">
        <v>-0.10110085622150571</v>
      </c>
    </row>
    <row r="1898" spans="1:11" x14ac:dyDescent="0.2">
      <c r="A1898" s="38" t="s">
        <v>7</v>
      </c>
      <c r="B1898" s="38" t="s">
        <v>7780</v>
      </c>
      <c r="C1898" s="43" t="s">
        <v>7781</v>
      </c>
      <c r="D1898" s="38" t="s">
        <v>12657</v>
      </c>
      <c r="E1898" s="44">
        <v>4</v>
      </c>
      <c r="F1898" s="45">
        <v>148</v>
      </c>
      <c r="G1898" s="44">
        <v>0</v>
      </c>
      <c r="H1898" s="45">
        <v>0</v>
      </c>
      <c r="I1898" s="45">
        <v>37</v>
      </c>
    </row>
    <row r="1899" spans="1:11" x14ac:dyDescent="0.2">
      <c r="A1899" s="38" t="s">
        <v>7</v>
      </c>
      <c r="B1899" s="38" t="s">
        <v>7783</v>
      </c>
      <c r="C1899" s="43" t="s">
        <v>7784</v>
      </c>
      <c r="D1899" s="38" t="s">
        <v>12682</v>
      </c>
      <c r="G1899" s="44">
        <v>3</v>
      </c>
      <c r="H1899" s="45">
        <v>735</v>
      </c>
      <c r="J1899" s="45">
        <v>245</v>
      </c>
    </row>
    <row r="1900" spans="1:11" x14ac:dyDescent="0.2">
      <c r="A1900" s="38" t="s">
        <v>7</v>
      </c>
      <c r="B1900" s="38" t="s">
        <v>7786</v>
      </c>
      <c r="C1900" s="43" t="s">
        <v>7787</v>
      </c>
      <c r="D1900" s="38" t="s">
        <v>12682</v>
      </c>
      <c r="E1900" s="44">
        <v>8</v>
      </c>
      <c r="F1900" s="45">
        <v>2820</v>
      </c>
      <c r="G1900" s="44">
        <v>1</v>
      </c>
      <c r="H1900" s="45">
        <v>366</v>
      </c>
      <c r="I1900" s="45">
        <v>352.5</v>
      </c>
      <c r="J1900" s="45">
        <v>366</v>
      </c>
      <c r="K1900" s="46">
        <v>3.8297872340425532E-2</v>
      </c>
    </row>
    <row r="1901" spans="1:11" x14ac:dyDescent="0.2">
      <c r="A1901" s="38" t="s">
        <v>7</v>
      </c>
      <c r="B1901" s="38" t="s">
        <v>7789</v>
      </c>
      <c r="C1901" s="43" t="s">
        <v>7790</v>
      </c>
      <c r="D1901" s="38" t="s">
        <v>12657</v>
      </c>
      <c r="G1901" s="44">
        <v>20</v>
      </c>
      <c r="H1901" s="45">
        <v>920</v>
      </c>
      <c r="J1901" s="45">
        <v>46</v>
      </c>
    </row>
    <row r="1902" spans="1:11" x14ac:dyDescent="0.2">
      <c r="A1902" s="38" t="s">
        <v>7</v>
      </c>
      <c r="B1902" s="38" t="s">
        <v>7792</v>
      </c>
      <c r="C1902" s="43" t="s">
        <v>7793</v>
      </c>
      <c r="D1902" s="38" t="s">
        <v>12877</v>
      </c>
      <c r="E1902" s="44">
        <v>7591</v>
      </c>
      <c r="F1902" s="45">
        <v>643431</v>
      </c>
      <c r="G1902" s="44">
        <v>7117</v>
      </c>
      <c r="H1902" s="45">
        <v>524379</v>
      </c>
      <c r="I1902" s="45">
        <v>84.762350151495198</v>
      </c>
      <c r="J1902" s="45">
        <v>73.679780806519602</v>
      </c>
      <c r="K1902" s="46">
        <v>-0.13074872658872472</v>
      </c>
    </row>
    <row r="1903" spans="1:11" x14ac:dyDescent="0.2">
      <c r="A1903" s="38" t="s">
        <v>7</v>
      </c>
      <c r="B1903" s="38" t="s">
        <v>7795</v>
      </c>
      <c r="C1903" s="43" t="s">
        <v>7796</v>
      </c>
      <c r="D1903" s="38" t="s">
        <v>12682</v>
      </c>
      <c r="G1903" s="44">
        <v>6</v>
      </c>
      <c r="H1903" s="45">
        <v>1290</v>
      </c>
      <c r="J1903" s="45">
        <v>215</v>
      </c>
    </row>
    <row r="1904" spans="1:11" x14ac:dyDescent="0.2">
      <c r="A1904" s="38" t="s">
        <v>7</v>
      </c>
      <c r="B1904" s="38" t="s">
        <v>7798</v>
      </c>
      <c r="C1904" s="43" t="s">
        <v>7799</v>
      </c>
      <c r="D1904" s="38" t="s">
        <v>12682</v>
      </c>
      <c r="G1904" s="44">
        <v>8</v>
      </c>
      <c r="H1904" s="45">
        <v>2832</v>
      </c>
      <c r="J1904" s="45">
        <v>354</v>
      </c>
    </row>
    <row r="1905" spans="1:11" x14ac:dyDescent="0.2">
      <c r="A1905" s="38" t="s">
        <v>7</v>
      </c>
      <c r="B1905" s="38" t="s">
        <v>7807</v>
      </c>
      <c r="C1905" s="43" t="s">
        <v>7808</v>
      </c>
      <c r="D1905" s="38" t="s">
        <v>12682</v>
      </c>
      <c r="G1905" s="44">
        <v>3</v>
      </c>
      <c r="H1905" s="45">
        <v>1499</v>
      </c>
      <c r="J1905" s="45">
        <v>499.66666666666669</v>
      </c>
    </row>
    <row r="1906" spans="1:11" x14ac:dyDescent="0.2">
      <c r="A1906" s="38" t="s">
        <v>7</v>
      </c>
      <c r="B1906" s="38" t="s">
        <v>7810</v>
      </c>
      <c r="C1906" s="43" t="s">
        <v>7811</v>
      </c>
      <c r="D1906" s="38" t="s">
        <v>12657</v>
      </c>
      <c r="E1906" s="44">
        <v>41</v>
      </c>
      <c r="F1906" s="45">
        <v>1043</v>
      </c>
      <c r="G1906" s="44">
        <v>8</v>
      </c>
      <c r="H1906" s="45">
        <v>216</v>
      </c>
      <c r="I1906" s="45">
        <v>25.439024390243901</v>
      </c>
      <c r="J1906" s="45">
        <v>27</v>
      </c>
      <c r="K1906" s="46">
        <v>6.1361457334611756E-2</v>
      </c>
    </row>
    <row r="1907" spans="1:11" x14ac:dyDescent="0.2">
      <c r="A1907" s="38" t="s">
        <v>7</v>
      </c>
      <c r="B1907" s="38" t="s">
        <v>7813</v>
      </c>
      <c r="C1907" s="43" t="s">
        <v>7814</v>
      </c>
      <c r="D1907" s="38" t="s">
        <v>12657</v>
      </c>
      <c r="E1907" s="44">
        <v>5750</v>
      </c>
      <c r="F1907" s="45">
        <v>122462</v>
      </c>
      <c r="G1907" s="44">
        <v>5568</v>
      </c>
      <c r="H1907" s="45">
        <v>101616</v>
      </c>
      <c r="I1907" s="45">
        <v>21.297739130434781</v>
      </c>
      <c r="J1907" s="45">
        <v>18.25</v>
      </c>
      <c r="K1907" s="46">
        <v>-0.14310153353693386</v>
      </c>
    </row>
    <row r="1908" spans="1:11" x14ac:dyDescent="0.2">
      <c r="A1908" s="38" t="s">
        <v>7</v>
      </c>
      <c r="B1908" s="38" t="s">
        <v>7816</v>
      </c>
      <c r="C1908" s="43" t="s">
        <v>7817</v>
      </c>
      <c r="D1908" s="38" t="s">
        <v>12657</v>
      </c>
      <c r="E1908" s="44">
        <v>826</v>
      </c>
      <c r="F1908" s="45">
        <v>13905</v>
      </c>
      <c r="G1908" s="44">
        <v>1542</v>
      </c>
      <c r="H1908" s="45">
        <v>20544</v>
      </c>
      <c r="I1908" s="45">
        <v>16.834140435835351</v>
      </c>
      <c r="J1908" s="45">
        <v>13.32295719844358</v>
      </c>
      <c r="K1908" s="46">
        <v>-0.20857514232906169</v>
      </c>
    </row>
    <row r="1909" spans="1:11" x14ac:dyDescent="0.2">
      <c r="A1909" s="38" t="s">
        <v>7</v>
      </c>
      <c r="B1909" s="38" t="s">
        <v>7819</v>
      </c>
      <c r="C1909" s="43" t="s">
        <v>7820</v>
      </c>
      <c r="D1909" s="38" t="s">
        <v>12657</v>
      </c>
      <c r="E1909" s="44">
        <v>4</v>
      </c>
      <c r="F1909" s="45">
        <v>166</v>
      </c>
      <c r="G1909" s="44">
        <v>6</v>
      </c>
      <c r="H1909" s="45">
        <v>258</v>
      </c>
      <c r="I1909" s="45">
        <v>41.5</v>
      </c>
      <c r="J1909" s="45">
        <v>43</v>
      </c>
      <c r="K1909" s="46">
        <v>3.614457831325301E-2</v>
      </c>
    </row>
    <row r="1910" spans="1:11" x14ac:dyDescent="0.2">
      <c r="A1910" s="38" t="s">
        <v>7</v>
      </c>
      <c r="B1910" s="38" t="s">
        <v>7822</v>
      </c>
      <c r="C1910" s="43" t="s">
        <v>7823</v>
      </c>
      <c r="D1910" s="38" t="s">
        <v>12657</v>
      </c>
      <c r="E1910" s="44">
        <v>1194</v>
      </c>
      <c r="F1910" s="45">
        <v>42834</v>
      </c>
      <c r="G1910" s="44">
        <v>1534</v>
      </c>
      <c r="H1910" s="45">
        <v>46503</v>
      </c>
      <c r="I1910" s="45">
        <v>35.874371859296481</v>
      </c>
      <c r="J1910" s="45">
        <v>30.314863102998697</v>
      </c>
      <c r="K1910" s="46">
        <v>-0.15497159861370768</v>
      </c>
    </row>
    <row r="1911" spans="1:11" x14ac:dyDescent="0.2">
      <c r="A1911" s="38" t="s">
        <v>7</v>
      </c>
      <c r="B1911" s="38" t="s">
        <v>7825</v>
      </c>
      <c r="C1911" s="43" t="s">
        <v>7826</v>
      </c>
      <c r="D1911" s="38" t="s">
        <v>12657</v>
      </c>
      <c r="E1911" s="44">
        <v>112</v>
      </c>
      <c r="F1911" s="45">
        <v>5632</v>
      </c>
      <c r="G1911" s="44">
        <v>95</v>
      </c>
      <c r="H1911" s="45">
        <v>4840</v>
      </c>
      <c r="I1911" s="45">
        <v>50.285714285714285</v>
      </c>
      <c r="J1911" s="45">
        <v>50.94736842105263</v>
      </c>
      <c r="K1911" s="46">
        <v>1.3157894736842096E-2</v>
      </c>
    </row>
    <row r="1912" spans="1:11" x14ac:dyDescent="0.2">
      <c r="A1912" s="38" t="s">
        <v>7</v>
      </c>
      <c r="B1912" s="38" t="s">
        <v>12878</v>
      </c>
      <c r="C1912" s="43" t="s">
        <v>12879</v>
      </c>
      <c r="D1912" s="38" t="s">
        <v>12880</v>
      </c>
      <c r="E1912" s="44">
        <v>4201</v>
      </c>
      <c r="F1912" s="45">
        <v>780816</v>
      </c>
      <c r="G1912" s="44">
        <v>1469</v>
      </c>
      <c r="H1912" s="45">
        <v>279110</v>
      </c>
      <c r="I1912" s="45">
        <v>185.86431801951917</v>
      </c>
      <c r="J1912" s="45">
        <v>190</v>
      </c>
      <c r="K1912" s="46">
        <v>2.2251080920472871E-2</v>
      </c>
    </row>
    <row r="1913" spans="1:11" x14ac:dyDescent="0.2">
      <c r="A1913" s="38" t="s">
        <v>7</v>
      </c>
      <c r="B1913" s="38" t="s">
        <v>7831</v>
      </c>
      <c r="C1913" s="43" t="s">
        <v>7832</v>
      </c>
      <c r="D1913" s="38" t="s">
        <v>12881</v>
      </c>
      <c r="E1913" s="44">
        <v>488</v>
      </c>
      <c r="F1913" s="45">
        <v>105691</v>
      </c>
      <c r="G1913" s="44">
        <v>326</v>
      </c>
      <c r="H1913" s="45">
        <v>63822</v>
      </c>
      <c r="I1913" s="45">
        <v>216.57991803278688</v>
      </c>
      <c r="J1913" s="45">
        <v>195.77300613496934</v>
      </c>
      <c r="K1913" s="46">
        <v>-9.607036555747378E-2</v>
      </c>
    </row>
    <row r="1914" spans="1:11" x14ac:dyDescent="0.2">
      <c r="A1914" s="38" t="s">
        <v>7</v>
      </c>
      <c r="B1914" s="38" t="s">
        <v>7834</v>
      </c>
      <c r="C1914" s="43" t="s">
        <v>7835</v>
      </c>
      <c r="D1914" s="38" t="s">
        <v>12657</v>
      </c>
      <c r="E1914" s="44">
        <v>1</v>
      </c>
      <c r="F1914" s="45">
        <v>3</v>
      </c>
      <c r="G1914" s="44">
        <v>0</v>
      </c>
      <c r="H1914" s="45">
        <v>0</v>
      </c>
      <c r="I1914" s="45">
        <v>3</v>
      </c>
    </row>
    <row r="1915" spans="1:11" x14ac:dyDescent="0.2">
      <c r="A1915" s="38" t="s">
        <v>7</v>
      </c>
      <c r="B1915" s="38" t="s">
        <v>7837</v>
      </c>
      <c r="C1915" s="43" t="s">
        <v>7838</v>
      </c>
      <c r="D1915" s="38" t="s">
        <v>12657</v>
      </c>
      <c r="E1915" s="44">
        <v>324</v>
      </c>
      <c r="F1915" s="45">
        <v>13917</v>
      </c>
      <c r="G1915" s="44">
        <v>852</v>
      </c>
      <c r="H1915" s="45">
        <v>11371</v>
      </c>
      <c r="I1915" s="45">
        <v>42.953703703703702</v>
      </c>
      <c r="J1915" s="45">
        <v>13.3462441314554</v>
      </c>
      <c r="K1915" s="46">
        <v>-0.68928769859944317</v>
      </c>
    </row>
    <row r="1916" spans="1:11" x14ac:dyDescent="0.2">
      <c r="A1916" s="38" t="s">
        <v>7</v>
      </c>
      <c r="B1916" s="38" t="s">
        <v>7840</v>
      </c>
      <c r="C1916" s="43" t="s">
        <v>7841</v>
      </c>
      <c r="D1916" s="38" t="s">
        <v>12882</v>
      </c>
      <c r="G1916" s="44">
        <v>32500</v>
      </c>
      <c r="H1916" s="45">
        <v>59475</v>
      </c>
      <c r="J1916" s="45">
        <v>1.83</v>
      </c>
    </row>
    <row r="1917" spans="1:11" x14ac:dyDescent="0.2">
      <c r="A1917" s="38" t="s">
        <v>7</v>
      </c>
      <c r="B1917" s="38" t="s">
        <v>7843</v>
      </c>
      <c r="C1917" s="43" t="s">
        <v>7844</v>
      </c>
      <c r="D1917" s="38" t="s">
        <v>12883</v>
      </c>
      <c r="G1917" s="44">
        <v>65</v>
      </c>
      <c r="H1917" s="45">
        <v>2164</v>
      </c>
      <c r="J1917" s="45">
        <v>33.292307692307695</v>
      </c>
    </row>
    <row r="1918" spans="1:11" x14ac:dyDescent="0.2">
      <c r="A1918" s="38" t="s">
        <v>7</v>
      </c>
      <c r="B1918" s="38" t="s">
        <v>7846</v>
      </c>
      <c r="C1918" s="43" t="s">
        <v>7847</v>
      </c>
      <c r="D1918" s="38" t="s">
        <v>12657</v>
      </c>
      <c r="E1918" s="44">
        <v>291</v>
      </c>
      <c r="F1918" s="45">
        <v>10719</v>
      </c>
      <c r="G1918" s="44">
        <v>1092</v>
      </c>
      <c r="H1918" s="45">
        <v>26868</v>
      </c>
      <c r="I1918" s="45">
        <v>36.835051546391753</v>
      </c>
      <c r="J1918" s="45">
        <v>24.604395604395606</v>
      </c>
      <c r="K1918" s="46">
        <v>-0.33203851843650328</v>
      </c>
    </row>
    <row r="1919" spans="1:11" x14ac:dyDescent="0.2">
      <c r="A1919" s="38" t="s">
        <v>7</v>
      </c>
      <c r="B1919" s="38" t="s">
        <v>7849</v>
      </c>
      <c r="C1919" s="43" t="s">
        <v>7850</v>
      </c>
      <c r="D1919" s="38" t="s">
        <v>12657</v>
      </c>
      <c r="E1919" s="44">
        <v>26</v>
      </c>
      <c r="F1919" s="45">
        <v>962</v>
      </c>
      <c r="G1919" s="44">
        <v>10</v>
      </c>
      <c r="H1919" s="45">
        <v>370</v>
      </c>
      <c r="I1919" s="45">
        <v>37</v>
      </c>
      <c r="J1919" s="45">
        <v>37</v>
      </c>
      <c r="K1919" s="46">
        <v>0</v>
      </c>
    </row>
    <row r="1920" spans="1:11" x14ac:dyDescent="0.2">
      <c r="A1920" s="38" t="s">
        <v>7</v>
      </c>
      <c r="B1920" s="38" t="s">
        <v>7852</v>
      </c>
      <c r="C1920" s="43" t="s">
        <v>7853</v>
      </c>
      <c r="D1920" s="38" t="s">
        <v>12884</v>
      </c>
      <c r="E1920" s="44">
        <v>10</v>
      </c>
      <c r="F1920" s="45">
        <v>1930</v>
      </c>
      <c r="G1920" s="44">
        <v>4</v>
      </c>
      <c r="H1920" s="45">
        <v>624</v>
      </c>
      <c r="I1920" s="45">
        <v>193</v>
      </c>
      <c r="J1920" s="45">
        <v>156</v>
      </c>
      <c r="K1920" s="46">
        <v>-0.19170984455958548</v>
      </c>
    </row>
    <row r="1921" spans="1:11" x14ac:dyDescent="0.2">
      <c r="A1921" s="38" t="s">
        <v>7</v>
      </c>
      <c r="B1921" s="38" t="s">
        <v>7855</v>
      </c>
      <c r="C1921" s="43" t="s">
        <v>7856</v>
      </c>
      <c r="D1921" s="38" t="s">
        <v>12885</v>
      </c>
      <c r="E1921" s="44">
        <v>9313</v>
      </c>
      <c r="F1921" s="45">
        <v>1463861</v>
      </c>
      <c r="G1921" s="44">
        <v>11418</v>
      </c>
      <c r="H1921" s="45">
        <v>1461934</v>
      </c>
      <c r="I1921" s="45">
        <v>157.18468807043917</v>
      </c>
      <c r="J1921" s="45">
        <v>128.03765983534771</v>
      </c>
      <c r="K1921" s="46">
        <v>-0.18543172743409841</v>
      </c>
    </row>
    <row r="1922" spans="1:11" x14ac:dyDescent="0.2">
      <c r="A1922" s="38" t="s">
        <v>7</v>
      </c>
      <c r="B1922" s="38" t="s">
        <v>7858</v>
      </c>
      <c r="C1922" s="43" t="s">
        <v>7859</v>
      </c>
      <c r="D1922" s="38" t="s">
        <v>12657</v>
      </c>
      <c r="G1922" s="44">
        <v>142</v>
      </c>
      <c r="H1922" s="45">
        <v>1510</v>
      </c>
      <c r="J1922" s="45">
        <v>10.633802816901408</v>
      </c>
    </row>
    <row r="1923" spans="1:11" x14ac:dyDescent="0.2">
      <c r="A1923" s="38" t="s">
        <v>7</v>
      </c>
      <c r="B1923" s="38" t="s">
        <v>7864</v>
      </c>
      <c r="C1923" s="43" t="s">
        <v>7865</v>
      </c>
      <c r="D1923" s="38" t="s">
        <v>12657</v>
      </c>
      <c r="E1923" s="44">
        <v>86</v>
      </c>
      <c r="F1923" s="45">
        <v>3187</v>
      </c>
      <c r="G1923" s="44">
        <v>94</v>
      </c>
      <c r="H1923" s="45">
        <v>3444</v>
      </c>
      <c r="I1923" s="45">
        <v>37.058139534883722</v>
      </c>
      <c r="J1923" s="45">
        <v>36.638297872340424</v>
      </c>
      <c r="K1923" s="46">
        <v>-1.1329269839574415E-2</v>
      </c>
    </row>
    <row r="1924" spans="1:11" x14ac:dyDescent="0.2">
      <c r="A1924" s="38" t="s">
        <v>7</v>
      </c>
      <c r="B1924" s="38" t="s">
        <v>7867</v>
      </c>
      <c r="C1924" s="43" t="s">
        <v>7868</v>
      </c>
      <c r="D1924" s="38" t="s">
        <v>12657</v>
      </c>
      <c r="E1924" s="44">
        <v>43</v>
      </c>
      <c r="F1924" s="45">
        <v>2199</v>
      </c>
      <c r="G1924" s="44">
        <v>120</v>
      </c>
      <c r="H1924" s="45">
        <v>6360</v>
      </c>
      <c r="I1924" s="45">
        <v>51.139534883720927</v>
      </c>
      <c r="J1924" s="45">
        <v>53</v>
      </c>
      <c r="K1924" s="46">
        <v>3.6380172805820891E-2</v>
      </c>
    </row>
    <row r="1925" spans="1:11" x14ac:dyDescent="0.2">
      <c r="A1925" s="38" t="s">
        <v>7</v>
      </c>
      <c r="B1925" s="38" t="s">
        <v>7873</v>
      </c>
      <c r="C1925" s="43" t="s">
        <v>7874</v>
      </c>
      <c r="D1925" s="38" t="s">
        <v>12885</v>
      </c>
      <c r="E1925" s="44">
        <v>615</v>
      </c>
      <c r="F1925" s="45">
        <v>225726</v>
      </c>
      <c r="G1925" s="44">
        <v>492</v>
      </c>
      <c r="H1925" s="45">
        <v>152601</v>
      </c>
      <c r="I1925" s="45">
        <v>367.03414634146344</v>
      </c>
      <c r="J1925" s="45">
        <v>310.16463414634148</v>
      </c>
      <c r="K1925" s="46">
        <v>-0.15494338268520241</v>
      </c>
    </row>
    <row r="1926" spans="1:11" x14ac:dyDescent="0.2">
      <c r="A1926" s="38" t="s">
        <v>7</v>
      </c>
      <c r="B1926" s="38" t="s">
        <v>7876</v>
      </c>
      <c r="C1926" s="43" t="s">
        <v>7877</v>
      </c>
      <c r="D1926" s="38" t="s">
        <v>12657</v>
      </c>
      <c r="E1926" s="44">
        <v>2082</v>
      </c>
      <c r="F1926" s="45">
        <v>131575</v>
      </c>
      <c r="G1926" s="44">
        <v>2676</v>
      </c>
      <c r="H1926" s="45">
        <v>131919</v>
      </c>
      <c r="I1926" s="45">
        <v>63.196445725264169</v>
      </c>
      <c r="J1926" s="45">
        <v>49.29708520179372</v>
      </c>
      <c r="K1926" s="46">
        <v>-0.21993895960376572</v>
      </c>
    </row>
    <row r="1927" spans="1:11" x14ac:dyDescent="0.2">
      <c r="A1927" s="38" t="s">
        <v>7</v>
      </c>
      <c r="B1927" s="38" t="s">
        <v>7879</v>
      </c>
      <c r="C1927" s="43" t="s">
        <v>7880</v>
      </c>
      <c r="D1927" s="38" t="s">
        <v>12657</v>
      </c>
      <c r="E1927" s="44">
        <v>1492</v>
      </c>
      <c r="F1927" s="45">
        <v>43824</v>
      </c>
      <c r="G1927" s="44">
        <v>2499</v>
      </c>
      <c r="H1927" s="45">
        <v>60336</v>
      </c>
      <c r="I1927" s="45">
        <v>29.372654155495979</v>
      </c>
      <c r="J1927" s="45">
        <v>24.144057623049221</v>
      </c>
      <c r="K1927" s="46">
        <v>-0.17800899111013516</v>
      </c>
    </row>
    <row r="1928" spans="1:11" x14ac:dyDescent="0.2">
      <c r="A1928" s="38" t="s">
        <v>7</v>
      </c>
      <c r="B1928" s="38" t="s">
        <v>7882</v>
      </c>
      <c r="C1928" s="43" t="s">
        <v>7883</v>
      </c>
      <c r="D1928" s="38" t="s">
        <v>12657</v>
      </c>
      <c r="E1928" s="44">
        <v>365</v>
      </c>
      <c r="F1928" s="45">
        <v>13504</v>
      </c>
      <c r="G1928" s="44">
        <v>293</v>
      </c>
      <c r="H1928" s="45">
        <v>11615</v>
      </c>
      <c r="I1928" s="45">
        <v>36.9972602739726</v>
      </c>
      <c r="J1928" s="45">
        <v>39.641638225255974</v>
      </c>
      <c r="K1928" s="46">
        <v>7.1474966840819887E-2</v>
      </c>
    </row>
    <row r="1929" spans="1:11" x14ac:dyDescent="0.2">
      <c r="A1929" s="38" t="s">
        <v>7</v>
      </c>
      <c r="B1929" s="38" t="s">
        <v>7885</v>
      </c>
      <c r="C1929" s="43" t="s">
        <v>7886</v>
      </c>
      <c r="D1929" s="38" t="s">
        <v>12657</v>
      </c>
      <c r="E1929" s="44">
        <v>54</v>
      </c>
      <c r="F1929" s="45">
        <v>2738</v>
      </c>
      <c r="G1929" s="44">
        <v>38</v>
      </c>
      <c r="H1929" s="45">
        <v>2676</v>
      </c>
      <c r="I1929" s="45">
        <v>50.703703703703702</v>
      </c>
      <c r="J1929" s="45">
        <v>70.421052631578945</v>
      </c>
      <c r="K1929" s="46">
        <v>0.38887393794932912</v>
      </c>
    </row>
    <row r="1930" spans="1:11" x14ac:dyDescent="0.2">
      <c r="A1930" s="38" t="s">
        <v>7</v>
      </c>
      <c r="B1930" s="38" t="s">
        <v>7888</v>
      </c>
      <c r="C1930" s="43" t="s">
        <v>7889</v>
      </c>
      <c r="D1930" s="38" t="s">
        <v>12657</v>
      </c>
      <c r="G1930" s="44">
        <v>63</v>
      </c>
      <c r="H1930" s="45">
        <v>126</v>
      </c>
      <c r="J1930" s="45">
        <v>2</v>
      </c>
    </row>
    <row r="1931" spans="1:11" x14ac:dyDescent="0.2">
      <c r="A1931" s="38" t="s">
        <v>7</v>
      </c>
      <c r="B1931" s="38" t="s">
        <v>7894</v>
      </c>
      <c r="C1931" s="43" t="s">
        <v>7895</v>
      </c>
      <c r="D1931" s="38" t="s">
        <v>12886</v>
      </c>
      <c r="E1931" s="44">
        <v>100</v>
      </c>
      <c r="F1931" s="45">
        <v>12482</v>
      </c>
      <c r="G1931" s="44">
        <v>269</v>
      </c>
      <c r="H1931" s="45">
        <v>34499</v>
      </c>
      <c r="I1931" s="45">
        <v>124.82</v>
      </c>
      <c r="J1931" s="45">
        <v>128.24907063197026</v>
      </c>
      <c r="K1931" s="46">
        <v>2.7472124915640623E-2</v>
      </c>
    </row>
    <row r="1932" spans="1:11" x14ac:dyDescent="0.2">
      <c r="A1932" s="38" t="s">
        <v>7</v>
      </c>
      <c r="B1932" s="38" t="s">
        <v>7897</v>
      </c>
      <c r="C1932" s="43" t="s">
        <v>7898</v>
      </c>
      <c r="D1932" s="38" t="s">
        <v>12657</v>
      </c>
      <c r="G1932" s="44">
        <v>695</v>
      </c>
      <c r="H1932" s="45">
        <v>13231.04</v>
      </c>
      <c r="J1932" s="45">
        <v>19.037467625899282</v>
      </c>
    </row>
    <row r="1933" spans="1:11" x14ac:dyDescent="0.2">
      <c r="A1933" s="38" t="s">
        <v>7</v>
      </c>
      <c r="B1933" s="38" t="s">
        <v>7903</v>
      </c>
      <c r="C1933" s="43" t="s">
        <v>7904</v>
      </c>
      <c r="D1933" s="38" t="s">
        <v>12682</v>
      </c>
      <c r="E1933" s="44">
        <v>21</v>
      </c>
      <c r="F1933" s="45">
        <v>10860</v>
      </c>
      <c r="G1933" s="44">
        <v>13</v>
      </c>
      <c r="H1933" s="45">
        <v>7858</v>
      </c>
      <c r="I1933" s="45">
        <v>517.14285714285711</v>
      </c>
      <c r="J1933" s="45">
        <v>604.46153846153845</v>
      </c>
      <c r="K1933" s="46">
        <v>0.16884827879303024</v>
      </c>
    </row>
    <row r="1934" spans="1:11" x14ac:dyDescent="0.2">
      <c r="A1934" s="38" t="s">
        <v>7</v>
      </c>
      <c r="B1934" s="38" t="s">
        <v>7906</v>
      </c>
      <c r="C1934" s="43" t="s">
        <v>7907</v>
      </c>
      <c r="D1934" s="38" t="s">
        <v>12682</v>
      </c>
      <c r="E1934" s="44">
        <v>1835</v>
      </c>
      <c r="F1934" s="45">
        <v>97882</v>
      </c>
      <c r="G1934" s="44">
        <v>2860</v>
      </c>
      <c r="H1934" s="45">
        <v>157644</v>
      </c>
      <c r="I1934" s="45">
        <v>53.341689373297001</v>
      </c>
      <c r="J1934" s="45">
        <v>55.120279720279719</v>
      </c>
      <c r="K1934" s="46">
        <v>3.3343344912377011E-2</v>
      </c>
    </row>
    <row r="1935" spans="1:11" x14ac:dyDescent="0.2">
      <c r="A1935" s="38" t="s">
        <v>7</v>
      </c>
      <c r="B1935" s="38" t="s">
        <v>7915</v>
      </c>
      <c r="C1935" s="43" t="s">
        <v>7916</v>
      </c>
      <c r="D1935" s="38" t="s">
        <v>12682</v>
      </c>
      <c r="E1935" s="44">
        <v>16</v>
      </c>
      <c r="F1935" s="45">
        <v>3929</v>
      </c>
      <c r="G1935" s="44">
        <v>4</v>
      </c>
      <c r="H1935" s="45">
        <v>1044</v>
      </c>
      <c r="I1935" s="45">
        <v>245.5625</v>
      </c>
      <c r="J1935" s="45">
        <v>261</v>
      </c>
      <c r="K1935" s="46">
        <v>6.286586917790786E-2</v>
      </c>
    </row>
    <row r="1936" spans="1:11" x14ac:dyDescent="0.2">
      <c r="A1936" s="38" t="s">
        <v>7</v>
      </c>
      <c r="B1936" s="38" t="s">
        <v>7918</v>
      </c>
      <c r="C1936" s="43" t="s">
        <v>7919</v>
      </c>
      <c r="D1936" s="38" t="s">
        <v>12682</v>
      </c>
      <c r="E1936" s="44">
        <v>968</v>
      </c>
      <c r="F1936" s="45">
        <v>188582</v>
      </c>
      <c r="G1936" s="44">
        <v>851</v>
      </c>
      <c r="H1936" s="45">
        <v>144653</v>
      </c>
      <c r="I1936" s="45">
        <v>194.81611570247935</v>
      </c>
      <c r="J1936" s="45">
        <v>169.98002350176264</v>
      </c>
      <c r="K1936" s="46">
        <v>-0.127484793088915</v>
      </c>
    </row>
    <row r="1937" spans="1:11" x14ac:dyDescent="0.2">
      <c r="A1937" s="38" t="s">
        <v>7</v>
      </c>
      <c r="B1937" s="38" t="s">
        <v>7921</v>
      </c>
      <c r="C1937" s="43" t="s">
        <v>7922</v>
      </c>
      <c r="D1937" s="38" t="s">
        <v>12887</v>
      </c>
      <c r="E1937" s="44">
        <v>33</v>
      </c>
      <c r="F1937" s="45">
        <v>2935</v>
      </c>
      <c r="G1937" s="44">
        <v>18</v>
      </c>
      <c r="H1937" s="45">
        <v>1620</v>
      </c>
      <c r="I1937" s="45">
        <v>88.939393939393938</v>
      </c>
      <c r="J1937" s="45">
        <v>90</v>
      </c>
      <c r="K1937" s="46">
        <v>1.1925042589437839E-2</v>
      </c>
    </row>
    <row r="1938" spans="1:11" x14ac:dyDescent="0.2">
      <c r="A1938" s="38" t="s">
        <v>7</v>
      </c>
      <c r="B1938" s="38" t="s">
        <v>7924</v>
      </c>
      <c r="C1938" s="43" t="s">
        <v>7925</v>
      </c>
      <c r="D1938" s="38" t="s">
        <v>12682</v>
      </c>
      <c r="E1938" s="44">
        <v>8287</v>
      </c>
      <c r="F1938" s="45">
        <v>542564</v>
      </c>
      <c r="G1938" s="44">
        <v>10695</v>
      </c>
      <c r="H1938" s="45">
        <v>583189</v>
      </c>
      <c r="I1938" s="45">
        <v>65.471702666827568</v>
      </c>
      <c r="J1938" s="45">
        <v>54.529125759700797</v>
      </c>
      <c r="K1938" s="46">
        <v>-0.1671344483403977</v>
      </c>
    </row>
    <row r="1939" spans="1:11" x14ac:dyDescent="0.2">
      <c r="A1939" s="38" t="s">
        <v>7</v>
      </c>
      <c r="B1939" s="38" t="s">
        <v>7927</v>
      </c>
      <c r="C1939" s="43" t="s">
        <v>7928</v>
      </c>
      <c r="D1939" s="38" t="s">
        <v>12887</v>
      </c>
      <c r="E1939" s="44">
        <v>8</v>
      </c>
      <c r="F1939" s="45">
        <v>1930</v>
      </c>
      <c r="G1939" s="44">
        <v>8</v>
      </c>
      <c r="H1939" s="45">
        <v>1820</v>
      </c>
      <c r="I1939" s="45">
        <v>241.25</v>
      </c>
      <c r="J1939" s="45">
        <v>227.5</v>
      </c>
      <c r="K1939" s="46">
        <v>-5.6994818652849742E-2</v>
      </c>
    </row>
    <row r="1940" spans="1:11" x14ac:dyDescent="0.2">
      <c r="A1940" s="38" t="s">
        <v>7</v>
      </c>
      <c r="B1940" s="38" t="s">
        <v>7930</v>
      </c>
      <c r="C1940" s="43" t="s">
        <v>7931</v>
      </c>
      <c r="D1940" s="38" t="s">
        <v>12887</v>
      </c>
      <c r="G1940" s="44">
        <v>2</v>
      </c>
      <c r="H1940" s="45">
        <v>2970</v>
      </c>
      <c r="J1940" s="45">
        <v>1485</v>
      </c>
    </row>
    <row r="1941" spans="1:11" x14ac:dyDescent="0.2">
      <c r="A1941" s="38" t="s">
        <v>7</v>
      </c>
      <c r="B1941" s="38" t="s">
        <v>7942</v>
      </c>
      <c r="C1941" s="43" t="s">
        <v>7943</v>
      </c>
      <c r="D1941" s="38" t="s">
        <v>12682</v>
      </c>
      <c r="G1941" s="44">
        <v>4</v>
      </c>
      <c r="H1941" s="45">
        <v>582</v>
      </c>
      <c r="J1941" s="45">
        <v>145.5</v>
      </c>
    </row>
    <row r="1942" spans="1:11" x14ac:dyDescent="0.2">
      <c r="A1942" s="38" t="s">
        <v>7</v>
      </c>
      <c r="B1942" s="38" t="s">
        <v>7945</v>
      </c>
      <c r="C1942" s="43" t="s">
        <v>7946</v>
      </c>
      <c r="D1942" s="38" t="s">
        <v>12682</v>
      </c>
      <c r="G1942" s="44">
        <v>1</v>
      </c>
      <c r="H1942" s="45">
        <v>256</v>
      </c>
      <c r="J1942" s="45">
        <v>256</v>
      </c>
    </row>
    <row r="1943" spans="1:11" x14ac:dyDescent="0.2">
      <c r="A1943" s="38" t="s">
        <v>7</v>
      </c>
      <c r="B1943" s="38" t="s">
        <v>7948</v>
      </c>
      <c r="C1943" s="43" t="s">
        <v>7949</v>
      </c>
      <c r="D1943" s="38" t="s">
        <v>12682</v>
      </c>
      <c r="E1943" s="44">
        <v>4</v>
      </c>
      <c r="F1943" s="45">
        <v>1696</v>
      </c>
      <c r="G1943" s="44">
        <v>17</v>
      </c>
      <c r="H1943" s="45">
        <v>6060</v>
      </c>
      <c r="I1943" s="45">
        <v>424</v>
      </c>
      <c r="J1943" s="45">
        <v>356.47058823529414</v>
      </c>
      <c r="K1943" s="46">
        <v>-0.15926748057713644</v>
      </c>
    </row>
    <row r="1944" spans="1:11" x14ac:dyDescent="0.2">
      <c r="A1944" s="38" t="s">
        <v>7</v>
      </c>
      <c r="B1944" s="38" t="s">
        <v>7954</v>
      </c>
      <c r="C1944" s="43" t="s">
        <v>7955</v>
      </c>
      <c r="D1944" s="38" t="s">
        <v>12682</v>
      </c>
      <c r="E1944" s="44">
        <v>2</v>
      </c>
      <c r="F1944" s="45">
        <v>894</v>
      </c>
      <c r="G1944" s="44">
        <v>0</v>
      </c>
      <c r="H1944" s="45">
        <v>0</v>
      </c>
      <c r="I1944" s="45">
        <v>447</v>
      </c>
    </row>
    <row r="1945" spans="1:11" x14ac:dyDescent="0.2">
      <c r="A1945" s="38" t="s">
        <v>7</v>
      </c>
      <c r="B1945" s="38" t="s">
        <v>7957</v>
      </c>
      <c r="C1945" s="43" t="s">
        <v>7958</v>
      </c>
      <c r="D1945" s="38" t="s">
        <v>12682</v>
      </c>
      <c r="E1945" s="44">
        <v>27</v>
      </c>
      <c r="F1945" s="45">
        <v>17214</v>
      </c>
      <c r="G1945" s="44">
        <v>14</v>
      </c>
      <c r="H1945" s="45">
        <v>9100</v>
      </c>
      <c r="I1945" s="45">
        <v>637.55555555555554</v>
      </c>
      <c r="J1945" s="45">
        <v>650</v>
      </c>
      <c r="K1945" s="46">
        <v>1.9518996165911486E-2</v>
      </c>
    </row>
    <row r="1946" spans="1:11" x14ac:dyDescent="0.2">
      <c r="A1946" s="38" t="s">
        <v>7</v>
      </c>
      <c r="B1946" s="38" t="s">
        <v>7965</v>
      </c>
      <c r="C1946" s="43" t="s">
        <v>7966</v>
      </c>
      <c r="D1946" s="38" t="s">
        <v>12682</v>
      </c>
      <c r="E1946" s="44">
        <v>10</v>
      </c>
      <c r="F1946" s="45">
        <v>1630</v>
      </c>
      <c r="G1946" s="44">
        <v>32</v>
      </c>
      <c r="H1946" s="45">
        <v>4327</v>
      </c>
      <c r="I1946" s="45">
        <v>163</v>
      </c>
      <c r="J1946" s="45">
        <v>135.21875</v>
      </c>
      <c r="K1946" s="46">
        <v>-0.17043711656441718</v>
      </c>
    </row>
    <row r="1947" spans="1:11" x14ac:dyDescent="0.2">
      <c r="A1947" s="38" t="s">
        <v>7</v>
      </c>
      <c r="B1947" s="38" t="s">
        <v>7968</v>
      </c>
      <c r="C1947" s="43" t="s">
        <v>7969</v>
      </c>
      <c r="D1947" s="38" t="s">
        <v>12682</v>
      </c>
      <c r="G1947" s="44">
        <v>2</v>
      </c>
      <c r="H1947" s="45">
        <v>862</v>
      </c>
      <c r="J1947" s="45">
        <v>431</v>
      </c>
    </row>
    <row r="1948" spans="1:11" x14ac:dyDescent="0.2">
      <c r="A1948" s="38" t="s">
        <v>7</v>
      </c>
      <c r="B1948" s="38" t="s">
        <v>7971</v>
      </c>
      <c r="C1948" s="43" t="s">
        <v>7972</v>
      </c>
      <c r="D1948" s="38" t="s">
        <v>12226</v>
      </c>
      <c r="G1948" s="44">
        <v>2</v>
      </c>
      <c r="H1948" s="45">
        <v>956</v>
      </c>
      <c r="J1948" s="45">
        <v>478</v>
      </c>
    </row>
    <row r="1949" spans="1:11" x14ac:dyDescent="0.2">
      <c r="A1949" s="38" t="s">
        <v>7</v>
      </c>
      <c r="B1949" s="38" t="s">
        <v>7974</v>
      </c>
      <c r="C1949" s="43" t="s">
        <v>7975</v>
      </c>
      <c r="D1949" s="38" t="s">
        <v>12682</v>
      </c>
      <c r="E1949" s="44">
        <v>3015</v>
      </c>
      <c r="F1949" s="45">
        <v>254328</v>
      </c>
      <c r="G1949" s="44">
        <v>3835</v>
      </c>
      <c r="H1949" s="45">
        <v>291662</v>
      </c>
      <c r="I1949" s="45">
        <v>84.354228855721388</v>
      </c>
      <c r="J1949" s="45">
        <v>76.052672750977834</v>
      </c>
      <c r="K1949" s="46">
        <v>-9.841304007345561E-2</v>
      </c>
    </row>
    <row r="1950" spans="1:11" x14ac:dyDescent="0.2">
      <c r="A1950" s="38" t="s">
        <v>7</v>
      </c>
      <c r="B1950" s="38" t="s">
        <v>7985</v>
      </c>
      <c r="C1950" s="43" t="s">
        <v>7986</v>
      </c>
      <c r="D1950" s="38" t="s">
        <v>12658</v>
      </c>
      <c r="E1950" s="44">
        <v>6</v>
      </c>
      <c r="F1950" s="45">
        <v>2482</v>
      </c>
      <c r="G1950" s="44">
        <v>3</v>
      </c>
      <c r="H1950" s="45">
        <v>1272</v>
      </c>
      <c r="I1950" s="45">
        <v>413.66666666666669</v>
      </c>
      <c r="J1950" s="45">
        <v>424</v>
      </c>
      <c r="K1950" s="46">
        <v>2.4979854955680857E-2</v>
      </c>
    </row>
    <row r="1951" spans="1:11" x14ac:dyDescent="0.2">
      <c r="A1951" s="38" t="s">
        <v>7</v>
      </c>
      <c r="B1951" s="38" t="s">
        <v>7991</v>
      </c>
      <c r="C1951" s="43" t="s">
        <v>7992</v>
      </c>
      <c r="D1951" s="38" t="s">
        <v>12682</v>
      </c>
      <c r="G1951" s="44">
        <v>16</v>
      </c>
      <c r="H1951" s="45">
        <v>4009</v>
      </c>
      <c r="J1951" s="45">
        <v>250.5625</v>
      </c>
    </row>
    <row r="1952" spans="1:11" x14ac:dyDescent="0.2">
      <c r="A1952" s="38" t="s">
        <v>7</v>
      </c>
      <c r="B1952" s="38" t="s">
        <v>7994</v>
      </c>
      <c r="C1952" s="43" t="s">
        <v>7995</v>
      </c>
      <c r="D1952" s="38" t="s">
        <v>12682</v>
      </c>
      <c r="G1952" s="44">
        <v>1</v>
      </c>
      <c r="H1952" s="45">
        <v>29</v>
      </c>
      <c r="J1952" s="45">
        <v>29</v>
      </c>
    </row>
    <row r="1953" spans="1:11" x14ac:dyDescent="0.2">
      <c r="A1953" s="38" t="s">
        <v>7</v>
      </c>
      <c r="B1953" s="38" t="s">
        <v>8000</v>
      </c>
      <c r="C1953" s="43" t="s">
        <v>8001</v>
      </c>
      <c r="D1953" s="38" t="s">
        <v>12682</v>
      </c>
      <c r="G1953" s="44">
        <v>1</v>
      </c>
      <c r="H1953" s="45">
        <v>216</v>
      </c>
      <c r="J1953" s="45">
        <v>216</v>
      </c>
    </row>
    <row r="1954" spans="1:11" x14ac:dyDescent="0.2">
      <c r="A1954" s="38" t="s">
        <v>7</v>
      </c>
      <c r="B1954" s="38" t="s">
        <v>8003</v>
      </c>
      <c r="C1954" s="43" t="s">
        <v>8004</v>
      </c>
      <c r="D1954" s="38" t="s">
        <v>12682</v>
      </c>
      <c r="G1954" s="44">
        <v>27</v>
      </c>
      <c r="H1954" s="45">
        <v>1257</v>
      </c>
      <c r="J1954" s="45">
        <v>46.555555555555557</v>
      </c>
    </row>
    <row r="1955" spans="1:11" x14ac:dyDescent="0.2">
      <c r="A1955" s="38" t="s">
        <v>7</v>
      </c>
      <c r="B1955" s="38" t="s">
        <v>8006</v>
      </c>
      <c r="C1955" s="43" t="s">
        <v>8007</v>
      </c>
      <c r="D1955" s="38" t="s">
        <v>12682</v>
      </c>
      <c r="E1955" s="44">
        <v>1</v>
      </c>
      <c r="F1955" s="45">
        <v>2129</v>
      </c>
      <c r="G1955" s="44">
        <v>0</v>
      </c>
      <c r="H1955" s="45">
        <v>0</v>
      </c>
      <c r="I1955" s="45">
        <v>2129</v>
      </c>
    </row>
    <row r="1956" spans="1:11" x14ac:dyDescent="0.2">
      <c r="A1956" s="38" t="s">
        <v>7</v>
      </c>
      <c r="B1956" s="38" t="s">
        <v>8009</v>
      </c>
      <c r="C1956" s="43" t="s">
        <v>8010</v>
      </c>
      <c r="D1956" s="38" t="s">
        <v>12682</v>
      </c>
      <c r="G1956" s="44">
        <v>15</v>
      </c>
      <c r="H1956" s="45">
        <v>1539</v>
      </c>
      <c r="J1956" s="45">
        <v>102.6</v>
      </c>
    </row>
    <row r="1957" spans="1:11" x14ac:dyDescent="0.2">
      <c r="A1957" s="38" t="s">
        <v>7</v>
      </c>
      <c r="B1957" s="38" t="s">
        <v>8012</v>
      </c>
      <c r="C1957" s="43" t="s">
        <v>8013</v>
      </c>
      <c r="D1957" s="38" t="s">
        <v>12682</v>
      </c>
      <c r="G1957" s="44">
        <v>1</v>
      </c>
      <c r="H1957" s="45">
        <v>137</v>
      </c>
      <c r="J1957" s="45">
        <v>137</v>
      </c>
    </row>
    <row r="1958" spans="1:11" x14ac:dyDescent="0.2">
      <c r="A1958" s="38" t="s">
        <v>7</v>
      </c>
      <c r="B1958" s="38" t="s">
        <v>8018</v>
      </c>
      <c r="C1958" s="43" t="s">
        <v>8019</v>
      </c>
      <c r="D1958" s="38" t="s">
        <v>12226</v>
      </c>
      <c r="G1958" s="44">
        <v>14</v>
      </c>
      <c r="H1958" s="45">
        <v>11396</v>
      </c>
      <c r="J1958" s="45">
        <v>814</v>
      </c>
    </row>
    <row r="1959" spans="1:11" x14ac:dyDescent="0.2">
      <c r="A1959" s="38" t="s">
        <v>7</v>
      </c>
      <c r="B1959" s="38" t="s">
        <v>8024</v>
      </c>
      <c r="C1959" s="43" t="s">
        <v>8025</v>
      </c>
      <c r="D1959" s="38" t="s">
        <v>12682</v>
      </c>
      <c r="G1959" s="44">
        <v>29</v>
      </c>
      <c r="H1959" s="45">
        <v>2818.94</v>
      </c>
      <c r="J1959" s="45">
        <v>97.204827586206903</v>
      </c>
    </row>
    <row r="1960" spans="1:11" x14ac:dyDescent="0.2">
      <c r="A1960" s="38" t="s">
        <v>7</v>
      </c>
      <c r="B1960" s="38" t="s">
        <v>8027</v>
      </c>
      <c r="C1960" s="43" t="s">
        <v>8028</v>
      </c>
      <c r="D1960" s="38" t="s">
        <v>12682</v>
      </c>
      <c r="E1960" s="44">
        <v>10</v>
      </c>
      <c r="F1960" s="45">
        <v>3465</v>
      </c>
      <c r="G1960" s="44">
        <v>30</v>
      </c>
      <c r="H1960" s="45">
        <v>7342</v>
      </c>
      <c r="I1960" s="45">
        <v>346.5</v>
      </c>
      <c r="J1960" s="45">
        <v>244.73333333333332</v>
      </c>
      <c r="K1960" s="46">
        <v>-0.29369889369889374</v>
      </c>
    </row>
    <row r="1961" spans="1:11" x14ac:dyDescent="0.2">
      <c r="A1961" s="38" t="s">
        <v>7</v>
      </c>
      <c r="B1961" s="38" t="s">
        <v>8030</v>
      </c>
      <c r="C1961" s="43" t="s">
        <v>8031</v>
      </c>
      <c r="D1961" s="38" t="s">
        <v>12682</v>
      </c>
      <c r="E1961" s="44">
        <v>39</v>
      </c>
      <c r="F1961" s="45">
        <v>5086</v>
      </c>
      <c r="G1961" s="44">
        <v>51</v>
      </c>
      <c r="H1961" s="45">
        <v>4251</v>
      </c>
      <c r="I1961" s="45">
        <v>130.41025641025641</v>
      </c>
      <c r="J1961" s="45">
        <v>83.352941176470594</v>
      </c>
      <c r="K1961" s="46">
        <v>-0.3608406004950151</v>
      </c>
    </row>
    <row r="1962" spans="1:11" x14ac:dyDescent="0.2">
      <c r="A1962" s="38" t="s">
        <v>7</v>
      </c>
      <c r="B1962" s="38" t="s">
        <v>8033</v>
      </c>
      <c r="C1962" s="43" t="s">
        <v>8034</v>
      </c>
      <c r="D1962" s="38" t="s">
        <v>12682</v>
      </c>
      <c r="E1962" s="44">
        <v>2</v>
      </c>
      <c r="F1962" s="45">
        <v>44</v>
      </c>
      <c r="G1962" s="44">
        <v>0</v>
      </c>
      <c r="H1962" s="45">
        <v>0</v>
      </c>
      <c r="I1962" s="45">
        <v>22</v>
      </c>
    </row>
    <row r="1963" spans="1:11" x14ac:dyDescent="0.2">
      <c r="A1963" s="38" t="s">
        <v>7</v>
      </c>
      <c r="B1963" s="38" t="s">
        <v>8036</v>
      </c>
      <c r="C1963" s="43" t="s">
        <v>8037</v>
      </c>
      <c r="D1963" s="38" t="s">
        <v>12682</v>
      </c>
      <c r="G1963" s="44">
        <v>5</v>
      </c>
      <c r="H1963" s="45">
        <v>350</v>
      </c>
      <c r="J1963" s="45">
        <v>70</v>
      </c>
    </row>
    <row r="1964" spans="1:11" x14ac:dyDescent="0.2">
      <c r="A1964" s="38" t="s">
        <v>7</v>
      </c>
      <c r="B1964" s="38" t="s">
        <v>8042</v>
      </c>
      <c r="C1964" s="43" t="s">
        <v>8043</v>
      </c>
      <c r="D1964" s="38" t="s">
        <v>12682</v>
      </c>
      <c r="E1964" s="44">
        <v>195</v>
      </c>
      <c r="F1964" s="45">
        <v>31275</v>
      </c>
      <c r="G1964" s="44">
        <v>207</v>
      </c>
      <c r="H1964" s="45">
        <v>28287</v>
      </c>
      <c r="I1964" s="45">
        <v>160.38461538461539</v>
      </c>
      <c r="J1964" s="45">
        <v>136.65217391304347</v>
      </c>
      <c r="K1964" s="46">
        <v>-0.14797205713689923</v>
      </c>
    </row>
    <row r="1965" spans="1:11" x14ac:dyDescent="0.2">
      <c r="A1965" s="38" t="s">
        <v>7</v>
      </c>
      <c r="B1965" s="38" t="s">
        <v>8048</v>
      </c>
      <c r="C1965" s="43" t="s">
        <v>8049</v>
      </c>
      <c r="D1965" s="38" t="s">
        <v>12682</v>
      </c>
      <c r="E1965" s="44">
        <v>24</v>
      </c>
      <c r="F1965" s="45">
        <v>9887</v>
      </c>
      <c r="G1965" s="44">
        <v>13</v>
      </c>
      <c r="H1965" s="45">
        <v>5987</v>
      </c>
      <c r="I1965" s="45">
        <v>411.95833333333331</v>
      </c>
      <c r="J1965" s="45">
        <v>460.53846153846155</v>
      </c>
      <c r="K1965" s="46">
        <v>0.11792485859442477</v>
      </c>
    </row>
    <row r="1966" spans="1:11" x14ac:dyDescent="0.2">
      <c r="A1966" s="38" t="s">
        <v>7</v>
      </c>
      <c r="B1966" s="38" t="s">
        <v>8051</v>
      </c>
      <c r="C1966" s="43" t="s">
        <v>8052</v>
      </c>
      <c r="D1966" s="38" t="s">
        <v>12887</v>
      </c>
      <c r="E1966" s="44">
        <v>68</v>
      </c>
      <c r="F1966" s="45">
        <v>30158</v>
      </c>
      <c r="G1966" s="44">
        <v>106</v>
      </c>
      <c r="H1966" s="45">
        <v>39093</v>
      </c>
      <c r="I1966" s="45">
        <v>443.5</v>
      </c>
      <c r="J1966" s="45">
        <v>368.80188679245282</v>
      </c>
      <c r="K1966" s="46">
        <v>-0.16842866563144798</v>
      </c>
    </row>
    <row r="1967" spans="1:11" x14ac:dyDescent="0.2">
      <c r="A1967" s="38" t="s">
        <v>7</v>
      </c>
      <c r="B1967" s="38" t="s">
        <v>8054</v>
      </c>
      <c r="C1967" s="43" t="s">
        <v>8055</v>
      </c>
      <c r="D1967" s="38" t="s">
        <v>12887</v>
      </c>
      <c r="E1967" s="44">
        <v>640</v>
      </c>
      <c r="F1967" s="45">
        <v>38052</v>
      </c>
      <c r="G1967" s="44">
        <v>654</v>
      </c>
      <c r="H1967" s="45">
        <v>35340</v>
      </c>
      <c r="I1967" s="45">
        <v>59.456249999999997</v>
      </c>
      <c r="J1967" s="45">
        <v>54.036697247706421</v>
      </c>
      <c r="K1967" s="46">
        <v>-9.1151943694625481E-2</v>
      </c>
    </row>
    <row r="1968" spans="1:11" x14ac:dyDescent="0.2">
      <c r="A1968" s="38" t="s">
        <v>7</v>
      </c>
      <c r="B1968" s="38" t="s">
        <v>8060</v>
      </c>
      <c r="C1968" s="43" t="s">
        <v>8061</v>
      </c>
      <c r="D1968" s="38" t="s">
        <v>12682</v>
      </c>
      <c r="G1968" s="44">
        <v>3</v>
      </c>
      <c r="H1968" s="45">
        <v>444</v>
      </c>
      <c r="J1968" s="45">
        <v>148</v>
      </c>
    </row>
    <row r="1969" spans="1:11" x14ac:dyDescent="0.2">
      <c r="A1969" s="38" t="s">
        <v>7</v>
      </c>
      <c r="B1969" s="38" t="s">
        <v>8066</v>
      </c>
      <c r="C1969" s="43" t="s">
        <v>8067</v>
      </c>
      <c r="D1969" s="38" t="s">
        <v>12682</v>
      </c>
      <c r="E1969" s="44">
        <v>16</v>
      </c>
      <c r="F1969" s="45">
        <v>3126.5</v>
      </c>
      <c r="G1969" s="44">
        <v>2</v>
      </c>
      <c r="H1969" s="45">
        <v>400</v>
      </c>
      <c r="I1969" s="45">
        <v>195.40625</v>
      </c>
      <c r="J1969" s="45">
        <v>200</v>
      </c>
      <c r="K1969" s="46">
        <v>2.3508715816408125E-2</v>
      </c>
    </row>
    <row r="1970" spans="1:11" x14ac:dyDescent="0.2">
      <c r="A1970" s="38" t="s">
        <v>7</v>
      </c>
      <c r="B1970" s="38" t="s">
        <v>8069</v>
      </c>
      <c r="C1970" s="43" t="s">
        <v>8070</v>
      </c>
      <c r="D1970" s="38" t="s">
        <v>12682</v>
      </c>
      <c r="E1970" s="44">
        <v>1877</v>
      </c>
      <c r="F1970" s="45">
        <v>258917</v>
      </c>
      <c r="G1970" s="44">
        <v>3655</v>
      </c>
      <c r="H1970" s="45">
        <v>392673</v>
      </c>
      <c r="I1970" s="45">
        <v>137.94192860948323</v>
      </c>
      <c r="J1970" s="45">
        <v>107.4344733242134</v>
      </c>
      <c r="K1970" s="46">
        <v>-0.22116158294145019</v>
      </c>
    </row>
    <row r="1971" spans="1:11" x14ac:dyDescent="0.2">
      <c r="A1971" s="38" t="s">
        <v>7</v>
      </c>
      <c r="B1971" s="38" t="s">
        <v>8072</v>
      </c>
      <c r="C1971" s="43" t="s">
        <v>8073</v>
      </c>
      <c r="D1971" s="38" t="s">
        <v>12682</v>
      </c>
      <c r="G1971" s="44">
        <v>5</v>
      </c>
      <c r="H1971" s="45">
        <v>1384</v>
      </c>
      <c r="J1971" s="45">
        <v>276.8</v>
      </c>
    </row>
    <row r="1972" spans="1:11" x14ac:dyDescent="0.2">
      <c r="A1972" s="38" t="s">
        <v>7</v>
      </c>
      <c r="B1972" s="38" t="s">
        <v>8081</v>
      </c>
      <c r="C1972" s="43" t="s">
        <v>8082</v>
      </c>
      <c r="D1972" s="38" t="s">
        <v>12682</v>
      </c>
      <c r="E1972" s="44">
        <v>4</v>
      </c>
      <c r="F1972" s="45">
        <v>2092</v>
      </c>
      <c r="G1972" s="44">
        <v>3</v>
      </c>
      <c r="H1972" s="45">
        <v>1629</v>
      </c>
      <c r="I1972" s="45">
        <v>523</v>
      </c>
      <c r="J1972" s="45">
        <v>543</v>
      </c>
      <c r="K1972" s="46">
        <v>3.8240917782026769E-2</v>
      </c>
    </row>
    <row r="1973" spans="1:11" x14ac:dyDescent="0.2">
      <c r="A1973" s="38" t="s">
        <v>7</v>
      </c>
      <c r="B1973" s="38" t="s">
        <v>8084</v>
      </c>
      <c r="C1973" s="43" t="s">
        <v>8085</v>
      </c>
      <c r="D1973" s="38" t="s">
        <v>12682</v>
      </c>
      <c r="G1973" s="44">
        <v>6</v>
      </c>
      <c r="H1973" s="45">
        <v>4404</v>
      </c>
      <c r="J1973" s="45">
        <v>734</v>
      </c>
    </row>
    <row r="1974" spans="1:11" x14ac:dyDescent="0.2">
      <c r="A1974" s="38" t="s">
        <v>7</v>
      </c>
      <c r="B1974" s="38" t="s">
        <v>8087</v>
      </c>
      <c r="C1974" s="43" t="s">
        <v>8088</v>
      </c>
      <c r="D1974" s="38" t="s">
        <v>12682</v>
      </c>
      <c r="E1974" s="44">
        <v>95</v>
      </c>
      <c r="F1974" s="45">
        <v>53550</v>
      </c>
      <c r="G1974" s="44">
        <v>117</v>
      </c>
      <c r="H1974" s="45">
        <v>50721</v>
      </c>
      <c r="I1974" s="45">
        <v>563.68421052631584</v>
      </c>
      <c r="J1974" s="45">
        <v>433.5128205128205</v>
      </c>
      <c r="K1974" s="46">
        <v>-0.23092963681198986</v>
      </c>
    </row>
    <row r="1975" spans="1:11" x14ac:dyDescent="0.2">
      <c r="A1975" s="38" t="s">
        <v>7</v>
      </c>
      <c r="B1975" s="38" t="s">
        <v>8093</v>
      </c>
      <c r="C1975" s="43" t="s">
        <v>8094</v>
      </c>
      <c r="D1975" s="38" t="s">
        <v>12682</v>
      </c>
      <c r="G1975" s="44">
        <v>3</v>
      </c>
      <c r="H1975" s="45">
        <v>171</v>
      </c>
      <c r="J1975" s="45">
        <v>57</v>
      </c>
    </row>
    <row r="1976" spans="1:11" x14ac:dyDescent="0.2">
      <c r="A1976" s="38" t="s">
        <v>7</v>
      </c>
      <c r="B1976" s="38" t="s">
        <v>8096</v>
      </c>
      <c r="C1976" s="43" t="s">
        <v>8097</v>
      </c>
      <c r="D1976" s="38" t="s">
        <v>12682</v>
      </c>
      <c r="E1976" s="44">
        <v>1639</v>
      </c>
      <c r="F1976" s="45">
        <v>107608</v>
      </c>
      <c r="G1976" s="44">
        <v>3492</v>
      </c>
      <c r="H1976" s="45">
        <v>192074</v>
      </c>
      <c r="I1976" s="45">
        <v>65.654667480170829</v>
      </c>
      <c r="J1976" s="45">
        <v>55.004009163802976</v>
      </c>
      <c r="K1976" s="46">
        <v>-0.16222240893360076</v>
      </c>
    </row>
    <row r="1977" spans="1:11" x14ac:dyDescent="0.2">
      <c r="A1977" s="38" t="s">
        <v>7</v>
      </c>
      <c r="B1977" s="38" t="s">
        <v>8099</v>
      </c>
      <c r="C1977" s="43" t="s">
        <v>8100</v>
      </c>
      <c r="D1977" s="38" t="s">
        <v>12682</v>
      </c>
      <c r="E1977" s="44">
        <v>938</v>
      </c>
      <c r="F1977" s="45">
        <v>52906</v>
      </c>
      <c r="G1977" s="44">
        <v>920</v>
      </c>
      <c r="H1977" s="45">
        <v>35190</v>
      </c>
      <c r="I1977" s="45">
        <v>56.402985074626862</v>
      </c>
      <c r="J1977" s="45">
        <v>38.25</v>
      </c>
      <c r="K1977" s="46">
        <v>-0.32184440328129132</v>
      </c>
    </row>
    <row r="1978" spans="1:11" x14ac:dyDescent="0.2">
      <c r="A1978" s="38" t="s">
        <v>7</v>
      </c>
      <c r="B1978" s="38" t="s">
        <v>8101</v>
      </c>
      <c r="C1978" s="43" t="s">
        <v>8102</v>
      </c>
      <c r="D1978" s="38" t="s">
        <v>12682</v>
      </c>
      <c r="G1978" s="44">
        <v>1</v>
      </c>
      <c r="H1978" s="45">
        <v>205</v>
      </c>
      <c r="J1978" s="45">
        <v>205</v>
      </c>
    </row>
    <row r="1979" spans="1:11" x14ac:dyDescent="0.2">
      <c r="A1979" s="38" t="s">
        <v>7</v>
      </c>
      <c r="B1979" s="38" t="s">
        <v>8104</v>
      </c>
      <c r="C1979" s="43" t="s">
        <v>8105</v>
      </c>
      <c r="D1979" s="38" t="s">
        <v>12682</v>
      </c>
      <c r="E1979" s="44">
        <v>27</v>
      </c>
      <c r="F1979" s="45">
        <v>23603</v>
      </c>
      <c r="G1979" s="44">
        <v>17</v>
      </c>
      <c r="H1979" s="45">
        <v>15283</v>
      </c>
      <c r="I1979" s="45">
        <v>874.18518518518522</v>
      </c>
      <c r="J1979" s="45">
        <v>899</v>
      </c>
      <c r="K1979" s="46">
        <v>2.8386222090412198E-2</v>
      </c>
    </row>
    <row r="1980" spans="1:11" x14ac:dyDescent="0.2">
      <c r="A1980" s="38" t="s">
        <v>7</v>
      </c>
      <c r="B1980" s="38" t="s">
        <v>8107</v>
      </c>
      <c r="C1980" s="43" t="s">
        <v>8108</v>
      </c>
      <c r="D1980" s="38" t="s">
        <v>12887</v>
      </c>
      <c r="E1980" s="44">
        <v>16</v>
      </c>
      <c r="F1980" s="45">
        <v>6551</v>
      </c>
      <c r="G1980" s="44">
        <v>0</v>
      </c>
      <c r="H1980" s="45">
        <v>0</v>
      </c>
      <c r="I1980" s="45">
        <v>409.4375</v>
      </c>
    </row>
    <row r="1981" spans="1:11" x14ac:dyDescent="0.2">
      <c r="A1981" s="38" t="s">
        <v>7</v>
      </c>
      <c r="B1981" s="38" t="s">
        <v>8110</v>
      </c>
      <c r="C1981" s="43" t="s">
        <v>8111</v>
      </c>
      <c r="D1981" s="38" t="s">
        <v>12682</v>
      </c>
      <c r="E1981" s="44">
        <v>38</v>
      </c>
      <c r="F1981" s="45">
        <v>12148</v>
      </c>
      <c r="G1981" s="44">
        <v>17</v>
      </c>
      <c r="H1981" s="45">
        <v>3904</v>
      </c>
      <c r="I1981" s="45">
        <v>319.68421052631578</v>
      </c>
      <c r="J1981" s="45">
        <v>229.64705882352942</v>
      </c>
      <c r="K1981" s="46">
        <v>-0.28164403726587767</v>
      </c>
    </row>
    <row r="1982" spans="1:11" x14ac:dyDescent="0.2">
      <c r="A1982" s="38" t="s">
        <v>7</v>
      </c>
      <c r="B1982" s="38" t="s">
        <v>8113</v>
      </c>
      <c r="C1982" s="43" t="s">
        <v>8114</v>
      </c>
      <c r="D1982" s="38" t="s">
        <v>12682</v>
      </c>
      <c r="G1982" s="44">
        <v>1</v>
      </c>
      <c r="H1982" s="45">
        <v>441</v>
      </c>
      <c r="J1982" s="45">
        <v>441</v>
      </c>
    </row>
    <row r="1983" spans="1:11" x14ac:dyDescent="0.2">
      <c r="A1983" s="38" t="s">
        <v>7</v>
      </c>
      <c r="B1983" s="38" t="s">
        <v>8116</v>
      </c>
      <c r="C1983" s="43" t="s">
        <v>8117</v>
      </c>
      <c r="D1983" s="38" t="s">
        <v>12682</v>
      </c>
      <c r="G1983" s="44">
        <v>8</v>
      </c>
      <c r="H1983" s="45">
        <v>552</v>
      </c>
      <c r="J1983" s="45">
        <v>69</v>
      </c>
    </row>
    <row r="1984" spans="1:11" x14ac:dyDescent="0.2">
      <c r="A1984" s="38" t="s">
        <v>7</v>
      </c>
      <c r="B1984" s="38" t="s">
        <v>8125</v>
      </c>
      <c r="C1984" s="43" t="s">
        <v>8126</v>
      </c>
      <c r="D1984" s="38" t="s">
        <v>12658</v>
      </c>
      <c r="G1984" s="44">
        <v>14</v>
      </c>
      <c r="H1984" s="45">
        <v>712</v>
      </c>
      <c r="J1984" s="45">
        <v>50.857142857142854</v>
      </c>
    </row>
    <row r="1985" spans="1:11" x14ac:dyDescent="0.2">
      <c r="A1985" s="38" t="s">
        <v>7</v>
      </c>
      <c r="B1985" s="38" t="s">
        <v>8128</v>
      </c>
      <c r="C1985" s="43" t="s">
        <v>8129</v>
      </c>
      <c r="D1985" s="38" t="s">
        <v>12682</v>
      </c>
      <c r="E1985" s="44">
        <v>7</v>
      </c>
      <c r="F1985" s="45">
        <v>2258</v>
      </c>
      <c r="G1985" s="44">
        <v>5</v>
      </c>
      <c r="H1985" s="45">
        <v>1448</v>
      </c>
      <c r="I1985" s="45">
        <v>322.57142857142856</v>
      </c>
      <c r="J1985" s="45">
        <v>289.60000000000002</v>
      </c>
      <c r="K1985" s="46">
        <v>-0.10221434898139935</v>
      </c>
    </row>
    <row r="1986" spans="1:11" x14ac:dyDescent="0.2">
      <c r="A1986" s="38" t="s">
        <v>7</v>
      </c>
      <c r="B1986" s="38" t="s">
        <v>8131</v>
      </c>
      <c r="C1986" s="43" t="s">
        <v>8132</v>
      </c>
      <c r="D1986" s="38" t="s">
        <v>12682</v>
      </c>
      <c r="G1986" s="44">
        <v>11</v>
      </c>
      <c r="H1986" s="45">
        <v>3664</v>
      </c>
      <c r="J1986" s="45">
        <v>333.09090909090907</v>
      </c>
    </row>
    <row r="1987" spans="1:11" x14ac:dyDescent="0.2">
      <c r="A1987" s="38" t="s">
        <v>7</v>
      </c>
      <c r="B1987" s="38" t="s">
        <v>8134</v>
      </c>
      <c r="C1987" s="43" t="s">
        <v>8135</v>
      </c>
      <c r="D1987" s="38" t="s">
        <v>12658</v>
      </c>
      <c r="E1987" s="44">
        <v>71</v>
      </c>
      <c r="F1987" s="45">
        <v>30831</v>
      </c>
      <c r="G1987" s="44">
        <v>62</v>
      </c>
      <c r="H1987" s="45">
        <v>23685</v>
      </c>
      <c r="I1987" s="45">
        <v>434.23943661971833</v>
      </c>
      <c r="J1987" s="45">
        <v>382.01612903225805</v>
      </c>
      <c r="K1987" s="46">
        <v>-0.12026385257402225</v>
      </c>
    </row>
    <row r="1988" spans="1:11" x14ac:dyDescent="0.2">
      <c r="A1988" s="38" t="s">
        <v>7</v>
      </c>
      <c r="B1988" s="38" t="s">
        <v>8143</v>
      </c>
      <c r="C1988" s="43" t="s">
        <v>8144</v>
      </c>
      <c r="D1988" s="38" t="s">
        <v>12682</v>
      </c>
      <c r="E1988" s="44">
        <v>49</v>
      </c>
      <c r="F1988" s="45">
        <v>2839</v>
      </c>
      <c r="G1988" s="44">
        <v>13</v>
      </c>
      <c r="H1988" s="45">
        <v>1271</v>
      </c>
      <c r="I1988" s="45">
        <v>57.938775510204081</v>
      </c>
      <c r="J1988" s="45">
        <v>97.769230769230774</v>
      </c>
      <c r="K1988" s="46">
        <v>0.68745766385780482</v>
      </c>
    </row>
    <row r="1989" spans="1:11" x14ac:dyDescent="0.2">
      <c r="A1989" s="38" t="s">
        <v>7</v>
      </c>
      <c r="B1989" s="38" t="s">
        <v>8149</v>
      </c>
      <c r="C1989" s="43" t="s">
        <v>8150</v>
      </c>
      <c r="D1989" s="38" t="s">
        <v>12682</v>
      </c>
      <c r="G1989" s="44">
        <v>4</v>
      </c>
      <c r="H1989" s="45">
        <v>872</v>
      </c>
      <c r="J1989" s="45">
        <v>218</v>
      </c>
    </row>
    <row r="1990" spans="1:11" x14ac:dyDescent="0.2">
      <c r="A1990" s="38" t="s">
        <v>7</v>
      </c>
      <c r="B1990" s="38" t="s">
        <v>8152</v>
      </c>
      <c r="C1990" s="43" t="s">
        <v>8153</v>
      </c>
      <c r="D1990" s="38" t="s">
        <v>12682</v>
      </c>
      <c r="G1990" s="44">
        <v>3</v>
      </c>
      <c r="H1990" s="45">
        <v>894</v>
      </c>
      <c r="J1990" s="45">
        <v>298</v>
      </c>
    </row>
    <row r="1991" spans="1:11" x14ac:dyDescent="0.2">
      <c r="A1991" s="38" t="s">
        <v>7</v>
      </c>
      <c r="B1991" s="38" t="s">
        <v>8157</v>
      </c>
      <c r="C1991" s="43" t="s">
        <v>8158</v>
      </c>
      <c r="D1991" s="38" t="s">
        <v>12658</v>
      </c>
      <c r="E1991" s="44">
        <v>595</v>
      </c>
      <c r="F1991" s="45">
        <v>595</v>
      </c>
      <c r="G1991" s="44">
        <v>974</v>
      </c>
      <c r="H1991" s="45">
        <v>1673</v>
      </c>
      <c r="I1991" s="45">
        <v>1</v>
      </c>
      <c r="J1991" s="45">
        <v>1.7176591375770021</v>
      </c>
      <c r="K1991" s="46">
        <v>0.71765913757700206</v>
      </c>
    </row>
    <row r="1992" spans="1:11" x14ac:dyDescent="0.2">
      <c r="A1992" s="38" t="s">
        <v>7</v>
      </c>
      <c r="B1992" s="38" t="s">
        <v>8160</v>
      </c>
      <c r="C1992" s="43" t="s">
        <v>8161</v>
      </c>
      <c r="D1992" s="38" t="s">
        <v>12682</v>
      </c>
      <c r="E1992" s="44">
        <v>10</v>
      </c>
      <c r="F1992" s="45">
        <v>4540</v>
      </c>
      <c r="G1992" s="44">
        <v>1</v>
      </c>
      <c r="H1992" s="45">
        <v>468</v>
      </c>
      <c r="I1992" s="45">
        <v>454</v>
      </c>
      <c r="J1992" s="45">
        <v>468</v>
      </c>
      <c r="K1992" s="46">
        <v>3.0837004405286344E-2</v>
      </c>
    </row>
    <row r="1993" spans="1:11" x14ac:dyDescent="0.2">
      <c r="A1993" s="38" t="s">
        <v>7</v>
      </c>
      <c r="B1993" s="38" t="s">
        <v>8163</v>
      </c>
      <c r="C1993" s="43" t="s">
        <v>8164</v>
      </c>
      <c r="D1993" s="38" t="s">
        <v>12682</v>
      </c>
      <c r="E1993" s="44">
        <v>52</v>
      </c>
      <c r="F1993" s="45">
        <v>11861</v>
      </c>
      <c r="G1993" s="44">
        <v>14</v>
      </c>
      <c r="H1993" s="45">
        <v>3032</v>
      </c>
      <c r="I1993" s="45">
        <v>228.09615384615384</v>
      </c>
      <c r="J1993" s="45">
        <v>216.57142857142858</v>
      </c>
      <c r="K1993" s="46">
        <v>-5.0525732593011831E-2</v>
      </c>
    </row>
    <row r="1994" spans="1:11" x14ac:dyDescent="0.2">
      <c r="A1994" s="38" t="s">
        <v>7</v>
      </c>
      <c r="B1994" s="38" t="s">
        <v>8169</v>
      </c>
      <c r="C1994" s="43" t="s">
        <v>8170</v>
      </c>
      <c r="D1994" s="38" t="s">
        <v>12682</v>
      </c>
      <c r="E1994" s="44">
        <v>17</v>
      </c>
      <c r="F1994" s="45">
        <v>8437</v>
      </c>
      <c r="G1994" s="44">
        <v>13</v>
      </c>
      <c r="H1994" s="45">
        <v>5767</v>
      </c>
      <c r="I1994" s="45">
        <v>496.29411764705884</v>
      </c>
      <c r="J1994" s="45">
        <v>443.61538461538464</v>
      </c>
      <c r="K1994" s="46">
        <v>-0.1061441817634777</v>
      </c>
    </row>
    <row r="1995" spans="1:11" x14ac:dyDescent="0.2">
      <c r="A1995" s="38" t="s">
        <v>7</v>
      </c>
      <c r="B1995" s="38" t="s">
        <v>8172</v>
      </c>
      <c r="C1995" s="43" t="s">
        <v>8173</v>
      </c>
      <c r="D1995" s="38" t="s">
        <v>12887</v>
      </c>
      <c r="E1995" s="44">
        <v>7</v>
      </c>
      <c r="F1995" s="45">
        <v>1396</v>
      </c>
      <c r="G1995" s="44">
        <v>0</v>
      </c>
      <c r="H1995" s="45">
        <v>0</v>
      </c>
      <c r="I1995" s="45">
        <v>199.42857142857142</v>
      </c>
    </row>
    <row r="1996" spans="1:11" x14ac:dyDescent="0.2">
      <c r="A1996" s="38" t="s">
        <v>7</v>
      </c>
      <c r="B1996" s="38" t="s">
        <v>8175</v>
      </c>
      <c r="C1996" s="43" t="s">
        <v>8176</v>
      </c>
      <c r="D1996" s="38" t="s">
        <v>12658</v>
      </c>
      <c r="G1996" s="44">
        <v>5</v>
      </c>
      <c r="H1996" s="45">
        <v>157</v>
      </c>
      <c r="J1996" s="45">
        <v>31.4</v>
      </c>
    </row>
    <row r="1997" spans="1:11" x14ac:dyDescent="0.2">
      <c r="A1997" s="38" t="s">
        <v>7</v>
      </c>
      <c r="B1997" s="38" t="s">
        <v>8181</v>
      </c>
      <c r="C1997" s="43" t="s">
        <v>8182</v>
      </c>
      <c r="D1997" s="38" t="s">
        <v>12658</v>
      </c>
      <c r="G1997" s="44">
        <v>2</v>
      </c>
      <c r="H1997" s="45">
        <v>64</v>
      </c>
      <c r="J1997" s="45">
        <v>32</v>
      </c>
    </row>
    <row r="1998" spans="1:11" x14ac:dyDescent="0.2">
      <c r="A1998" s="38" t="s">
        <v>7</v>
      </c>
      <c r="B1998" s="38" t="s">
        <v>8184</v>
      </c>
      <c r="C1998" s="43" t="s">
        <v>8185</v>
      </c>
      <c r="D1998" s="38" t="s">
        <v>12682</v>
      </c>
      <c r="G1998" s="44">
        <v>7</v>
      </c>
      <c r="H1998" s="45">
        <v>85</v>
      </c>
      <c r="J1998" s="45">
        <v>12.142857142857142</v>
      </c>
    </row>
    <row r="1999" spans="1:11" x14ac:dyDescent="0.2">
      <c r="A1999" s="38" t="s">
        <v>7</v>
      </c>
      <c r="B1999" s="38" t="s">
        <v>8187</v>
      </c>
      <c r="C1999" s="43" t="s">
        <v>8188</v>
      </c>
      <c r="D1999" s="38" t="s">
        <v>12682</v>
      </c>
      <c r="G1999" s="44">
        <v>2</v>
      </c>
      <c r="H1999" s="45">
        <v>644</v>
      </c>
      <c r="J1999" s="45">
        <v>322</v>
      </c>
    </row>
    <row r="2000" spans="1:11" x14ac:dyDescent="0.2">
      <c r="A2000" s="38" t="s">
        <v>7</v>
      </c>
      <c r="B2000" s="38" t="s">
        <v>8190</v>
      </c>
      <c r="C2000" s="43" t="s">
        <v>8191</v>
      </c>
      <c r="D2000" s="38" t="s">
        <v>12682</v>
      </c>
      <c r="E2000" s="44">
        <v>95</v>
      </c>
      <c r="F2000" s="45">
        <v>40302</v>
      </c>
      <c r="G2000" s="44">
        <v>28</v>
      </c>
      <c r="H2000" s="45">
        <v>10956</v>
      </c>
      <c r="I2000" s="45">
        <v>424.2315789473684</v>
      </c>
      <c r="J2000" s="45">
        <v>391.28571428571428</v>
      </c>
      <c r="K2000" s="46">
        <v>-7.7660094855271256E-2</v>
      </c>
    </row>
    <row r="2001" spans="1:11" x14ac:dyDescent="0.2">
      <c r="A2001" s="38" t="s">
        <v>7</v>
      </c>
      <c r="B2001" s="38" t="s">
        <v>8193</v>
      </c>
      <c r="C2001" s="43" t="s">
        <v>8194</v>
      </c>
      <c r="D2001" s="38" t="s">
        <v>12682</v>
      </c>
      <c r="E2001" s="44">
        <v>67</v>
      </c>
      <c r="F2001" s="45">
        <v>10583</v>
      </c>
      <c r="G2001" s="44">
        <v>20</v>
      </c>
      <c r="H2001" s="45">
        <v>4436</v>
      </c>
      <c r="I2001" s="45">
        <v>157.955223880597</v>
      </c>
      <c r="J2001" s="45">
        <v>221.8</v>
      </c>
      <c r="K2001" s="46">
        <v>0.40419540772937745</v>
      </c>
    </row>
    <row r="2002" spans="1:11" x14ac:dyDescent="0.2">
      <c r="A2002" s="38" t="s">
        <v>7</v>
      </c>
      <c r="B2002" s="38" t="s">
        <v>8196</v>
      </c>
      <c r="C2002" s="43" t="s">
        <v>8197</v>
      </c>
      <c r="D2002" s="38" t="s">
        <v>12682</v>
      </c>
      <c r="E2002" s="44">
        <v>299</v>
      </c>
      <c r="F2002" s="45">
        <v>11023</v>
      </c>
      <c r="G2002" s="44">
        <v>261</v>
      </c>
      <c r="H2002" s="45">
        <v>14670</v>
      </c>
      <c r="I2002" s="45">
        <v>36.866220735785951</v>
      </c>
      <c r="J2002" s="45">
        <v>56.206896551724135</v>
      </c>
      <c r="K2002" s="46">
        <v>0.52461780540374825</v>
      </c>
    </row>
    <row r="2003" spans="1:11" x14ac:dyDescent="0.2">
      <c r="A2003" s="38" t="s">
        <v>7</v>
      </c>
      <c r="B2003" s="38" t="s">
        <v>8202</v>
      </c>
      <c r="C2003" s="43" t="s">
        <v>8203</v>
      </c>
      <c r="D2003" s="38" t="s">
        <v>12658</v>
      </c>
      <c r="G2003" s="44">
        <v>4</v>
      </c>
      <c r="H2003" s="45">
        <v>182</v>
      </c>
      <c r="J2003" s="45">
        <v>45.5</v>
      </c>
    </row>
    <row r="2004" spans="1:11" x14ac:dyDescent="0.2">
      <c r="A2004" s="38" t="s">
        <v>7</v>
      </c>
      <c r="B2004" s="38" t="s">
        <v>8205</v>
      </c>
      <c r="C2004" s="43" t="s">
        <v>8206</v>
      </c>
      <c r="D2004" s="38" t="s">
        <v>12682</v>
      </c>
      <c r="E2004" s="44">
        <v>30</v>
      </c>
      <c r="F2004" s="45">
        <v>2346</v>
      </c>
      <c r="G2004" s="44">
        <v>26</v>
      </c>
      <c r="H2004" s="45">
        <v>1933</v>
      </c>
      <c r="I2004" s="45">
        <v>78.2</v>
      </c>
      <c r="J2004" s="45">
        <v>74.34615384615384</v>
      </c>
      <c r="K2004" s="46">
        <v>-4.9281920125910011E-2</v>
      </c>
    </row>
    <row r="2005" spans="1:11" x14ac:dyDescent="0.2">
      <c r="A2005" s="38" t="s">
        <v>7</v>
      </c>
      <c r="B2005" s="38" t="s">
        <v>8208</v>
      </c>
      <c r="C2005" s="43" t="s">
        <v>8209</v>
      </c>
      <c r="D2005" s="38" t="s">
        <v>12682</v>
      </c>
      <c r="E2005" s="44">
        <v>4</v>
      </c>
      <c r="F2005" s="45">
        <v>1272</v>
      </c>
      <c r="G2005" s="44">
        <v>11</v>
      </c>
      <c r="H2005" s="45">
        <v>3266</v>
      </c>
      <c r="I2005" s="45">
        <v>318</v>
      </c>
      <c r="J2005" s="45">
        <v>296.90909090909093</v>
      </c>
      <c r="K2005" s="46">
        <v>-6.6323613493424735E-2</v>
      </c>
    </row>
    <row r="2006" spans="1:11" x14ac:dyDescent="0.2">
      <c r="A2006" s="38" t="s">
        <v>7</v>
      </c>
      <c r="B2006" s="38" t="s">
        <v>8217</v>
      </c>
      <c r="C2006" s="43" t="s">
        <v>8218</v>
      </c>
      <c r="D2006" s="38" t="s">
        <v>12887</v>
      </c>
      <c r="G2006" s="44">
        <v>1</v>
      </c>
      <c r="H2006" s="45">
        <v>226</v>
      </c>
      <c r="J2006" s="45">
        <v>226</v>
      </c>
    </row>
    <row r="2007" spans="1:11" x14ac:dyDescent="0.2">
      <c r="A2007" s="38" t="s">
        <v>7</v>
      </c>
      <c r="B2007" s="38" t="s">
        <v>8220</v>
      </c>
      <c r="C2007" s="43" t="s">
        <v>8221</v>
      </c>
      <c r="D2007" s="38" t="s">
        <v>12682</v>
      </c>
      <c r="E2007" s="44">
        <v>2</v>
      </c>
      <c r="F2007" s="45">
        <v>1010</v>
      </c>
      <c r="G2007" s="44">
        <v>0</v>
      </c>
      <c r="H2007" s="45">
        <v>0</v>
      </c>
      <c r="I2007" s="45">
        <v>505</v>
      </c>
    </row>
    <row r="2008" spans="1:11" x14ac:dyDescent="0.2">
      <c r="A2008" s="38" t="s">
        <v>7</v>
      </c>
      <c r="B2008" s="38" t="s">
        <v>8223</v>
      </c>
      <c r="C2008" s="43" t="s">
        <v>8224</v>
      </c>
      <c r="D2008" s="38" t="s">
        <v>12682</v>
      </c>
      <c r="G2008" s="44">
        <v>2</v>
      </c>
      <c r="H2008" s="45">
        <v>248</v>
      </c>
      <c r="J2008" s="45">
        <v>124</v>
      </c>
    </row>
    <row r="2009" spans="1:11" x14ac:dyDescent="0.2">
      <c r="A2009" s="38" t="s">
        <v>7</v>
      </c>
      <c r="B2009" s="38" t="s">
        <v>8232</v>
      </c>
      <c r="C2009" s="43" t="s">
        <v>8233</v>
      </c>
      <c r="D2009" s="38" t="s">
        <v>12682</v>
      </c>
      <c r="E2009" s="44">
        <v>4</v>
      </c>
      <c r="F2009" s="45">
        <v>848</v>
      </c>
      <c r="G2009" s="44">
        <v>3</v>
      </c>
      <c r="H2009" s="45">
        <v>648</v>
      </c>
      <c r="I2009" s="45">
        <v>212</v>
      </c>
      <c r="J2009" s="45">
        <v>216</v>
      </c>
      <c r="K2009" s="46">
        <v>1.8867924528301886E-2</v>
      </c>
    </row>
    <row r="2010" spans="1:11" x14ac:dyDescent="0.2">
      <c r="A2010" s="38" t="s">
        <v>7</v>
      </c>
      <c r="B2010" s="38" t="s">
        <v>8238</v>
      </c>
      <c r="C2010" s="43" t="s">
        <v>8239</v>
      </c>
      <c r="D2010" s="38" t="s">
        <v>12682</v>
      </c>
      <c r="G2010" s="44">
        <v>1</v>
      </c>
      <c r="H2010" s="45">
        <v>361</v>
      </c>
      <c r="J2010" s="45">
        <v>361</v>
      </c>
    </row>
    <row r="2011" spans="1:11" x14ac:dyDescent="0.2">
      <c r="A2011" s="38" t="s">
        <v>7</v>
      </c>
      <c r="B2011" s="38" t="s">
        <v>8241</v>
      </c>
      <c r="C2011" s="43" t="s">
        <v>8242</v>
      </c>
      <c r="D2011" s="38" t="s">
        <v>12682</v>
      </c>
      <c r="E2011" s="44">
        <v>9</v>
      </c>
      <c r="F2011" s="45">
        <v>2731</v>
      </c>
      <c r="G2011" s="44">
        <v>12</v>
      </c>
      <c r="H2011" s="45">
        <v>1640</v>
      </c>
      <c r="I2011" s="45">
        <v>303.44444444444446</v>
      </c>
      <c r="J2011" s="45">
        <v>136.66666666666666</v>
      </c>
      <c r="K2011" s="46">
        <v>-0.54961552544855374</v>
      </c>
    </row>
    <row r="2012" spans="1:11" x14ac:dyDescent="0.2">
      <c r="A2012" s="38" t="s">
        <v>7</v>
      </c>
      <c r="B2012" s="38" t="s">
        <v>8244</v>
      </c>
      <c r="C2012" s="43" t="s">
        <v>8245</v>
      </c>
      <c r="D2012" s="38" t="s">
        <v>12682</v>
      </c>
      <c r="E2012" s="44">
        <v>43</v>
      </c>
      <c r="F2012" s="45">
        <v>18772</v>
      </c>
      <c r="G2012" s="44">
        <v>13</v>
      </c>
      <c r="H2012" s="45">
        <v>5059</v>
      </c>
      <c r="I2012" s="45">
        <v>436.55813953488371</v>
      </c>
      <c r="J2012" s="45">
        <v>389.15384615384613</v>
      </c>
      <c r="K2012" s="46">
        <v>-0.1085864380665148</v>
      </c>
    </row>
    <row r="2013" spans="1:11" x14ac:dyDescent="0.2">
      <c r="A2013" s="38" t="s">
        <v>7</v>
      </c>
      <c r="B2013" s="38" t="s">
        <v>8253</v>
      </c>
      <c r="C2013" s="43" t="s">
        <v>8254</v>
      </c>
      <c r="D2013" s="38" t="s">
        <v>12682</v>
      </c>
      <c r="G2013" s="44">
        <v>2</v>
      </c>
      <c r="H2013" s="45">
        <v>2000</v>
      </c>
      <c r="J2013" s="45">
        <v>1000</v>
      </c>
    </row>
    <row r="2014" spans="1:11" x14ac:dyDescent="0.2">
      <c r="A2014" s="38" t="s">
        <v>7</v>
      </c>
      <c r="B2014" s="38" t="s">
        <v>8256</v>
      </c>
      <c r="C2014" s="43" t="s">
        <v>8257</v>
      </c>
      <c r="D2014" s="38" t="s">
        <v>12658</v>
      </c>
      <c r="G2014" s="44">
        <v>9</v>
      </c>
      <c r="H2014" s="45">
        <v>281.25</v>
      </c>
      <c r="J2014" s="45">
        <v>31.25</v>
      </c>
    </row>
    <row r="2015" spans="1:11" x14ac:dyDescent="0.2">
      <c r="A2015" s="38" t="s">
        <v>7</v>
      </c>
      <c r="B2015" s="38" t="s">
        <v>8265</v>
      </c>
      <c r="C2015" s="43" t="s">
        <v>8266</v>
      </c>
      <c r="D2015" s="38" t="s">
        <v>12658</v>
      </c>
      <c r="E2015" s="44">
        <v>86</v>
      </c>
      <c r="F2015" s="45">
        <v>1746</v>
      </c>
      <c r="G2015" s="44">
        <v>64</v>
      </c>
      <c r="H2015" s="45">
        <v>1314</v>
      </c>
      <c r="I2015" s="45">
        <v>20.302325581395348</v>
      </c>
      <c r="J2015" s="45">
        <v>20.53125</v>
      </c>
      <c r="K2015" s="46">
        <v>1.1275773195876351E-2</v>
      </c>
    </row>
    <row r="2016" spans="1:11" x14ac:dyDescent="0.2">
      <c r="A2016" s="38" t="s">
        <v>7</v>
      </c>
      <c r="B2016" s="38" t="s">
        <v>8268</v>
      </c>
      <c r="C2016" s="43" t="s">
        <v>8269</v>
      </c>
      <c r="D2016" s="38" t="s">
        <v>12658</v>
      </c>
      <c r="E2016" s="44">
        <v>552</v>
      </c>
      <c r="F2016" s="45">
        <v>5881</v>
      </c>
      <c r="G2016" s="44">
        <v>508</v>
      </c>
      <c r="H2016" s="45">
        <v>4168</v>
      </c>
      <c r="I2016" s="45">
        <v>10.653985507246377</v>
      </c>
      <c r="J2016" s="45">
        <v>8.2047244094488185</v>
      </c>
      <c r="K2016" s="46">
        <v>-0.22989153647071114</v>
      </c>
    </row>
    <row r="2017" spans="1:11" x14ac:dyDescent="0.2">
      <c r="A2017" s="38" t="s">
        <v>7</v>
      </c>
      <c r="B2017" s="38" t="s">
        <v>8277</v>
      </c>
      <c r="C2017" s="43" t="s">
        <v>8278</v>
      </c>
      <c r="D2017" s="38" t="s">
        <v>12682</v>
      </c>
      <c r="E2017" s="44">
        <v>77</v>
      </c>
      <c r="F2017" s="45">
        <v>9432</v>
      </c>
      <c r="G2017" s="44">
        <v>58</v>
      </c>
      <c r="H2017" s="45">
        <v>7224</v>
      </c>
      <c r="I2017" s="45">
        <v>122.49350649350649</v>
      </c>
      <c r="J2017" s="45">
        <v>124.55172413793103</v>
      </c>
      <c r="K2017" s="46">
        <v>1.6802667368605806E-2</v>
      </c>
    </row>
    <row r="2018" spans="1:11" x14ac:dyDescent="0.2">
      <c r="A2018" s="38" t="s">
        <v>7</v>
      </c>
      <c r="B2018" s="38" t="s">
        <v>8283</v>
      </c>
      <c r="C2018" s="43" t="s">
        <v>8284</v>
      </c>
      <c r="D2018" s="38" t="s">
        <v>12658</v>
      </c>
      <c r="G2018" s="44">
        <v>2</v>
      </c>
      <c r="H2018" s="45">
        <v>76</v>
      </c>
      <c r="J2018" s="45">
        <v>38</v>
      </c>
    </row>
    <row r="2019" spans="1:11" x14ac:dyDescent="0.2">
      <c r="A2019" s="38" t="s">
        <v>7</v>
      </c>
      <c r="B2019" s="38" t="s">
        <v>8286</v>
      </c>
      <c r="C2019" s="43" t="s">
        <v>8287</v>
      </c>
      <c r="D2019" s="38" t="s">
        <v>12658</v>
      </c>
      <c r="G2019" s="44">
        <v>3</v>
      </c>
      <c r="H2019" s="45">
        <v>71</v>
      </c>
      <c r="J2019" s="45">
        <v>23.666666666666668</v>
      </c>
    </row>
    <row r="2020" spans="1:11" x14ac:dyDescent="0.2">
      <c r="A2020" s="38" t="s">
        <v>7</v>
      </c>
      <c r="B2020" s="38" t="s">
        <v>8289</v>
      </c>
      <c r="C2020" s="43" t="s">
        <v>8290</v>
      </c>
      <c r="D2020" s="38" t="s">
        <v>12658</v>
      </c>
      <c r="E2020" s="44">
        <v>132</v>
      </c>
      <c r="F2020" s="45">
        <v>4641</v>
      </c>
      <c r="G2020" s="44">
        <v>160</v>
      </c>
      <c r="H2020" s="45">
        <v>5670</v>
      </c>
      <c r="I2020" s="45">
        <v>35.159090909090907</v>
      </c>
      <c r="J2020" s="45">
        <v>35.4375</v>
      </c>
      <c r="K2020" s="46">
        <v>7.9185520361991692E-3</v>
      </c>
    </row>
    <row r="2021" spans="1:11" x14ac:dyDescent="0.2">
      <c r="A2021" s="38" t="s">
        <v>7</v>
      </c>
      <c r="B2021" s="38" t="s">
        <v>8292</v>
      </c>
      <c r="C2021" s="43" t="s">
        <v>8293</v>
      </c>
      <c r="D2021" s="38" t="s">
        <v>12658</v>
      </c>
      <c r="G2021" s="44">
        <v>1</v>
      </c>
      <c r="H2021" s="45">
        <v>680</v>
      </c>
      <c r="J2021" s="45">
        <v>680</v>
      </c>
    </row>
    <row r="2022" spans="1:11" x14ac:dyDescent="0.2">
      <c r="A2022" s="38" t="s">
        <v>7</v>
      </c>
      <c r="B2022" s="38" t="s">
        <v>8298</v>
      </c>
      <c r="C2022" s="43" t="s">
        <v>8299</v>
      </c>
      <c r="D2022" s="38" t="s">
        <v>12657</v>
      </c>
      <c r="E2022" s="44">
        <v>6</v>
      </c>
      <c r="F2022" s="45">
        <v>174</v>
      </c>
      <c r="G2022" s="44">
        <v>10</v>
      </c>
      <c r="H2022" s="45">
        <v>260</v>
      </c>
      <c r="I2022" s="45">
        <v>29</v>
      </c>
      <c r="J2022" s="45">
        <v>26</v>
      </c>
      <c r="K2022" s="46">
        <v>-0.10344827586206896</v>
      </c>
    </row>
    <row r="2023" spans="1:11" x14ac:dyDescent="0.2">
      <c r="A2023" s="38" t="s">
        <v>7</v>
      </c>
      <c r="B2023" s="38" t="s">
        <v>8307</v>
      </c>
      <c r="C2023" s="43" t="s">
        <v>8308</v>
      </c>
      <c r="D2023" s="38" t="s">
        <v>12682</v>
      </c>
      <c r="G2023" s="44">
        <v>4</v>
      </c>
      <c r="H2023" s="45">
        <v>1893</v>
      </c>
      <c r="J2023" s="45">
        <v>473.25</v>
      </c>
    </row>
    <row r="2024" spans="1:11" x14ac:dyDescent="0.2">
      <c r="A2024" s="38" t="s">
        <v>7</v>
      </c>
      <c r="B2024" s="38" t="s">
        <v>8310</v>
      </c>
      <c r="C2024" s="43" t="s">
        <v>8311</v>
      </c>
      <c r="D2024" s="38" t="s">
        <v>12682</v>
      </c>
      <c r="E2024" s="44">
        <v>14</v>
      </c>
      <c r="F2024" s="45">
        <v>5072</v>
      </c>
      <c r="G2024" s="44">
        <v>9</v>
      </c>
      <c r="H2024" s="45">
        <v>2634</v>
      </c>
      <c r="I2024" s="45">
        <v>362.28571428571428</v>
      </c>
      <c r="J2024" s="45">
        <v>292.66666666666669</v>
      </c>
      <c r="K2024" s="46">
        <v>-0.19216614090431119</v>
      </c>
    </row>
    <row r="2025" spans="1:11" x14ac:dyDescent="0.2">
      <c r="A2025" s="38" t="s">
        <v>7</v>
      </c>
      <c r="B2025" s="38" t="s">
        <v>8313</v>
      </c>
      <c r="C2025" s="43" t="s">
        <v>8314</v>
      </c>
      <c r="D2025" s="38" t="s">
        <v>12682</v>
      </c>
      <c r="G2025" s="44">
        <v>2</v>
      </c>
      <c r="H2025" s="45">
        <v>64</v>
      </c>
      <c r="J2025" s="45">
        <v>32</v>
      </c>
    </row>
    <row r="2026" spans="1:11" x14ac:dyDescent="0.2">
      <c r="A2026" s="38" t="s">
        <v>7</v>
      </c>
      <c r="B2026" s="38" t="s">
        <v>8322</v>
      </c>
      <c r="C2026" s="43" t="s">
        <v>8323</v>
      </c>
      <c r="D2026" s="38" t="s">
        <v>12682</v>
      </c>
      <c r="G2026" s="44">
        <v>4</v>
      </c>
      <c r="H2026" s="45">
        <v>2280</v>
      </c>
      <c r="J2026" s="45">
        <v>570</v>
      </c>
    </row>
    <row r="2027" spans="1:11" x14ac:dyDescent="0.2">
      <c r="A2027" s="38" t="s">
        <v>7</v>
      </c>
      <c r="B2027" s="38" t="s">
        <v>8328</v>
      </c>
      <c r="C2027" s="43" t="s">
        <v>8329</v>
      </c>
      <c r="D2027" s="38" t="s">
        <v>12682</v>
      </c>
      <c r="E2027" s="44">
        <v>26</v>
      </c>
      <c r="F2027" s="45">
        <v>6244</v>
      </c>
      <c r="G2027" s="44">
        <v>13</v>
      </c>
      <c r="H2027" s="45">
        <v>3185</v>
      </c>
      <c r="I2027" s="45">
        <v>240.15384615384616</v>
      </c>
      <c r="J2027" s="45">
        <v>245</v>
      </c>
      <c r="K2027" s="46">
        <v>2.0179372197309389E-2</v>
      </c>
    </row>
    <row r="2028" spans="1:11" x14ac:dyDescent="0.2">
      <c r="A2028" s="38" t="s">
        <v>7</v>
      </c>
      <c r="B2028" s="38" t="s">
        <v>8331</v>
      </c>
      <c r="C2028" s="43" t="s">
        <v>8332</v>
      </c>
      <c r="D2028" s="38" t="s">
        <v>12682</v>
      </c>
      <c r="E2028" s="44">
        <v>11</v>
      </c>
      <c r="F2028" s="45">
        <v>3514</v>
      </c>
      <c r="G2028" s="44">
        <v>10</v>
      </c>
      <c r="H2028" s="45">
        <v>3052</v>
      </c>
      <c r="I2028" s="45">
        <v>319.45454545454544</v>
      </c>
      <c r="J2028" s="45">
        <v>305.2</v>
      </c>
      <c r="K2028" s="46">
        <v>-4.4621513944223097E-2</v>
      </c>
    </row>
    <row r="2029" spans="1:11" x14ac:dyDescent="0.2">
      <c r="A2029" s="38" t="s">
        <v>7</v>
      </c>
      <c r="B2029" s="38" t="s">
        <v>8334</v>
      </c>
      <c r="C2029" s="43" t="s">
        <v>8335</v>
      </c>
      <c r="D2029" s="38" t="s">
        <v>12682</v>
      </c>
      <c r="G2029" s="44">
        <v>8</v>
      </c>
      <c r="H2029" s="45">
        <v>3217</v>
      </c>
      <c r="J2029" s="45">
        <v>402.125</v>
      </c>
    </row>
    <row r="2030" spans="1:11" x14ac:dyDescent="0.2">
      <c r="A2030" s="38" t="s">
        <v>7</v>
      </c>
      <c r="B2030" s="38" t="s">
        <v>8337</v>
      </c>
      <c r="C2030" s="43" t="s">
        <v>8338</v>
      </c>
      <c r="D2030" s="38" t="s">
        <v>12682</v>
      </c>
      <c r="E2030" s="44">
        <v>51</v>
      </c>
      <c r="F2030" s="45">
        <v>41768</v>
      </c>
      <c r="G2030" s="44">
        <v>58</v>
      </c>
      <c r="H2030" s="45">
        <v>73194</v>
      </c>
      <c r="I2030" s="45">
        <v>818.98039215686276</v>
      </c>
      <c r="J2030" s="45">
        <v>1261.9655172413793</v>
      </c>
      <c r="K2030" s="46">
        <v>0.54089832836885521</v>
      </c>
    </row>
    <row r="2031" spans="1:11" x14ac:dyDescent="0.2">
      <c r="A2031" s="38" t="s">
        <v>7</v>
      </c>
      <c r="B2031" s="38" t="s">
        <v>8340</v>
      </c>
      <c r="C2031" s="43" t="s">
        <v>8341</v>
      </c>
      <c r="D2031" s="38" t="s">
        <v>12226</v>
      </c>
      <c r="E2031" s="44">
        <v>5</v>
      </c>
      <c r="F2031" s="45">
        <v>6795</v>
      </c>
      <c r="G2031" s="44">
        <v>5</v>
      </c>
      <c r="H2031" s="45">
        <v>6795</v>
      </c>
      <c r="I2031" s="45">
        <v>1359</v>
      </c>
      <c r="J2031" s="45">
        <v>1359</v>
      </c>
      <c r="K2031" s="46">
        <v>0</v>
      </c>
    </row>
    <row r="2032" spans="1:11" x14ac:dyDescent="0.2">
      <c r="A2032" s="38" t="s">
        <v>7</v>
      </c>
      <c r="B2032" s="38" t="s">
        <v>8346</v>
      </c>
      <c r="C2032" s="43" t="s">
        <v>8347</v>
      </c>
      <c r="D2032" s="38" t="s">
        <v>12682</v>
      </c>
      <c r="E2032" s="44">
        <v>28</v>
      </c>
      <c r="F2032" s="45">
        <v>4416</v>
      </c>
      <c r="G2032" s="44">
        <v>41</v>
      </c>
      <c r="H2032" s="45">
        <v>5628</v>
      </c>
      <c r="I2032" s="45">
        <v>157.71428571428572</v>
      </c>
      <c r="J2032" s="45">
        <v>137.26829268292684</v>
      </c>
      <c r="K2032" s="46">
        <v>-0.12963944856839871</v>
      </c>
    </row>
    <row r="2033" spans="1:11" x14ac:dyDescent="0.2">
      <c r="A2033" s="38" t="s">
        <v>7</v>
      </c>
      <c r="B2033" s="38" t="s">
        <v>8349</v>
      </c>
      <c r="C2033" s="43" t="s">
        <v>8350</v>
      </c>
      <c r="D2033" s="38" t="s">
        <v>12658</v>
      </c>
      <c r="E2033" s="44">
        <v>12</v>
      </c>
      <c r="F2033" s="45">
        <v>342</v>
      </c>
      <c r="G2033" s="44">
        <v>18</v>
      </c>
      <c r="H2033" s="45">
        <v>483</v>
      </c>
      <c r="I2033" s="45">
        <v>28.5</v>
      </c>
      <c r="J2033" s="45">
        <v>26.833333333333332</v>
      </c>
      <c r="K2033" s="46">
        <v>-5.8479532163742728E-2</v>
      </c>
    </row>
    <row r="2034" spans="1:11" x14ac:dyDescent="0.2">
      <c r="A2034" s="38" t="s">
        <v>7</v>
      </c>
      <c r="B2034" s="38" t="s">
        <v>8370</v>
      </c>
      <c r="C2034" s="43" t="s">
        <v>8371</v>
      </c>
      <c r="D2034" s="38" t="s">
        <v>12226</v>
      </c>
      <c r="G2034" s="44">
        <v>2</v>
      </c>
      <c r="H2034" s="45">
        <v>204</v>
      </c>
      <c r="J2034" s="45">
        <v>102</v>
      </c>
    </row>
    <row r="2035" spans="1:11" x14ac:dyDescent="0.2">
      <c r="A2035" s="38" t="s">
        <v>7</v>
      </c>
      <c r="B2035" s="38" t="s">
        <v>8373</v>
      </c>
      <c r="C2035" s="43" t="s">
        <v>8374</v>
      </c>
      <c r="D2035" s="38" t="s">
        <v>12226</v>
      </c>
      <c r="G2035" s="44">
        <v>1</v>
      </c>
      <c r="H2035" s="45">
        <v>102</v>
      </c>
      <c r="J2035" s="45">
        <v>102</v>
      </c>
    </row>
    <row r="2036" spans="1:11" x14ac:dyDescent="0.2">
      <c r="A2036" s="38" t="s">
        <v>7</v>
      </c>
      <c r="B2036" s="38" t="s">
        <v>8397</v>
      </c>
      <c r="C2036" s="43" t="s">
        <v>8398</v>
      </c>
      <c r="D2036" s="38" t="s">
        <v>12226</v>
      </c>
      <c r="E2036" s="44">
        <v>12</v>
      </c>
      <c r="F2036" s="45">
        <v>4763</v>
      </c>
      <c r="G2036" s="44">
        <v>26</v>
      </c>
      <c r="H2036" s="45">
        <v>10790</v>
      </c>
      <c r="I2036" s="45">
        <v>396.91666666666669</v>
      </c>
      <c r="J2036" s="45">
        <v>415</v>
      </c>
      <c r="K2036" s="46">
        <v>4.5559521310098626E-2</v>
      </c>
    </row>
    <row r="2037" spans="1:11" x14ac:dyDescent="0.2">
      <c r="A2037" s="38" t="s">
        <v>7</v>
      </c>
      <c r="B2037" s="38" t="s">
        <v>8400</v>
      </c>
      <c r="C2037" s="43" t="s">
        <v>8401</v>
      </c>
      <c r="D2037" s="38" t="s">
        <v>12226</v>
      </c>
      <c r="E2037" s="44">
        <v>57</v>
      </c>
      <c r="F2037" s="45">
        <v>22849</v>
      </c>
      <c r="G2037" s="44">
        <v>36</v>
      </c>
      <c r="H2037" s="45">
        <v>14940</v>
      </c>
      <c r="I2037" s="45">
        <v>400.85964912280701</v>
      </c>
      <c r="J2037" s="45">
        <v>415</v>
      </c>
      <c r="K2037" s="46">
        <v>3.5275066742527034E-2</v>
      </c>
    </row>
    <row r="2038" spans="1:11" x14ac:dyDescent="0.2">
      <c r="A2038" s="38" t="s">
        <v>7</v>
      </c>
      <c r="B2038" s="38" t="s">
        <v>8403</v>
      </c>
      <c r="C2038" s="43" t="s">
        <v>8404</v>
      </c>
      <c r="D2038" s="38" t="s">
        <v>12226</v>
      </c>
      <c r="E2038" s="44">
        <v>53</v>
      </c>
      <c r="F2038" s="45">
        <v>23322</v>
      </c>
      <c r="G2038" s="44">
        <v>44</v>
      </c>
      <c r="H2038" s="45">
        <v>19800</v>
      </c>
      <c r="I2038" s="45">
        <v>440.03773584905662</v>
      </c>
      <c r="J2038" s="45">
        <v>450</v>
      </c>
      <c r="K2038" s="46">
        <v>2.2639567790069433E-2</v>
      </c>
    </row>
    <row r="2039" spans="1:11" x14ac:dyDescent="0.2">
      <c r="A2039" s="38" t="s">
        <v>7</v>
      </c>
      <c r="B2039" s="38" t="s">
        <v>8406</v>
      </c>
      <c r="C2039" s="43" t="s">
        <v>8407</v>
      </c>
      <c r="D2039" s="38" t="s">
        <v>12682</v>
      </c>
      <c r="E2039" s="44">
        <v>7</v>
      </c>
      <c r="F2039" s="45">
        <v>3440</v>
      </c>
      <c r="G2039" s="44">
        <v>2</v>
      </c>
      <c r="H2039" s="45">
        <v>1004</v>
      </c>
      <c r="I2039" s="45">
        <v>491.42857142857144</v>
      </c>
      <c r="J2039" s="45">
        <v>502</v>
      </c>
      <c r="K2039" s="46">
        <v>2.1511627906976711E-2</v>
      </c>
    </row>
    <row r="2040" spans="1:11" x14ac:dyDescent="0.2">
      <c r="A2040" s="38" t="s">
        <v>7</v>
      </c>
      <c r="B2040" s="38" t="s">
        <v>8409</v>
      </c>
      <c r="C2040" s="43" t="s">
        <v>8410</v>
      </c>
      <c r="D2040" s="38" t="s">
        <v>12682</v>
      </c>
      <c r="E2040" s="44">
        <v>36</v>
      </c>
      <c r="F2040" s="45">
        <v>46116</v>
      </c>
      <c r="G2040" s="44">
        <v>12</v>
      </c>
      <c r="H2040" s="45">
        <v>17088</v>
      </c>
      <c r="I2040" s="45">
        <v>1281</v>
      </c>
      <c r="J2040" s="45">
        <v>1424</v>
      </c>
      <c r="K2040" s="46">
        <v>0.11163153786104606</v>
      </c>
    </row>
    <row r="2041" spans="1:11" x14ac:dyDescent="0.2">
      <c r="A2041" s="38" t="s">
        <v>7</v>
      </c>
      <c r="B2041" s="38" t="s">
        <v>8415</v>
      </c>
      <c r="C2041" s="43" t="s">
        <v>8416</v>
      </c>
      <c r="D2041" s="38" t="s">
        <v>12658</v>
      </c>
      <c r="E2041" s="44">
        <v>3</v>
      </c>
      <c r="F2041" s="45">
        <v>153</v>
      </c>
      <c r="G2041" s="44">
        <v>3</v>
      </c>
      <c r="H2041" s="45">
        <v>83</v>
      </c>
      <c r="I2041" s="45">
        <v>51</v>
      </c>
      <c r="J2041" s="45">
        <v>27.666666666666668</v>
      </c>
      <c r="K2041" s="46">
        <v>-0.45751633986928103</v>
      </c>
    </row>
    <row r="2042" spans="1:11" x14ac:dyDescent="0.2">
      <c r="A2042" s="38" t="s">
        <v>7</v>
      </c>
      <c r="B2042" s="38" t="s">
        <v>8421</v>
      </c>
      <c r="C2042" s="43" t="s">
        <v>8422</v>
      </c>
      <c r="D2042" s="38" t="s">
        <v>12682</v>
      </c>
      <c r="E2042" s="44">
        <v>16</v>
      </c>
      <c r="F2042" s="45">
        <v>4801</v>
      </c>
      <c r="G2042" s="44">
        <v>3</v>
      </c>
      <c r="H2042" s="45">
        <v>640</v>
      </c>
      <c r="I2042" s="45">
        <v>300.0625</v>
      </c>
      <c r="J2042" s="45">
        <v>213.33333333333334</v>
      </c>
      <c r="K2042" s="46">
        <v>-0.2890370061792682</v>
      </c>
    </row>
    <row r="2043" spans="1:11" x14ac:dyDescent="0.2">
      <c r="A2043" s="38" t="s">
        <v>7</v>
      </c>
      <c r="B2043" s="38" t="s">
        <v>8423</v>
      </c>
      <c r="C2043" s="43" t="s">
        <v>8424</v>
      </c>
      <c r="D2043" s="38" t="s">
        <v>12682</v>
      </c>
      <c r="G2043" s="44">
        <v>14</v>
      </c>
      <c r="H2043" s="45">
        <v>4014</v>
      </c>
      <c r="J2043" s="45">
        <v>286.71428571428572</v>
      </c>
    </row>
    <row r="2044" spans="1:11" x14ac:dyDescent="0.2">
      <c r="A2044" s="38" t="s">
        <v>7</v>
      </c>
      <c r="B2044" s="38" t="s">
        <v>8428</v>
      </c>
      <c r="C2044" s="43" t="s">
        <v>8429</v>
      </c>
      <c r="D2044" s="38" t="s">
        <v>12682</v>
      </c>
      <c r="E2044" s="44">
        <v>3</v>
      </c>
      <c r="F2044" s="45">
        <v>1440</v>
      </c>
      <c r="G2044" s="44">
        <v>3</v>
      </c>
      <c r="H2044" s="45">
        <v>614</v>
      </c>
      <c r="I2044" s="45">
        <v>480</v>
      </c>
      <c r="J2044" s="45">
        <v>204.66666666666666</v>
      </c>
      <c r="K2044" s="46">
        <v>-0.57361111111111118</v>
      </c>
    </row>
    <row r="2045" spans="1:11" x14ac:dyDescent="0.2">
      <c r="A2045" s="38" t="s">
        <v>7</v>
      </c>
      <c r="B2045" s="38" t="s">
        <v>8437</v>
      </c>
      <c r="C2045" s="43" t="s">
        <v>8438</v>
      </c>
      <c r="D2045" s="38" t="s">
        <v>12682</v>
      </c>
      <c r="E2045" s="44">
        <v>124</v>
      </c>
      <c r="F2045" s="45">
        <v>9632</v>
      </c>
      <c r="G2045" s="44">
        <v>112</v>
      </c>
      <c r="H2045" s="45">
        <v>8744</v>
      </c>
      <c r="I2045" s="45">
        <v>77.677419354838705</v>
      </c>
      <c r="J2045" s="45">
        <v>78.071428571428569</v>
      </c>
      <c r="K2045" s="46">
        <v>5.0723777883246715E-3</v>
      </c>
    </row>
    <row r="2046" spans="1:11" x14ac:dyDescent="0.2">
      <c r="A2046" s="38" t="s">
        <v>7</v>
      </c>
      <c r="B2046" s="38" t="s">
        <v>8440</v>
      </c>
      <c r="C2046" s="43" t="s">
        <v>8441</v>
      </c>
      <c r="D2046" s="38" t="s">
        <v>12682</v>
      </c>
      <c r="G2046" s="44">
        <v>10</v>
      </c>
      <c r="H2046" s="45">
        <v>1388</v>
      </c>
      <c r="J2046" s="45">
        <v>138.80000000000001</v>
      </c>
    </row>
    <row r="2047" spans="1:11" x14ac:dyDescent="0.2">
      <c r="A2047" s="38" t="s">
        <v>7</v>
      </c>
      <c r="B2047" s="38" t="s">
        <v>8443</v>
      </c>
      <c r="C2047" s="43" t="s">
        <v>8444</v>
      </c>
      <c r="D2047" s="38" t="s">
        <v>12682</v>
      </c>
      <c r="G2047" s="44">
        <v>24</v>
      </c>
      <c r="H2047" s="45">
        <v>6046</v>
      </c>
      <c r="J2047" s="45">
        <v>251.91666666666666</v>
      </c>
    </row>
    <row r="2048" spans="1:11" x14ac:dyDescent="0.2">
      <c r="A2048" s="38" t="s">
        <v>7</v>
      </c>
      <c r="B2048" s="38" t="s">
        <v>8446</v>
      </c>
      <c r="C2048" s="43" t="s">
        <v>8447</v>
      </c>
      <c r="D2048" s="38" t="s">
        <v>12888</v>
      </c>
      <c r="E2048" s="44">
        <v>102</v>
      </c>
      <c r="F2048" s="45">
        <v>9639</v>
      </c>
      <c r="G2048" s="44">
        <v>74</v>
      </c>
      <c r="H2048" s="45">
        <v>7252</v>
      </c>
      <c r="I2048" s="45">
        <v>94.5</v>
      </c>
      <c r="J2048" s="45">
        <v>98</v>
      </c>
      <c r="K2048" s="46">
        <v>3.7037037037037035E-2</v>
      </c>
    </row>
    <row r="2049" spans="1:11" x14ac:dyDescent="0.2">
      <c r="A2049" s="38" t="s">
        <v>7</v>
      </c>
      <c r="B2049" s="38" t="s">
        <v>8449</v>
      </c>
      <c r="C2049" s="43" t="s">
        <v>8450</v>
      </c>
      <c r="D2049" s="38" t="s">
        <v>12682</v>
      </c>
      <c r="E2049" s="44">
        <v>9</v>
      </c>
      <c r="F2049" s="45">
        <v>2502</v>
      </c>
      <c r="G2049" s="44">
        <v>9</v>
      </c>
      <c r="H2049" s="45">
        <v>2565</v>
      </c>
      <c r="I2049" s="45">
        <v>278</v>
      </c>
      <c r="J2049" s="45">
        <v>285</v>
      </c>
      <c r="K2049" s="46">
        <v>2.5179856115107913E-2</v>
      </c>
    </row>
    <row r="2050" spans="1:11" x14ac:dyDescent="0.2">
      <c r="A2050" s="38" t="s">
        <v>7</v>
      </c>
      <c r="B2050" s="38" t="s">
        <v>8452</v>
      </c>
      <c r="C2050" s="43" t="s">
        <v>8453</v>
      </c>
      <c r="D2050" s="38" t="s">
        <v>12682</v>
      </c>
      <c r="E2050" s="44">
        <v>4</v>
      </c>
      <c r="F2050" s="45">
        <v>902</v>
      </c>
      <c r="G2050" s="44">
        <v>16</v>
      </c>
      <c r="H2050" s="45">
        <v>3592</v>
      </c>
      <c r="I2050" s="45">
        <v>225.5</v>
      </c>
      <c r="J2050" s="45">
        <v>224.5</v>
      </c>
      <c r="K2050" s="46">
        <v>-4.434589800443459E-3</v>
      </c>
    </row>
    <row r="2051" spans="1:11" x14ac:dyDescent="0.2">
      <c r="A2051" s="38" t="s">
        <v>7</v>
      </c>
      <c r="B2051" s="38" t="s">
        <v>8455</v>
      </c>
      <c r="C2051" s="43" t="s">
        <v>8456</v>
      </c>
      <c r="D2051" s="38" t="s">
        <v>12682</v>
      </c>
      <c r="E2051" s="44">
        <v>612</v>
      </c>
      <c r="F2051" s="45">
        <v>43381</v>
      </c>
      <c r="G2051" s="44">
        <v>693</v>
      </c>
      <c r="H2051" s="45">
        <v>38163</v>
      </c>
      <c r="I2051" s="45">
        <v>70.883986928104576</v>
      </c>
      <c r="J2051" s="45">
        <v>55.069264069264072</v>
      </c>
      <c r="K2051" s="46">
        <v>-0.22310712960997645</v>
      </c>
    </row>
    <row r="2052" spans="1:11" x14ac:dyDescent="0.2">
      <c r="A2052" s="38" t="s">
        <v>7</v>
      </c>
      <c r="B2052" s="38" t="s">
        <v>8458</v>
      </c>
      <c r="C2052" s="43" t="s">
        <v>8459</v>
      </c>
      <c r="D2052" s="38" t="s">
        <v>12658</v>
      </c>
      <c r="E2052" s="44">
        <v>2</v>
      </c>
      <c r="F2052" s="45">
        <v>69</v>
      </c>
      <c r="G2052" s="44">
        <v>8</v>
      </c>
      <c r="H2052" s="45">
        <v>288</v>
      </c>
      <c r="I2052" s="45">
        <v>34.5</v>
      </c>
      <c r="J2052" s="45">
        <v>36</v>
      </c>
      <c r="K2052" s="46">
        <v>4.3478260869565216E-2</v>
      </c>
    </row>
    <row r="2053" spans="1:11" x14ac:dyDescent="0.2">
      <c r="A2053" s="38" t="s">
        <v>7</v>
      </c>
      <c r="B2053" s="38" t="s">
        <v>8467</v>
      </c>
      <c r="C2053" s="43" t="s">
        <v>8468</v>
      </c>
      <c r="D2053" s="38" t="s">
        <v>12658</v>
      </c>
      <c r="E2053" s="44">
        <v>14</v>
      </c>
      <c r="F2053" s="45">
        <v>147.4</v>
      </c>
      <c r="G2053" s="44">
        <v>49</v>
      </c>
      <c r="H2053" s="45">
        <v>479</v>
      </c>
      <c r="I2053" s="45">
        <v>10.528571428571428</v>
      </c>
      <c r="J2053" s="45">
        <v>9.7755102040816322</v>
      </c>
      <c r="K2053" s="46">
        <v>-7.1525489435937228E-2</v>
      </c>
    </row>
    <row r="2054" spans="1:11" x14ac:dyDescent="0.2">
      <c r="A2054" s="38" t="s">
        <v>7</v>
      </c>
      <c r="B2054" s="38" t="s">
        <v>8476</v>
      </c>
      <c r="C2054" s="43" t="s">
        <v>8477</v>
      </c>
      <c r="D2054" s="38" t="s">
        <v>12682</v>
      </c>
      <c r="E2054" s="44">
        <v>19</v>
      </c>
      <c r="F2054" s="45">
        <v>10947</v>
      </c>
      <c r="G2054" s="44">
        <v>8</v>
      </c>
      <c r="H2054" s="45">
        <v>4320</v>
      </c>
      <c r="I2054" s="45">
        <v>576.15789473684208</v>
      </c>
      <c r="J2054" s="45">
        <v>540</v>
      </c>
      <c r="K2054" s="46">
        <v>-6.2756919704028469E-2</v>
      </c>
    </row>
    <row r="2055" spans="1:11" x14ac:dyDescent="0.2">
      <c r="A2055" s="38" t="s">
        <v>7</v>
      </c>
      <c r="B2055" s="38" t="s">
        <v>8482</v>
      </c>
      <c r="C2055" s="43" t="s">
        <v>8483</v>
      </c>
      <c r="D2055" s="38" t="s">
        <v>12658</v>
      </c>
      <c r="E2055" s="44">
        <v>6</v>
      </c>
      <c r="F2055" s="45">
        <v>356</v>
      </c>
      <c r="G2055" s="44">
        <v>2</v>
      </c>
      <c r="H2055" s="45">
        <v>120</v>
      </c>
      <c r="I2055" s="45">
        <v>59.333333333333336</v>
      </c>
      <c r="J2055" s="45">
        <v>60</v>
      </c>
      <c r="K2055" s="46">
        <v>1.1235955056179735E-2</v>
      </c>
    </row>
    <row r="2056" spans="1:11" x14ac:dyDescent="0.2">
      <c r="A2056" s="38" t="s">
        <v>7</v>
      </c>
      <c r="B2056" s="38" t="s">
        <v>8485</v>
      </c>
      <c r="C2056" s="43" t="s">
        <v>8486</v>
      </c>
      <c r="D2056" s="38" t="s">
        <v>12682</v>
      </c>
      <c r="E2056" s="44">
        <v>21</v>
      </c>
      <c r="F2056" s="45">
        <v>5592</v>
      </c>
      <c r="G2056" s="44">
        <v>3</v>
      </c>
      <c r="H2056" s="45">
        <v>816</v>
      </c>
      <c r="I2056" s="45">
        <v>266.28571428571428</v>
      </c>
      <c r="J2056" s="45">
        <v>272</v>
      </c>
      <c r="K2056" s="46">
        <v>2.145922746781119E-2</v>
      </c>
    </row>
    <row r="2057" spans="1:11" x14ac:dyDescent="0.2">
      <c r="A2057" s="38" t="s">
        <v>7</v>
      </c>
      <c r="B2057" s="38" t="s">
        <v>8491</v>
      </c>
      <c r="C2057" s="43" t="s">
        <v>8492</v>
      </c>
      <c r="D2057" s="38" t="s">
        <v>12682</v>
      </c>
      <c r="G2057" s="44">
        <v>1</v>
      </c>
      <c r="H2057" s="45">
        <v>489</v>
      </c>
      <c r="J2057" s="45">
        <v>489</v>
      </c>
    </row>
    <row r="2058" spans="1:11" x14ac:dyDescent="0.2">
      <c r="A2058" s="38" t="s">
        <v>7</v>
      </c>
      <c r="B2058" s="38" t="s">
        <v>8494</v>
      </c>
      <c r="C2058" s="43" t="s">
        <v>8495</v>
      </c>
      <c r="D2058" s="38" t="s">
        <v>12682</v>
      </c>
      <c r="G2058" s="44">
        <v>256</v>
      </c>
      <c r="H2058" s="45">
        <v>21504</v>
      </c>
      <c r="J2058" s="45">
        <v>84</v>
      </c>
    </row>
    <row r="2059" spans="1:11" x14ac:dyDescent="0.2">
      <c r="A2059" s="38" t="s">
        <v>7</v>
      </c>
      <c r="B2059" s="38" t="s">
        <v>8497</v>
      </c>
      <c r="C2059" s="43" t="s">
        <v>8498</v>
      </c>
      <c r="D2059" s="38" t="s">
        <v>12682</v>
      </c>
      <c r="G2059" s="44">
        <v>2</v>
      </c>
      <c r="H2059" s="45">
        <v>1206</v>
      </c>
      <c r="J2059" s="45">
        <v>603</v>
      </c>
    </row>
    <row r="2060" spans="1:11" x14ac:dyDescent="0.2">
      <c r="A2060" s="38" t="s">
        <v>7</v>
      </c>
      <c r="B2060" s="38" t="s">
        <v>8500</v>
      </c>
      <c r="C2060" s="43" t="s">
        <v>8501</v>
      </c>
      <c r="D2060" s="38" t="s">
        <v>12658</v>
      </c>
      <c r="E2060" s="44">
        <v>3</v>
      </c>
      <c r="F2060" s="45">
        <v>1020</v>
      </c>
      <c r="G2060" s="44">
        <v>4</v>
      </c>
      <c r="H2060" s="45">
        <v>1360</v>
      </c>
      <c r="I2060" s="45">
        <v>340</v>
      </c>
      <c r="J2060" s="45">
        <v>340</v>
      </c>
      <c r="K2060" s="46">
        <v>0</v>
      </c>
    </row>
    <row r="2061" spans="1:11" x14ac:dyDescent="0.2">
      <c r="A2061" s="38" t="s">
        <v>7</v>
      </c>
      <c r="B2061" s="38" t="s">
        <v>8503</v>
      </c>
      <c r="C2061" s="43" t="s">
        <v>8504</v>
      </c>
      <c r="D2061" s="38" t="s">
        <v>12658</v>
      </c>
      <c r="E2061" s="44">
        <v>19</v>
      </c>
      <c r="F2061" s="45">
        <v>95</v>
      </c>
      <c r="G2061" s="44">
        <v>21</v>
      </c>
      <c r="H2061" s="45">
        <v>105</v>
      </c>
      <c r="I2061" s="45">
        <v>5</v>
      </c>
      <c r="J2061" s="45">
        <v>5</v>
      </c>
      <c r="K2061" s="46">
        <v>0</v>
      </c>
    </row>
    <row r="2062" spans="1:11" x14ac:dyDescent="0.2">
      <c r="A2062" s="38" t="s">
        <v>7</v>
      </c>
      <c r="B2062" s="38" t="s">
        <v>8506</v>
      </c>
      <c r="C2062" s="43" t="s">
        <v>8507</v>
      </c>
      <c r="D2062" s="38" t="s">
        <v>12682</v>
      </c>
      <c r="E2062" s="44">
        <v>1910</v>
      </c>
      <c r="F2062" s="45">
        <v>609576</v>
      </c>
      <c r="G2062" s="44">
        <v>125</v>
      </c>
      <c r="H2062" s="45">
        <v>40500</v>
      </c>
      <c r="I2062" s="45">
        <v>319.14973821989531</v>
      </c>
      <c r="J2062" s="45">
        <v>324</v>
      </c>
      <c r="K2062" s="46">
        <v>1.5197448718453407E-2</v>
      </c>
    </row>
    <row r="2063" spans="1:11" x14ac:dyDescent="0.2">
      <c r="A2063" s="38" t="s">
        <v>7</v>
      </c>
      <c r="B2063" s="38" t="s">
        <v>8509</v>
      </c>
      <c r="C2063" s="43" t="s">
        <v>8510</v>
      </c>
      <c r="D2063" s="38" t="s">
        <v>12658</v>
      </c>
      <c r="E2063" s="44">
        <v>58</v>
      </c>
      <c r="F2063" s="45">
        <v>14873</v>
      </c>
      <c r="G2063" s="44">
        <v>76</v>
      </c>
      <c r="H2063" s="45">
        <v>17422</v>
      </c>
      <c r="I2063" s="45">
        <v>256.43103448275861</v>
      </c>
      <c r="J2063" s="45">
        <v>229.23684210526315</v>
      </c>
      <c r="K2063" s="46">
        <v>-0.10604875666608865</v>
      </c>
    </row>
    <row r="2064" spans="1:11" x14ac:dyDescent="0.2">
      <c r="A2064" s="38" t="s">
        <v>7</v>
      </c>
      <c r="B2064" s="38" t="s">
        <v>8512</v>
      </c>
      <c r="C2064" s="43" t="s">
        <v>8513</v>
      </c>
      <c r="D2064" s="38" t="s">
        <v>12658</v>
      </c>
      <c r="E2064" s="44">
        <v>113</v>
      </c>
      <c r="F2064" s="45">
        <v>32621</v>
      </c>
      <c r="G2064" s="44">
        <v>165</v>
      </c>
      <c r="H2064" s="45">
        <v>34177</v>
      </c>
      <c r="I2064" s="45">
        <v>288.68141592920352</v>
      </c>
      <c r="J2064" s="45">
        <v>207.13333333333333</v>
      </c>
      <c r="K2064" s="46">
        <v>-0.28248469799617831</v>
      </c>
    </row>
    <row r="2065" spans="1:11" x14ac:dyDescent="0.2">
      <c r="A2065" s="38" t="s">
        <v>7</v>
      </c>
      <c r="B2065" s="38" t="s">
        <v>8515</v>
      </c>
      <c r="C2065" s="43" t="s">
        <v>8516</v>
      </c>
      <c r="D2065" s="38" t="s">
        <v>12658</v>
      </c>
      <c r="E2065" s="44">
        <v>105</v>
      </c>
      <c r="F2065" s="45">
        <v>32444</v>
      </c>
      <c r="G2065" s="44">
        <v>266</v>
      </c>
      <c r="H2065" s="45">
        <v>70118</v>
      </c>
      <c r="I2065" s="45">
        <v>308.99047619047622</v>
      </c>
      <c r="J2065" s="45">
        <v>263.6015037593985</v>
      </c>
      <c r="K2065" s="46">
        <v>-0.1468944059075071</v>
      </c>
    </row>
    <row r="2066" spans="1:11" x14ac:dyDescent="0.2">
      <c r="A2066" s="38" t="s">
        <v>7</v>
      </c>
      <c r="B2066" s="38" t="s">
        <v>8518</v>
      </c>
      <c r="C2066" s="43" t="s">
        <v>8519</v>
      </c>
      <c r="D2066" s="38" t="s">
        <v>12682</v>
      </c>
      <c r="G2066" s="44">
        <v>12</v>
      </c>
      <c r="H2066" s="45">
        <v>1579</v>
      </c>
      <c r="J2066" s="45">
        <v>131.58333333333334</v>
      </c>
    </row>
    <row r="2067" spans="1:11" x14ac:dyDescent="0.2">
      <c r="A2067" s="38" t="s">
        <v>7</v>
      </c>
      <c r="B2067" s="38" t="s">
        <v>8521</v>
      </c>
      <c r="C2067" s="43" t="s">
        <v>8522</v>
      </c>
      <c r="D2067" s="38" t="s">
        <v>12682</v>
      </c>
      <c r="G2067" s="44">
        <v>11</v>
      </c>
      <c r="H2067" s="45">
        <v>1309</v>
      </c>
      <c r="J2067" s="45">
        <v>119</v>
      </c>
    </row>
    <row r="2068" spans="1:11" x14ac:dyDescent="0.2">
      <c r="A2068" s="38" t="s">
        <v>7</v>
      </c>
      <c r="B2068" s="38" t="s">
        <v>8524</v>
      </c>
      <c r="C2068" s="43" t="s">
        <v>8525</v>
      </c>
      <c r="D2068" s="38" t="s">
        <v>12682</v>
      </c>
      <c r="E2068" s="44">
        <v>7</v>
      </c>
      <c r="F2068" s="45">
        <v>929</v>
      </c>
      <c r="G2068" s="44">
        <v>0</v>
      </c>
      <c r="H2068" s="45">
        <v>0</v>
      </c>
      <c r="I2068" s="45">
        <v>132.71428571428572</v>
      </c>
    </row>
    <row r="2069" spans="1:11" x14ac:dyDescent="0.2">
      <c r="A2069" s="38" t="s">
        <v>7</v>
      </c>
      <c r="B2069" s="38" t="s">
        <v>8530</v>
      </c>
      <c r="C2069" s="43" t="s">
        <v>8531</v>
      </c>
      <c r="D2069" s="38" t="s">
        <v>12682</v>
      </c>
      <c r="E2069" s="44">
        <v>91</v>
      </c>
      <c r="F2069" s="45">
        <v>3702</v>
      </c>
      <c r="G2069" s="44">
        <v>80</v>
      </c>
      <c r="H2069" s="45">
        <v>3264</v>
      </c>
      <c r="I2069" s="45">
        <v>40.681318681318679</v>
      </c>
      <c r="J2069" s="45">
        <v>40.799999999999997</v>
      </c>
      <c r="K2069" s="46">
        <v>2.9173419773095522E-3</v>
      </c>
    </row>
    <row r="2070" spans="1:11" x14ac:dyDescent="0.2">
      <c r="A2070" s="38" t="s">
        <v>7</v>
      </c>
      <c r="B2070" s="38" t="s">
        <v>8533</v>
      </c>
      <c r="C2070" s="43" t="s">
        <v>8534</v>
      </c>
      <c r="D2070" s="38" t="s">
        <v>12682</v>
      </c>
      <c r="E2070" s="44">
        <v>21</v>
      </c>
      <c r="F2070" s="45">
        <v>5271</v>
      </c>
      <c r="G2070" s="44">
        <v>22</v>
      </c>
      <c r="H2070" s="45">
        <v>4961</v>
      </c>
      <c r="I2070" s="45">
        <v>251</v>
      </c>
      <c r="J2070" s="45">
        <v>225.5</v>
      </c>
      <c r="K2070" s="46">
        <v>-0.10159362549800798</v>
      </c>
    </row>
    <row r="2071" spans="1:11" x14ac:dyDescent="0.2">
      <c r="A2071" s="38" t="s">
        <v>7</v>
      </c>
      <c r="B2071" s="38" t="s">
        <v>8536</v>
      </c>
      <c r="C2071" s="43" t="s">
        <v>8537</v>
      </c>
      <c r="D2071" s="38" t="s">
        <v>12682</v>
      </c>
      <c r="E2071" s="44">
        <v>33</v>
      </c>
      <c r="F2071" s="45">
        <v>12021</v>
      </c>
      <c r="G2071" s="44">
        <v>47</v>
      </c>
      <c r="H2071" s="45">
        <v>14309</v>
      </c>
      <c r="I2071" s="45">
        <v>364.27272727272725</v>
      </c>
      <c r="J2071" s="45">
        <v>304.44680851063828</v>
      </c>
      <c r="K2071" s="46">
        <v>-0.16423386732792083</v>
      </c>
    </row>
    <row r="2072" spans="1:11" x14ac:dyDescent="0.2">
      <c r="A2072" s="38" t="s">
        <v>7</v>
      </c>
      <c r="B2072" s="38" t="s">
        <v>8539</v>
      </c>
      <c r="C2072" s="43" t="s">
        <v>8540</v>
      </c>
      <c r="D2072" s="38" t="s">
        <v>12658</v>
      </c>
      <c r="E2072" s="44">
        <v>1</v>
      </c>
      <c r="F2072" s="45">
        <v>329</v>
      </c>
      <c r="G2072" s="44">
        <v>2</v>
      </c>
      <c r="H2072" s="45">
        <v>658</v>
      </c>
      <c r="I2072" s="45">
        <v>329</v>
      </c>
      <c r="J2072" s="45">
        <v>329</v>
      </c>
      <c r="K2072" s="46">
        <v>0</v>
      </c>
    </row>
    <row r="2073" spans="1:11" x14ac:dyDescent="0.2">
      <c r="A2073" s="38" t="s">
        <v>7</v>
      </c>
      <c r="B2073" s="38" t="s">
        <v>8542</v>
      </c>
      <c r="C2073" s="43" t="s">
        <v>8543</v>
      </c>
      <c r="D2073" s="38" t="s">
        <v>12682</v>
      </c>
      <c r="G2073" s="44">
        <v>6</v>
      </c>
      <c r="H2073" s="45">
        <v>1939</v>
      </c>
      <c r="J2073" s="45">
        <v>323.16666666666669</v>
      </c>
    </row>
    <row r="2074" spans="1:11" x14ac:dyDescent="0.2">
      <c r="A2074" s="38" t="s">
        <v>7</v>
      </c>
      <c r="B2074" s="38" t="s">
        <v>8545</v>
      </c>
      <c r="C2074" s="43" t="s">
        <v>8546</v>
      </c>
      <c r="D2074" s="38" t="s">
        <v>12658</v>
      </c>
      <c r="E2074" s="44">
        <v>37</v>
      </c>
      <c r="F2074" s="45">
        <v>111</v>
      </c>
      <c r="G2074" s="44">
        <v>39</v>
      </c>
      <c r="H2074" s="45">
        <v>117</v>
      </c>
      <c r="I2074" s="45">
        <v>3</v>
      </c>
      <c r="J2074" s="45">
        <v>3</v>
      </c>
      <c r="K2074" s="46">
        <v>0</v>
      </c>
    </row>
    <row r="2075" spans="1:11" x14ac:dyDescent="0.2">
      <c r="A2075" s="38" t="s">
        <v>7</v>
      </c>
      <c r="B2075" s="38" t="s">
        <v>8551</v>
      </c>
      <c r="C2075" s="43" t="s">
        <v>8552</v>
      </c>
      <c r="D2075" s="38" t="s">
        <v>12658</v>
      </c>
      <c r="G2075" s="44">
        <v>19</v>
      </c>
      <c r="H2075" s="45">
        <v>1965</v>
      </c>
      <c r="J2075" s="45">
        <v>103.42105263157895</v>
      </c>
    </row>
    <row r="2076" spans="1:11" x14ac:dyDescent="0.2">
      <c r="A2076" s="38" t="s">
        <v>7</v>
      </c>
      <c r="B2076" s="38" t="s">
        <v>8554</v>
      </c>
      <c r="C2076" s="43" t="s">
        <v>8555</v>
      </c>
      <c r="D2076" s="38" t="s">
        <v>12658</v>
      </c>
      <c r="E2076" s="44">
        <v>100</v>
      </c>
      <c r="F2076" s="45">
        <v>21424</v>
      </c>
      <c r="G2076" s="44">
        <v>66</v>
      </c>
      <c r="H2076" s="45">
        <v>13276</v>
      </c>
      <c r="I2076" s="45">
        <v>214.24</v>
      </c>
      <c r="J2076" s="45">
        <v>201.15151515151516</v>
      </c>
      <c r="K2076" s="46">
        <v>-6.1092629053794124E-2</v>
      </c>
    </row>
    <row r="2077" spans="1:11" x14ac:dyDescent="0.2">
      <c r="A2077" s="38" t="s">
        <v>7</v>
      </c>
      <c r="B2077" s="38" t="s">
        <v>8557</v>
      </c>
      <c r="C2077" s="43" t="s">
        <v>8558</v>
      </c>
      <c r="D2077" s="38" t="s">
        <v>12658</v>
      </c>
      <c r="E2077" s="44">
        <v>26</v>
      </c>
      <c r="F2077" s="45">
        <v>694</v>
      </c>
      <c r="G2077" s="44">
        <v>15</v>
      </c>
      <c r="H2077" s="45">
        <v>405</v>
      </c>
      <c r="I2077" s="45">
        <v>26.692307692307693</v>
      </c>
      <c r="J2077" s="45">
        <v>27</v>
      </c>
      <c r="K2077" s="46">
        <v>1.1527377521613792E-2</v>
      </c>
    </row>
    <row r="2078" spans="1:11" x14ac:dyDescent="0.2">
      <c r="A2078" s="38" t="s">
        <v>7</v>
      </c>
      <c r="B2078" s="38" t="s">
        <v>8563</v>
      </c>
      <c r="C2078" s="43" t="s">
        <v>8564</v>
      </c>
      <c r="D2078" s="38" t="s">
        <v>12658</v>
      </c>
      <c r="E2078" s="44">
        <v>8</v>
      </c>
      <c r="F2078" s="45">
        <v>7070</v>
      </c>
      <c r="G2078" s="44">
        <v>4</v>
      </c>
      <c r="H2078" s="45">
        <v>3568</v>
      </c>
      <c r="I2078" s="45">
        <v>883.75</v>
      </c>
      <c r="J2078" s="45">
        <v>892</v>
      </c>
      <c r="K2078" s="46">
        <v>9.3352192362093356E-3</v>
      </c>
    </row>
    <row r="2079" spans="1:11" x14ac:dyDescent="0.2">
      <c r="A2079" s="38" t="s">
        <v>7</v>
      </c>
      <c r="B2079" s="38" t="s">
        <v>8566</v>
      </c>
      <c r="C2079" s="43" t="s">
        <v>8567</v>
      </c>
      <c r="D2079" s="38" t="s">
        <v>12682</v>
      </c>
      <c r="E2079" s="44">
        <v>90</v>
      </c>
      <c r="F2079" s="45">
        <v>14370</v>
      </c>
      <c r="G2079" s="44">
        <v>124</v>
      </c>
      <c r="H2079" s="45">
        <v>19128</v>
      </c>
      <c r="I2079" s="45">
        <v>159.66666666666666</v>
      </c>
      <c r="J2079" s="45">
        <v>154.25806451612902</v>
      </c>
      <c r="K2079" s="46">
        <v>-3.387433497205198E-2</v>
      </c>
    </row>
    <row r="2080" spans="1:11" x14ac:dyDescent="0.2">
      <c r="A2080" s="38" t="s">
        <v>7</v>
      </c>
      <c r="B2080" s="38" t="s">
        <v>8569</v>
      </c>
      <c r="C2080" s="43" t="s">
        <v>8570</v>
      </c>
      <c r="D2080" s="38" t="s">
        <v>12682</v>
      </c>
      <c r="E2080" s="44">
        <v>43</v>
      </c>
      <c r="F2080" s="45">
        <v>129</v>
      </c>
      <c r="G2080" s="44">
        <v>21</v>
      </c>
      <c r="H2080" s="45">
        <v>78</v>
      </c>
      <c r="I2080" s="45">
        <v>3</v>
      </c>
      <c r="J2080" s="45">
        <v>3.7142857142857144</v>
      </c>
      <c r="K2080" s="46">
        <v>0.23809523809523814</v>
      </c>
    </row>
    <row r="2081" spans="1:11" x14ac:dyDescent="0.2">
      <c r="A2081" s="38" t="s">
        <v>7</v>
      </c>
      <c r="B2081" s="38" t="s">
        <v>8572</v>
      </c>
      <c r="C2081" s="43" t="s">
        <v>8573</v>
      </c>
      <c r="D2081" s="38" t="s">
        <v>12682</v>
      </c>
      <c r="E2081" s="44">
        <v>37</v>
      </c>
      <c r="F2081" s="45">
        <v>15279</v>
      </c>
      <c r="G2081" s="44">
        <v>32</v>
      </c>
      <c r="H2081" s="45">
        <v>10808</v>
      </c>
      <c r="I2081" s="45">
        <v>412.94594594594594</v>
      </c>
      <c r="J2081" s="45">
        <v>337.75</v>
      </c>
      <c r="K2081" s="46">
        <v>-0.1820963413835984</v>
      </c>
    </row>
    <row r="2082" spans="1:11" x14ac:dyDescent="0.2">
      <c r="A2082" s="38" t="s">
        <v>7</v>
      </c>
      <c r="B2082" s="38" t="s">
        <v>8575</v>
      </c>
      <c r="C2082" s="43" t="s">
        <v>8576</v>
      </c>
      <c r="D2082" s="38" t="s">
        <v>12682</v>
      </c>
      <c r="E2082" s="44">
        <v>15</v>
      </c>
      <c r="F2082" s="45">
        <v>600</v>
      </c>
      <c r="G2082" s="44">
        <v>5</v>
      </c>
      <c r="H2082" s="45">
        <v>210</v>
      </c>
      <c r="I2082" s="45">
        <v>40</v>
      </c>
      <c r="J2082" s="45">
        <v>42</v>
      </c>
      <c r="K2082" s="46">
        <v>0.05</v>
      </c>
    </row>
    <row r="2083" spans="1:11" x14ac:dyDescent="0.2">
      <c r="A2083" s="38" t="s">
        <v>7</v>
      </c>
      <c r="B2083" s="38" t="s">
        <v>8580</v>
      </c>
      <c r="C2083" s="43" t="s">
        <v>8581</v>
      </c>
      <c r="D2083" s="38" t="s">
        <v>12682</v>
      </c>
      <c r="G2083" s="44">
        <v>13</v>
      </c>
      <c r="H2083" s="45">
        <v>1428</v>
      </c>
      <c r="J2083" s="45">
        <v>109.84615384615384</v>
      </c>
    </row>
    <row r="2084" spans="1:11" x14ac:dyDescent="0.2">
      <c r="A2084" s="38" t="s">
        <v>7</v>
      </c>
      <c r="B2084" s="38" t="s">
        <v>8582</v>
      </c>
      <c r="C2084" s="43" t="s">
        <v>8583</v>
      </c>
      <c r="D2084" s="38" t="s">
        <v>12682</v>
      </c>
      <c r="G2084" s="44">
        <v>2</v>
      </c>
      <c r="H2084" s="45">
        <v>566</v>
      </c>
      <c r="J2084" s="45">
        <v>283</v>
      </c>
    </row>
    <row r="2085" spans="1:11" x14ac:dyDescent="0.2">
      <c r="A2085" s="38" t="s">
        <v>7</v>
      </c>
      <c r="B2085" s="38" t="s">
        <v>8588</v>
      </c>
      <c r="C2085" s="43" t="s">
        <v>8589</v>
      </c>
      <c r="D2085" s="38" t="s">
        <v>12226</v>
      </c>
      <c r="E2085" s="44">
        <v>86</v>
      </c>
      <c r="F2085" s="45">
        <v>25178</v>
      </c>
      <c r="G2085" s="44">
        <v>59</v>
      </c>
      <c r="H2085" s="45">
        <v>18948</v>
      </c>
      <c r="I2085" s="45">
        <v>292.76744186046511</v>
      </c>
      <c r="J2085" s="45">
        <v>321.15254237288133</v>
      </c>
      <c r="K2085" s="46">
        <v>9.6954430219548596E-2</v>
      </c>
    </row>
    <row r="2086" spans="1:11" x14ac:dyDescent="0.2">
      <c r="A2086" s="38" t="s">
        <v>7</v>
      </c>
      <c r="B2086" s="38" t="s">
        <v>8594</v>
      </c>
      <c r="C2086" s="43" t="s">
        <v>8595</v>
      </c>
      <c r="D2086" s="38" t="s">
        <v>12682</v>
      </c>
      <c r="E2086" s="44">
        <v>4</v>
      </c>
      <c r="F2086" s="45">
        <v>5610</v>
      </c>
      <c r="G2086" s="44">
        <v>3</v>
      </c>
      <c r="H2086" s="45">
        <v>4287</v>
      </c>
      <c r="I2086" s="45">
        <v>1402.5</v>
      </c>
      <c r="J2086" s="45">
        <v>1429</v>
      </c>
      <c r="K2086" s="46">
        <v>1.8894830659536541E-2</v>
      </c>
    </row>
    <row r="2087" spans="1:11" x14ac:dyDescent="0.2">
      <c r="A2087" s="38" t="s">
        <v>7</v>
      </c>
      <c r="B2087" s="38" t="s">
        <v>8597</v>
      </c>
      <c r="C2087" s="43" t="s">
        <v>8598</v>
      </c>
      <c r="D2087" s="38" t="s">
        <v>12682</v>
      </c>
      <c r="G2087" s="44">
        <v>5</v>
      </c>
      <c r="H2087" s="45">
        <v>2120</v>
      </c>
      <c r="J2087" s="45">
        <v>424</v>
      </c>
    </row>
    <row r="2088" spans="1:11" x14ac:dyDescent="0.2">
      <c r="A2088" s="38" t="s">
        <v>7</v>
      </c>
      <c r="B2088" s="38" t="s">
        <v>8600</v>
      </c>
      <c r="C2088" s="43" t="s">
        <v>8601</v>
      </c>
      <c r="D2088" s="38" t="s">
        <v>12682</v>
      </c>
      <c r="G2088" s="44">
        <v>1</v>
      </c>
      <c r="H2088" s="45">
        <v>22.25</v>
      </c>
      <c r="J2088" s="45">
        <v>22.25</v>
      </c>
    </row>
    <row r="2089" spans="1:11" x14ac:dyDescent="0.2">
      <c r="A2089" s="38" t="s">
        <v>7</v>
      </c>
      <c r="B2089" s="38" t="s">
        <v>8605</v>
      </c>
      <c r="C2089" s="43" t="s">
        <v>8606</v>
      </c>
      <c r="D2089" s="38" t="s">
        <v>12682</v>
      </c>
      <c r="G2089" s="44">
        <v>7</v>
      </c>
      <c r="H2089" s="45">
        <v>259</v>
      </c>
      <c r="J2089" s="45">
        <v>37</v>
      </c>
    </row>
    <row r="2090" spans="1:11" x14ac:dyDescent="0.2">
      <c r="A2090" s="38" t="s">
        <v>7</v>
      </c>
      <c r="B2090" s="38" t="s">
        <v>8607</v>
      </c>
      <c r="C2090" s="43" t="s">
        <v>8608</v>
      </c>
      <c r="D2090" s="38" t="s">
        <v>12682</v>
      </c>
      <c r="G2090" s="44">
        <v>2</v>
      </c>
      <c r="H2090" s="45">
        <v>88</v>
      </c>
      <c r="J2090" s="45">
        <v>44</v>
      </c>
    </row>
    <row r="2091" spans="1:11" x14ac:dyDescent="0.2">
      <c r="A2091" s="38" t="s">
        <v>7</v>
      </c>
      <c r="B2091" s="38" t="s">
        <v>8609</v>
      </c>
      <c r="C2091" s="43" t="s">
        <v>8610</v>
      </c>
      <c r="D2091" s="38" t="s">
        <v>12682</v>
      </c>
      <c r="E2091" s="44">
        <v>10</v>
      </c>
      <c r="F2091" s="45">
        <v>234</v>
      </c>
      <c r="G2091" s="44">
        <v>10</v>
      </c>
      <c r="H2091" s="45">
        <v>240</v>
      </c>
      <c r="I2091" s="45">
        <v>23.4</v>
      </c>
      <c r="J2091" s="45">
        <v>24</v>
      </c>
      <c r="K2091" s="46">
        <v>2.5641025641025703E-2</v>
      </c>
    </row>
    <row r="2092" spans="1:11" x14ac:dyDescent="0.2">
      <c r="A2092" s="38" t="s">
        <v>7</v>
      </c>
      <c r="B2092" s="38" t="s">
        <v>8615</v>
      </c>
      <c r="C2092" s="43" t="s">
        <v>8616</v>
      </c>
      <c r="D2092" s="38" t="s">
        <v>12658</v>
      </c>
      <c r="G2092" s="44">
        <v>3</v>
      </c>
      <c r="H2092" s="45">
        <v>102</v>
      </c>
      <c r="J2092" s="45">
        <v>34</v>
      </c>
    </row>
    <row r="2093" spans="1:11" x14ac:dyDescent="0.2">
      <c r="A2093" s="38" t="s">
        <v>7</v>
      </c>
      <c r="B2093" s="38" t="s">
        <v>8618</v>
      </c>
      <c r="C2093" s="43" t="s">
        <v>8619</v>
      </c>
      <c r="D2093" s="38" t="s">
        <v>12658</v>
      </c>
      <c r="G2093" s="44">
        <v>5</v>
      </c>
      <c r="H2093" s="45">
        <v>230</v>
      </c>
      <c r="J2093" s="45">
        <v>46</v>
      </c>
    </row>
    <row r="2094" spans="1:11" x14ac:dyDescent="0.2">
      <c r="A2094" s="38" t="s">
        <v>7</v>
      </c>
      <c r="B2094" s="38" t="s">
        <v>8621</v>
      </c>
      <c r="C2094" s="43" t="s">
        <v>8622</v>
      </c>
      <c r="D2094" s="38" t="s">
        <v>12658</v>
      </c>
      <c r="E2094" s="44">
        <v>18</v>
      </c>
      <c r="F2094" s="45">
        <v>460</v>
      </c>
      <c r="G2094" s="44">
        <v>24</v>
      </c>
      <c r="H2094" s="45">
        <v>552</v>
      </c>
      <c r="I2094" s="45">
        <v>25.555555555555557</v>
      </c>
      <c r="J2094" s="45">
        <v>23</v>
      </c>
      <c r="K2094" s="46">
        <v>-0.10000000000000006</v>
      </c>
    </row>
    <row r="2095" spans="1:11" x14ac:dyDescent="0.2">
      <c r="A2095" s="38" t="s">
        <v>7</v>
      </c>
      <c r="B2095" s="38" t="s">
        <v>8624</v>
      </c>
      <c r="C2095" s="43" t="s">
        <v>8625</v>
      </c>
      <c r="D2095" s="38" t="s">
        <v>12658</v>
      </c>
      <c r="E2095" s="44">
        <v>13</v>
      </c>
      <c r="F2095" s="45">
        <v>421</v>
      </c>
      <c r="G2095" s="44">
        <v>3</v>
      </c>
      <c r="H2095" s="45">
        <v>99</v>
      </c>
      <c r="I2095" s="45">
        <v>32.384615384615387</v>
      </c>
      <c r="J2095" s="45">
        <v>33</v>
      </c>
      <c r="K2095" s="46">
        <v>1.9002375296912045E-2</v>
      </c>
    </row>
    <row r="2096" spans="1:11" x14ac:dyDescent="0.2">
      <c r="A2096" s="38" t="s">
        <v>7</v>
      </c>
      <c r="B2096" s="38" t="s">
        <v>8627</v>
      </c>
      <c r="C2096" s="43" t="s">
        <v>8628</v>
      </c>
      <c r="D2096" s="38" t="s">
        <v>12658</v>
      </c>
      <c r="E2096" s="44">
        <v>24</v>
      </c>
      <c r="F2096" s="45">
        <v>606</v>
      </c>
      <c r="G2096" s="44">
        <v>30</v>
      </c>
      <c r="H2096" s="45">
        <v>708</v>
      </c>
      <c r="I2096" s="45">
        <v>25.25</v>
      </c>
      <c r="J2096" s="45">
        <v>23.6</v>
      </c>
      <c r="K2096" s="46">
        <v>-6.5346534653465294E-2</v>
      </c>
    </row>
    <row r="2097" spans="1:11" x14ac:dyDescent="0.2">
      <c r="A2097" s="38" t="s">
        <v>7</v>
      </c>
      <c r="B2097" s="38" t="s">
        <v>8630</v>
      </c>
      <c r="C2097" s="43" t="s">
        <v>8631</v>
      </c>
      <c r="D2097" s="38" t="s">
        <v>12658</v>
      </c>
      <c r="E2097" s="44">
        <v>42</v>
      </c>
      <c r="F2097" s="45">
        <v>1218</v>
      </c>
      <c r="G2097" s="44">
        <v>24</v>
      </c>
      <c r="H2097" s="45">
        <v>558</v>
      </c>
      <c r="I2097" s="45">
        <v>29</v>
      </c>
      <c r="J2097" s="45">
        <v>23.25</v>
      </c>
      <c r="K2097" s="46">
        <v>-0.19827586206896552</v>
      </c>
    </row>
    <row r="2098" spans="1:11" x14ac:dyDescent="0.2">
      <c r="A2098" s="38" t="s">
        <v>7</v>
      </c>
      <c r="B2098" s="38" t="s">
        <v>8633</v>
      </c>
      <c r="C2098" s="43" t="s">
        <v>8634</v>
      </c>
      <c r="D2098" s="38" t="s">
        <v>12658</v>
      </c>
      <c r="E2098" s="44">
        <v>92</v>
      </c>
      <c r="F2098" s="45">
        <v>3314</v>
      </c>
      <c r="G2098" s="44">
        <v>147</v>
      </c>
      <c r="H2098" s="45">
        <v>4045</v>
      </c>
      <c r="I2098" s="45">
        <v>36.021739130434781</v>
      </c>
      <c r="J2098" s="45">
        <v>27.517006802721088</v>
      </c>
      <c r="K2098" s="46">
        <v>-0.23609999219965594</v>
      </c>
    </row>
    <row r="2099" spans="1:11" x14ac:dyDescent="0.2">
      <c r="A2099" s="38" t="s">
        <v>7</v>
      </c>
      <c r="B2099" s="38" t="s">
        <v>8636</v>
      </c>
      <c r="C2099" s="43" t="s">
        <v>8637</v>
      </c>
      <c r="D2099" s="38" t="s">
        <v>12658</v>
      </c>
      <c r="G2099" s="44">
        <v>36</v>
      </c>
      <c r="H2099" s="45">
        <v>113.04</v>
      </c>
      <c r="J2099" s="45">
        <v>3.14</v>
      </c>
    </row>
    <row r="2100" spans="1:11" x14ac:dyDescent="0.2">
      <c r="A2100" s="38" t="s">
        <v>7</v>
      </c>
      <c r="B2100" s="38" t="s">
        <v>8642</v>
      </c>
      <c r="C2100" s="43" t="s">
        <v>8643</v>
      </c>
      <c r="D2100" s="38" t="s">
        <v>12682</v>
      </c>
      <c r="E2100" s="44">
        <v>21</v>
      </c>
      <c r="F2100" s="45">
        <v>921</v>
      </c>
      <c r="G2100" s="44">
        <v>12</v>
      </c>
      <c r="H2100" s="45">
        <v>296</v>
      </c>
      <c r="I2100" s="45">
        <v>43.857142857142854</v>
      </c>
      <c r="J2100" s="45">
        <v>24.666666666666668</v>
      </c>
      <c r="K2100" s="46">
        <v>-0.43756786102062967</v>
      </c>
    </row>
    <row r="2101" spans="1:11" x14ac:dyDescent="0.2">
      <c r="A2101" s="38" t="s">
        <v>7</v>
      </c>
      <c r="B2101" s="38" t="s">
        <v>8645</v>
      </c>
      <c r="C2101" s="43" t="s">
        <v>8646</v>
      </c>
      <c r="D2101" s="38" t="s">
        <v>12682</v>
      </c>
      <c r="G2101" s="44">
        <v>2</v>
      </c>
      <c r="H2101" s="45">
        <v>1942</v>
      </c>
      <c r="J2101" s="45">
        <v>971</v>
      </c>
    </row>
    <row r="2102" spans="1:11" x14ac:dyDescent="0.2">
      <c r="A2102" s="38" t="s">
        <v>7</v>
      </c>
      <c r="B2102" s="38" t="s">
        <v>8648</v>
      </c>
      <c r="C2102" s="43" t="s">
        <v>8649</v>
      </c>
      <c r="D2102" s="38" t="s">
        <v>12682</v>
      </c>
      <c r="E2102" s="44">
        <v>39</v>
      </c>
      <c r="F2102" s="45">
        <v>24696</v>
      </c>
      <c r="G2102" s="44">
        <v>34</v>
      </c>
      <c r="H2102" s="45">
        <v>22032</v>
      </c>
      <c r="I2102" s="45">
        <v>633.23076923076928</v>
      </c>
      <c r="J2102" s="45">
        <v>648</v>
      </c>
      <c r="K2102" s="46">
        <v>2.3323615160349771E-2</v>
      </c>
    </row>
    <row r="2103" spans="1:11" x14ac:dyDescent="0.2">
      <c r="A2103" s="38" t="s">
        <v>7</v>
      </c>
      <c r="B2103" s="38" t="s">
        <v>8651</v>
      </c>
      <c r="C2103" s="43" t="s">
        <v>8652</v>
      </c>
      <c r="D2103" s="38" t="s">
        <v>12888</v>
      </c>
      <c r="G2103" s="44">
        <v>6</v>
      </c>
      <c r="H2103" s="45">
        <v>640</v>
      </c>
      <c r="J2103" s="45">
        <v>106.66666666666667</v>
      </c>
    </row>
    <row r="2104" spans="1:11" x14ac:dyDescent="0.2">
      <c r="A2104" s="38" t="s">
        <v>7</v>
      </c>
      <c r="B2104" s="38" t="s">
        <v>8657</v>
      </c>
      <c r="C2104" s="43" t="s">
        <v>8658</v>
      </c>
      <c r="D2104" s="38" t="s">
        <v>12658</v>
      </c>
      <c r="E2104" s="44">
        <v>24</v>
      </c>
      <c r="F2104" s="45">
        <v>714</v>
      </c>
      <c r="G2104" s="44">
        <v>25</v>
      </c>
      <c r="H2104" s="45">
        <v>738</v>
      </c>
      <c r="I2104" s="45">
        <v>29.75</v>
      </c>
      <c r="J2104" s="45">
        <v>29.52</v>
      </c>
      <c r="K2104" s="46">
        <v>-7.7310924369748046E-3</v>
      </c>
    </row>
    <row r="2105" spans="1:11" x14ac:dyDescent="0.2">
      <c r="A2105" s="38" t="s">
        <v>7</v>
      </c>
      <c r="B2105" s="38" t="s">
        <v>8660</v>
      </c>
      <c r="C2105" s="43" t="s">
        <v>8661</v>
      </c>
      <c r="D2105" s="38" t="s">
        <v>12658</v>
      </c>
      <c r="E2105" s="44">
        <v>5</v>
      </c>
      <c r="F2105" s="45">
        <v>225</v>
      </c>
      <c r="G2105" s="44">
        <v>9</v>
      </c>
      <c r="H2105" s="45">
        <v>430</v>
      </c>
      <c r="I2105" s="45">
        <v>45</v>
      </c>
      <c r="J2105" s="45">
        <v>47.777777777777779</v>
      </c>
      <c r="K2105" s="46">
        <v>6.1728395061728412E-2</v>
      </c>
    </row>
    <row r="2106" spans="1:11" x14ac:dyDescent="0.2">
      <c r="A2106" s="38" t="s">
        <v>7</v>
      </c>
      <c r="B2106" s="38" t="s">
        <v>8663</v>
      </c>
      <c r="C2106" s="43" t="s">
        <v>8664</v>
      </c>
      <c r="D2106" s="38" t="s">
        <v>12682</v>
      </c>
      <c r="G2106" s="44">
        <v>4</v>
      </c>
      <c r="H2106" s="45">
        <v>228</v>
      </c>
      <c r="J2106" s="45">
        <v>57</v>
      </c>
    </row>
    <row r="2107" spans="1:11" x14ac:dyDescent="0.2">
      <c r="A2107" s="38" t="s">
        <v>7</v>
      </c>
      <c r="B2107" s="38" t="s">
        <v>8666</v>
      </c>
      <c r="C2107" s="43" t="s">
        <v>8667</v>
      </c>
      <c r="D2107" s="38" t="s">
        <v>12682</v>
      </c>
      <c r="G2107" s="44">
        <v>1</v>
      </c>
      <c r="H2107" s="45">
        <v>44.25</v>
      </c>
      <c r="J2107" s="45">
        <v>44.25</v>
      </c>
    </row>
    <row r="2108" spans="1:11" x14ac:dyDescent="0.2">
      <c r="A2108" s="38" t="s">
        <v>7</v>
      </c>
      <c r="B2108" s="38" t="s">
        <v>8669</v>
      </c>
      <c r="C2108" s="43" t="s">
        <v>8670</v>
      </c>
      <c r="D2108" s="38" t="s">
        <v>12658</v>
      </c>
      <c r="E2108" s="44">
        <v>128</v>
      </c>
      <c r="F2108" s="45">
        <v>3248</v>
      </c>
      <c r="G2108" s="44">
        <v>156</v>
      </c>
      <c r="H2108" s="45">
        <v>3792</v>
      </c>
      <c r="I2108" s="45">
        <v>25.375</v>
      </c>
      <c r="J2108" s="45">
        <v>24.307692307692307</v>
      </c>
      <c r="K2108" s="46">
        <v>-4.2061386888973137E-2</v>
      </c>
    </row>
    <row r="2109" spans="1:11" x14ac:dyDescent="0.2">
      <c r="A2109" s="38" t="s">
        <v>7</v>
      </c>
      <c r="B2109" s="38" t="s">
        <v>8678</v>
      </c>
      <c r="C2109" s="43" t="s">
        <v>8679</v>
      </c>
      <c r="D2109" s="38" t="s">
        <v>12889</v>
      </c>
      <c r="E2109" s="44">
        <v>43900</v>
      </c>
      <c r="F2109" s="45">
        <v>139163</v>
      </c>
      <c r="G2109" s="44">
        <v>88400</v>
      </c>
      <c r="H2109" s="45">
        <v>237913</v>
      </c>
      <c r="I2109" s="45">
        <v>3.17</v>
      </c>
      <c r="J2109" s="45">
        <v>2.6913235294117648</v>
      </c>
      <c r="K2109" s="46">
        <v>-0.15100204119502686</v>
      </c>
    </row>
    <row r="2110" spans="1:11" x14ac:dyDescent="0.2">
      <c r="A2110" s="38" t="s">
        <v>7</v>
      </c>
      <c r="B2110" s="38" t="s">
        <v>8681</v>
      </c>
      <c r="C2110" s="43" t="s">
        <v>8682</v>
      </c>
      <c r="D2110" s="38" t="s">
        <v>12890</v>
      </c>
      <c r="E2110" s="44">
        <v>2700</v>
      </c>
      <c r="F2110" s="45">
        <v>2700</v>
      </c>
      <c r="G2110" s="44">
        <v>600</v>
      </c>
      <c r="H2110" s="45">
        <v>600</v>
      </c>
      <c r="I2110" s="45">
        <v>1</v>
      </c>
      <c r="J2110" s="45">
        <v>1</v>
      </c>
      <c r="K2110" s="46">
        <v>0</v>
      </c>
    </row>
    <row r="2111" spans="1:11" x14ac:dyDescent="0.2">
      <c r="A2111" s="38" t="s">
        <v>7</v>
      </c>
      <c r="B2111" s="38" t="s">
        <v>8684</v>
      </c>
      <c r="C2111" s="43" t="s">
        <v>8685</v>
      </c>
      <c r="D2111" s="38" t="s">
        <v>12891</v>
      </c>
      <c r="E2111" s="44">
        <v>24480</v>
      </c>
      <c r="F2111" s="45">
        <v>69139.199999999997</v>
      </c>
      <c r="G2111" s="44">
        <v>32250</v>
      </c>
      <c r="H2111" s="45">
        <v>96750</v>
      </c>
      <c r="I2111" s="45">
        <v>2.824313725490196</v>
      </c>
      <c r="J2111" s="45">
        <v>3</v>
      </c>
      <c r="K2111" s="46">
        <v>6.2204943071369097E-2</v>
      </c>
    </row>
    <row r="2112" spans="1:11" x14ac:dyDescent="0.2">
      <c r="A2112" s="38" t="s">
        <v>7</v>
      </c>
      <c r="B2112" s="38" t="s">
        <v>8686</v>
      </c>
      <c r="C2112" s="43" t="s">
        <v>8687</v>
      </c>
      <c r="D2112" s="38" t="s">
        <v>12892</v>
      </c>
      <c r="E2112" s="44">
        <v>2100</v>
      </c>
      <c r="F2112" s="45">
        <v>49200</v>
      </c>
      <c r="G2112" s="44">
        <v>2250</v>
      </c>
      <c r="H2112" s="45">
        <v>50700</v>
      </c>
      <c r="I2112" s="45">
        <v>23.428571428571427</v>
      </c>
      <c r="J2112" s="45">
        <v>22.533333333333335</v>
      </c>
      <c r="K2112" s="46">
        <v>-3.8211382113821003E-2</v>
      </c>
    </row>
    <row r="2113" spans="1:11" x14ac:dyDescent="0.2">
      <c r="A2113" s="38" t="s">
        <v>7</v>
      </c>
      <c r="B2113" s="38" t="s">
        <v>8689</v>
      </c>
      <c r="C2113" s="43" t="s">
        <v>8690</v>
      </c>
      <c r="D2113" s="38" t="s">
        <v>12893</v>
      </c>
      <c r="E2113" s="44">
        <v>423075</v>
      </c>
      <c r="F2113" s="45">
        <v>21018845</v>
      </c>
      <c r="G2113" s="44">
        <v>487750</v>
      </c>
      <c r="H2113" s="45">
        <v>20609250</v>
      </c>
      <c r="I2113" s="45">
        <v>49.681132186964483</v>
      </c>
      <c r="J2113" s="45">
        <v>42.253716043054844</v>
      </c>
      <c r="K2113" s="46">
        <v>-0.14950174879183756</v>
      </c>
    </row>
    <row r="2114" spans="1:11" x14ac:dyDescent="0.2">
      <c r="A2114" s="38" t="s">
        <v>7</v>
      </c>
      <c r="B2114" s="38" t="s">
        <v>8692</v>
      </c>
      <c r="C2114" s="43" t="s">
        <v>8693</v>
      </c>
      <c r="D2114" s="38" t="s">
        <v>12894</v>
      </c>
      <c r="E2114" s="44">
        <v>520</v>
      </c>
      <c r="F2114" s="45">
        <v>15180</v>
      </c>
      <c r="G2114" s="44">
        <v>490</v>
      </c>
      <c r="H2114" s="45">
        <v>11620</v>
      </c>
      <c r="I2114" s="45">
        <v>29.192307692307693</v>
      </c>
      <c r="J2114" s="45">
        <v>23.714285714285715</v>
      </c>
      <c r="K2114" s="46">
        <v>-0.18765292678336157</v>
      </c>
    </row>
    <row r="2115" spans="1:11" x14ac:dyDescent="0.2">
      <c r="A2115" s="38" t="s">
        <v>7</v>
      </c>
      <c r="B2115" s="38" t="s">
        <v>8697</v>
      </c>
      <c r="C2115" s="43" t="s">
        <v>8698</v>
      </c>
      <c r="D2115" s="38" t="s">
        <v>12682</v>
      </c>
      <c r="E2115" s="44">
        <v>31</v>
      </c>
      <c r="F2115" s="45">
        <v>10465</v>
      </c>
      <c r="G2115" s="44">
        <v>25</v>
      </c>
      <c r="H2115" s="45">
        <v>16365</v>
      </c>
      <c r="I2115" s="45">
        <v>337.58064516129031</v>
      </c>
      <c r="J2115" s="45">
        <v>654.6</v>
      </c>
      <c r="K2115" s="46">
        <v>0.93909221213569061</v>
      </c>
    </row>
    <row r="2116" spans="1:11" x14ac:dyDescent="0.2">
      <c r="A2116" s="38" t="s">
        <v>7</v>
      </c>
      <c r="B2116" s="38" t="s">
        <v>8703</v>
      </c>
      <c r="C2116" s="43" t="s">
        <v>8704</v>
      </c>
      <c r="D2116" s="38" t="s">
        <v>12682</v>
      </c>
      <c r="E2116" s="44">
        <v>76</v>
      </c>
      <c r="F2116" s="45">
        <v>25342</v>
      </c>
      <c r="G2116" s="44">
        <v>37</v>
      </c>
      <c r="H2116" s="45">
        <v>13719</v>
      </c>
      <c r="I2116" s="45">
        <v>333.44736842105266</v>
      </c>
      <c r="J2116" s="45">
        <v>370.7837837837838</v>
      </c>
      <c r="K2116" s="46">
        <v>0.1119709402402165</v>
      </c>
    </row>
    <row r="2117" spans="1:11" x14ac:dyDescent="0.2">
      <c r="A2117" s="38" t="s">
        <v>7</v>
      </c>
      <c r="B2117" s="38" t="s">
        <v>8706</v>
      </c>
      <c r="C2117" s="43" t="s">
        <v>8707</v>
      </c>
      <c r="D2117" s="38" t="s">
        <v>12682</v>
      </c>
      <c r="E2117" s="44">
        <v>51</v>
      </c>
      <c r="F2117" s="45">
        <v>16564</v>
      </c>
      <c r="G2117" s="44">
        <v>22</v>
      </c>
      <c r="H2117" s="45">
        <v>8374</v>
      </c>
      <c r="I2117" s="45">
        <v>324.78431372549022</v>
      </c>
      <c r="J2117" s="45">
        <v>380.63636363636363</v>
      </c>
      <c r="K2117" s="46">
        <v>0.17196658690259256</v>
      </c>
    </row>
    <row r="2118" spans="1:11" x14ac:dyDescent="0.2">
      <c r="A2118" s="38" t="s">
        <v>7</v>
      </c>
      <c r="B2118" s="38" t="s">
        <v>8712</v>
      </c>
      <c r="C2118" s="43" t="s">
        <v>8713</v>
      </c>
      <c r="D2118" s="38" t="s">
        <v>12682</v>
      </c>
      <c r="G2118" s="44">
        <v>8</v>
      </c>
      <c r="H2118" s="45">
        <v>1792</v>
      </c>
      <c r="J2118" s="45">
        <v>224</v>
      </c>
    </row>
    <row r="2119" spans="1:11" x14ac:dyDescent="0.2">
      <c r="A2119" s="38" t="s">
        <v>7</v>
      </c>
      <c r="B2119" s="38" t="s">
        <v>8721</v>
      </c>
      <c r="C2119" s="43" t="s">
        <v>8722</v>
      </c>
      <c r="D2119" s="38" t="s">
        <v>12682</v>
      </c>
      <c r="E2119" s="44">
        <v>54</v>
      </c>
      <c r="F2119" s="45">
        <v>19764</v>
      </c>
      <c r="G2119" s="44">
        <v>49</v>
      </c>
      <c r="H2119" s="45">
        <v>24522</v>
      </c>
      <c r="I2119" s="45">
        <v>366</v>
      </c>
      <c r="J2119" s="45">
        <v>500.44897959183675</v>
      </c>
      <c r="K2119" s="46">
        <v>0.36734693877551022</v>
      </c>
    </row>
    <row r="2120" spans="1:11" x14ac:dyDescent="0.2">
      <c r="A2120" s="38" t="s">
        <v>7</v>
      </c>
      <c r="B2120" s="38" t="s">
        <v>8727</v>
      </c>
      <c r="C2120" s="43" t="s">
        <v>8728</v>
      </c>
      <c r="D2120" s="38" t="s">
        <v>12895</v>
      </c>
      <c r="E2120" s="44">
        <v>308</v>
      </c>
      <c r="F2120" s="45">
        <v>205982</v>
      </c>
      <c r="G2120" s="44">
        <v>379</v>
      </c>
      <c r="H2120" s="45">
        <v>221625</v>
      </c>
      <c r="I2120" s="45">
        <v>668.77272727272725</v>
      </c>
      <c r="J2120" s="45">
        <v>584.7625329815304</v>
      </c>
      <c r="K2120" s="46">
        <v>-0.12561845132918717</v>
      </c>
    </row>
    <row r="2121" spans="1:11" x14ac:dyDescent="0.2">
      <c r="A2121" s="38" t="s">
        <v>7</v>
      </c>
      <c r="B2121" s="38" t="s">
        <v>8730</v>
      </c>
      <c r="C2121" s="43" t="s">
        <v>8731</v>
      </c>
      <c r="D2121" s="38" t="s">
        <v>12682</v>
      </c>
      <c r="G2121" s="44">
        <v>7</v>
      </c>
      <c r="H2121" s="45">
        <v>4760</v>
      </c>
      <c r="J2121" s="45">
        <v>680</v>
      </c>
    </row>
    <row r="2122" spans="1:11" x14ac:dyDescent="0.2">
      <c r="A2122" s="38" t="s">
        <v>7</v>
      </c>
      <c r="B2122" s="38" t="s">
        <v>8733</v>
      </c>
      <c r="C2122" s="43" t="s">
        <v>8734</v>
      </c>
      <c r="D2122" s="38" t="s">
        <v>12682</v>
      </c>
      <c r="G2122" s="44">
        <v>1</v>
      </c>
      <c r="H2122" s="45">
        <v>308</v>
      </c>
      <c r="J2122" s="45">
        <v>308</v>
      </c>
    </row>
    <row r="2123" spans="1:11" x14ac:dyDescent="0.2">
      <c r="A2123" s="38" t="s">
        <v>7</v>
      </c>
      <c r="B2123" s="38" t="s">
        <v>8736</v>
      </c>
      <c r="C2123" s="43" t="s">
        <v>8737</v>
      </c>
      <c r="D2123" s="38" t="s">
        <v>12682</v>
      </c>
      <c r="E2123" s="44">
        <v>1</v>
      </c>
      <c r="F2123" s="45">
        <v>617</v>
      </c>
      <c r="G2123" s="44">
        <v>2</v>
      </c>
      <c r="H2123" s="45">
        <v>1234</v>
      </c>
      <c r="I2123" s="45">
        <v>617</v>
      </c>
      <c r="J2123" s="45">
        <v>617</v>
      </c>
      <c r="K2123" s="46">
        <v>0</v>
      </c>
    </row>
    <row r="2124" spans="1:11" x14ac:dyDescent="0.2">
      <c r="A2124" s="38" t="s">
        <v>7</v>
      </c>
      <c r="B2124" s="38" t="s">
        <v>8739</v>
      </c>
      <c r="C2124" s="43" t="s">
        <v>8740</v>
      </c>
      <c r="D2124" s="38" t="s">
        <v>12896</v>
      </c>
      <c r="E2124" s="44">
        <v>347</v>
      </c>
      <c r="F2124" s="45">
        <v>291562</v>
      </c>
      <c r="G2124" s="44">
        <v>409</v>
      </c>
      <c r="H2124" s="45">
        <v>320942</v>
      </c>
      <c r="I2124" s="45">
        <v>840.23631123919313</v>
      </c>
      <c r="J2124" s="45">
        <v>784.69926650366745</v>
      </c>
      <c r="K2124" s="46">
        <v>-6.6096934865405674E-2</v>
      </c>
    </row>
    <row r="2125" spans="1:11" x14ac:dyDescent="0.2">
      <c r="A2125" s="38" t="s">
        <v>7</v>
      </c>
      <c r="B2125" s="38" t="s">
        <v>8742</v>
      </c>
      <c r="C2125" s="43" t="s">
        <v>8743</v>
      </c>
      <c r="D2125" s="38" t="s">
        <v>12682</v>
      </c>
      <c r="G2125" s="44">
        <v>5</v>
      </c>
      <c r="H2125" s="45">
        <v>3460</v>
      </c>
      <c r="J2125" s="45">
        <v>692</v>
      </c>
    </row>
    <row r="2126" spans="1:11" x14ac:dyDescent="0.2">
      <c r="A2126" s="38" t="s">
        <v>7</v>
      </c>
      <c r="B2126" s="38" t="s">
        <v>8745</v>
      </c>
      <c r="C2126" s="43" t="s">
        <v>8746</v>
      </c>
      <c r="D2126" s="38" t="s">
        <v>12682</v>
      </c>
      <c r="E2126" s="44">
        <v>387</v>
      </c>
      <c r="F2126" s="45">
        <v>327081</v>
      </c>
      <c r="G2126" s="44">
        <v>364</v>
      </c>
      <c r="H2126" s="45">
        <v>262920</v>
      </c>
      <c r="I2126" s="45">
        <v>845.17054263565888</v>
      </c>
      <c r="J2126" s="45">
        <v>722.30769230769226</v>
      </c>
      <c r="K2126" s="46">
        <v>-0.14537048338767181</v>
      </c>
    </row>
    <row r="2127" spans="1:11" x14ac:dyDescent="0.2">
      <c r="A2127" s="38" t="s">
        <v>7</v>
      </c>
      <c r="B2127" s="38" t="s">
        <v>8751</v>
      </c>
      <c r="C2127" s="43" t="s">
        <v>8752</v>
      </c>
      <c r="D2127" s="38" t="s">
        <v>12682</v>
      </c>
      <c r="G2127" s="44">
        <v>4</v>
      </c>
      <c r="H2127" s="45">
        <v>2720</v>
      </c>
      <c r="J2127" s="45">
        <v>680</v>
      </c>
    </row>
    <row r="2128" spans="1:11" x14ac:dyDescent="0.2">
      <c r="A2128" s="38" t="s">
        <v>7</v>
      </c>
      <c r="B2128" s="38" t="s">
        <v>8754</v>
      </c>
      <c r="C2128" s="43" t="s">
        <v>8755</v>
      </c>
      <c r="D2128" s="38" t="s">
        <v>12897</v>
      </c>
      <c r="G2128" s="44">
        <v>5</v>
      </c>
      <c r="H2128" s="45">
        <v>1809</v>
      </c>
      <c r="J2128" s="45">
        <v>361.8</v>
      </c>
    </row>
    <row r="2129" spans="1:11" x14ac:dyDescent="0.2">
      <c r="A2129" s="38" t="s">
        <v>7</v>
      </c>
      <c r="B2129" s="38" t="s">
        <v>8757</v>
      </c>
      <c r="C2129" s="43" t="s">
        <v>8758</v>
      </c>
      <c r="D2129" s="38" t="s">
        <v>12897</v>
      </c>
      <c r="E2129" s="44">
        <v>579</v>
      </c>
      <c r="F2129" s="45">
        <v>507542</v>
      </c>
      <c r="G2129" s="44">
        <v>543</v>
      </c>
      <c r="H2129" s="45">
        <v>397047</v>
      </c>
      <c r="I2129" s="45">
        <v>876.58376511226254</v>
      </c>
      <c r="J2129" s="45">
        <v>731.20994475138127</v>
      </c>
      <c r="K2129" s="46">
        <v>-0.16584133330630815</v>
      </c>
    </row>
    <row r="2130" spans="1:11" x14ac:dyDescent="0.2">
      <c r="A2130" s="38" t="s">
        <v>7</v>
      </c>
      <c r="B2130" s="38" t="s">
        <v>8760</v>
      </c>
      <c r="C2130" s="43" t="s">
        <v>8761</v>
      </c>
      <c r="D2130" s="38" t="s">
        <v>12682</v>
      </c>
      <c r="E2130" s="44">
        <v>86</v>
      </c>
      <c r="F2130" s="45">
        <v>56830</v>
      </c>
      <c r="G2130" s="44">
        <v>103</v>
      </c>
      <c r="H2130" s="45">
        <v>61473</v>
      </c>
      <c r="I2130" s="45">
        <v>660.81395348837214</v>
      </c>
      <c r="J2130" s="45">
        <v>596.82524271844659</v>
      </c>
      <c r="K2130" s="46">
        <v>-9.6833171321724379E-2</v>
      </c>
    </row>
    <row r="2131" spans="1:11" x14ac:dyDescent="0.2">
      <c r="A2131" s="38" t="s">
        <v>7</v>
      </c>
      <c r="B2131" s="38" t="s">
        <v>8763</v>
      </c>
      <c r="C2131" s="43" t="s">
        <v>8764</v>
      </c>
      <c r="D2131" s="38" t="s">
        <v>12682</v>
      </c>
      <c r="G2131" s="44">
        <v>4</v>
      </c>
      <c r="H2131" s="45">
        <v>116</v>
      </c>
      <c r="J2131" s="45">
        <v>29</v>
      </c>
    </row>
    <row r="2132" spans="1:11" x14ac:dyDescent="0.2">
      <c r="A2132" s="38" t="s">
        <v>7</v>
      </c>
      <c r="B2132" s="38" t="s">
        <v>8766</v>
      </c>
      <c r="C2132" s="43" t="s">
        <v>8767</v>
      </c>
      <c r="D2132" s="38" t="s">
        <v>12898</v>
      </c>
      <c r="E2132" s="44">
        <v>9577</v>
      </c>
      <c r="F2132" s="45">
        <v>6886766</v>
      </c>
      <c r="G2132" s="44">
        <v>10223</v>
      </c>
      <c r="H2132" s="45">
        <v>6227991</v>
      </c>
      <c r="I2132" s="45">
        <v>719.09428839929001</v>
      </c>
      <c r="J2132" s="45">
        <v>609.21363591900615</v>
      </c>
      <c r="K2132" s="46">
        <v>-0.15280423478940311</v>
      </c>
    </row>
    <row r="2133" spans="1:11" x14ac:dyDescent="0.2">
      <c r="A2133" s="38" t="s">
        <v>7</v>
      </c>
      <c r="B2133" s="38" t="s">
        <v>8769</v>
      </c>
      <c r="C2133" s="43" t="s">
        <v>8770</v>
      </c>
      <c r="D2133" s="38" t="s">
        <v>12898</v>
      </c>
      <c r="E2133" s="44">
        <v>1319</v>
      </c>
      <c r="F2133" s="45">
        <v>885804</v>
      </c>
      <c r="G2133" s="44">
        <v>1308</v>
      </c>
      <c r="H2133" s="45">
        <v>755460</v>
      </c>
      <c r="I2133" s="45">
        <v>671.57240333586049</v>
      </c>
      <c r="J2133" s="45">
        <v>577.56880733944956</v>
      </c>
      <c r="K2133" s="46">
        <v>-0.13997537053260767</v>
      </c>
    </row>
    <row r="2134" spans="1:11" x14ac:dyDescent="0.2">
      <c r="A2134" s="38" t="s">
        <v>7</v>
      </c>
      <c r="B2134" s="38" t="s">
        <v>8772</v>
      </c>
      <c r="C2134" s="43" t="s">
        <v>8773</v>
      </c>
      <c r="D2134" s="38" t="s">
        <v>12898</v>
      </c>
      <c r="G2134" s="44">
        <v>1</v>
      </c>
      <c r="H2134" s="45">
        <v>501</v>
      </c>
      <c r="J2134" s="45">
        <v>501</v>
      </c>
    </row>
    <row r="2135" spans="1:11" x14ac:dyDescent="0.2">
      <c r="A2135" s="38" t="s">
        <v>7</v>
      </c>
      <c r="B2135" s="38" t="s">
        <v>8775</v>
      </c>
      <c r="C2135" s="43" t="s">
        <v>8776</v>
      </c>
      <c r="D2135" s="38" t="s">
        <v>12898</v>
      </c>
      <c r="E2135" s="44">
        <v>1589</v>
      </c>
      <c r="F2135" s="45">
        <v>1072263</v>
      </c>
      <c r="G2135" s="44">
        <v>1993</v>
      </c>
      <c r="H2135" s="45">
        <v>1110195</v>
      </c>
      <c r="I2135" s="45">
        <v>674.80365009439902</v>
      </c>
      <c r="J2135" s="45">
        <v>557.04716507777221</v>
      </c>
      <c r="K2135" s="46">
        <v>-0.17450481336334461</v>
      </c>
    </row>
    <row r="2136" spans="1:11" x14ac:dyDescent="0.2">
      <c r="A2136" s="38" t="s">
        <v>7</v>
      </c>
      <c r="B2136" s="38" t="s">
        <v>8778</v>
      </c>
      <c r="C2136" s="43" t="s">
        <v>8779</v>
      </c>
      <c r="D2136" s="38" t="s">
        <v>12898</v>
      </c>
      <c r="E2136" s="44">
        <v>262</v>
      </c>
      <c r="F2136" s="45">
        <v>204783</v>
      </c>
      <c r="G2136" s="44">
        <v>327</v>
      </c>
      <c r="H2136" s="45">
        <v>215577</v>
      </c>
      <c r="I2136" s="45">
        <v>781.6145038167939</v>
      </c>
      <c r="J2136" s="45">
        <v>659.25688073394497</v>
      </c>
      <c r="K2136" s="46">
        <v>-0.15654471927702213</v>
      </c>
    </row>
    <row r="2137" spans="1:11" x14ac:dyDescent="0.2">
      <c r="A2137" s="38" t="s">
        <v>7</v>
      </c>
      <c r="B2137" s="38" t="s">
        <v>8781</v>
      </c>
      <c r="C2137" s="43" t="s">
        <v>8782</v>
      </c>
      <c r="D2137" s="38" t="s">
        <v>12899</v>
      </c>
      <c r="E2137" s="44">
        <v>569</v>
      </c>
      <c r="F2137" s="45">
        <v>454746</v>
      </c>
      <c r="G2137" s="44">
        <v>647</v>
      </c>
      <c r="H2137" s="45">
        <v>427050</v>
      </c>
      <c r="I2137" s="45">
        <v>799.20210896309311</v>
      </c>
      <c r="J2137" s="45">
        <v>660.0463678516229</v>
      </c>
      <c r="K2137" s="46">
        <v>-0.17411833571362156</v>
      </c>
    </row>
    <row r="2138" spans="1:11" x14ac:dyDescent="0.2">
      <c r="A2138" s="38" t="s">
        <v>7</v>
      </c>
      <c r="B2138" s="38" t="s">
        <v>8783</v>
      </c>
      <c r="C2138" s="43" t="s">
        <v>8784</v>
      </c>
      <c r="D2138" s="38" t="s">
        <v>12900</v>
      </c>
      <c r="E2138" s="44">
        <v>49</v>
      </c>
      <c r="F2138" s="45">
        <v>31970</v>
      </c>
      <c r="G2138" s="44">
        <v>74</v>
      </c>
      <c r="H2138" s="45">
        <v>45686</v>
      </c>
      <c r="I2138" s="45">
        <v>652.44897959183675</v>
      </c>
      <c r="J2138" s="45">
        <v>617.37837837837833</v>
      </c>
      <c r="K2138" s="46">
        <v>-5.3752250843273772E-2</v>
      </c>
    </row>
    <row r="2139" spans="1:11" x14ac:dyDescent="0.2">
      <c r="A2139" s="38" t="s">
        <v>7</v>
      </c>
      <c r="B2139" s="38" t="s">
        <v>8789</v>
      </c>
      <c r="C2139" s="43" t="s">
        <v>8790</v>
      </c>
      <c r="D2139" s="38" t="s">
        <v>12682</v>
      </c>
      <c r="G2139" s="44">
        <v>3</v>
      </c>
      <c r="H2139" s="45">
        <v>72</v>
      </c>
      <c r="J2139" s="45">
        <v>24</v>
      </c>
    </row>
    <row r="2140" spans="1:11" x14ac:dyDescent="0.2">
      <c r="A2140" s="38" t="s">
        <v>7</v>
      </c>
      <c r="B2140" s="38" t="s">
        <v>8792</v>
      </c>
      <c r="C2140" s="43" t="s">
        <v>8793</v>
      </c>
      <c r="D2140" s="38" t="s">
        <v>12682</v>
      </c>
      <c r="E2140" s="44">
        <v>45</v>
      </c>
      <c r="F2140" s="45">
        <v>30200</v>
      </c>
      <c r="G2140" s="44">
        <v>21</v>
      </c>
      <c r="H2140" s="45">
        <v>12381</v>
      </c>
      <c r="I2140" s="45">
        <v>671.11111111111109</v>
      </c>
      <c r="J2140" s="45">
        <v>589.57142857142856</v>
      </c>
      <c r="K2140" s="46">
        <v>-0.12149952696310311</v>
      </c>
    </row>
    <row r="2141" spans="1:11" x14ac:dyDescent="0.2">
      <c r="A2141" s="38" t="s">
        <v>7</v>
      </c>
      <c r="B2141" s="38" t="s">
        <v>8795</v>
      </c>
      <c r="C2141" s="43" t="s">
        <v>8796</v>
      </c>
      <c r="D2141" s="38" t="s">
        <v>12901</v>
      </c>
      <c r="E2141" s="44">
        <v>155</v>
      </c>
      <c r="F2141" s="45">
        <v>130427</v>
      </c>
      <c r="G2141" s="44">
        <v>251</v>
      </c>
      <c r="H2141" s="45">
        <v>190515</v>
      </c>
      <c r="I2141" s="45">
        <v>841.46451612903229</v>
      </c>
      <c r="J2141" s="45">
        <v>759.02390438247016</v>
      </c>
      <c r="K2141" s="46">
        <v>-9.7972772667600488E-2</v>
      </c>
    </row>
    <row r="2142" spans="1:11" x14ac:dyDescent="0.2">
      <c r="A2142" s="38" t="s">
        <v>7</v>
      </c>
      <c r="B2142" s="38" t="s">
        <v>8798</v>
      </c>
      <c r="C2142" s="43" t="s">
        <v>8799</v>
      </c>
      <c r="D2142" s="38" t="s">
        <v>12901</v>
      </c>
      <c r="E2142" s="44">
        <v>6003</v>
      </c>
      <c r="F2142" s="45">
        <v>5265926</v>
      </c>
      <c r="G2142" s="44">
        <v>5429</v>
      </c>
      <c r="H2142" s="45">
        <v>4013541</v>
      </c>
      <c r="I2142" s="45">
        <v>877.21572547059804</v>
      </c>
      <c r="J2142" s="45">
        <v>739.27813593663655</v>
      </c>
      <c r="K2142" s="46">
        <v>-0.1572447751776935</v>
      </c>
    </row>
    <row r="2143" spans="1:11" x14ac:dyDescent="0.2">
      <c r="A2143" s="38" t="s">
        <v>7</v>
      </c>
      <c r="B2143" s="38" t="s">
        <v>8801</v>
      </c>
      <c r="C2143" s="43" t="s">
        <v>8802</v>
      </c>
      <c r="D2143" s="38" t="s">
        <v>12682</v>
      </c>
      <c r="G2143" s="44">
        <v>1</v>
      </c>
      <c r="H2143" s="45">
        <v>1196</v>
      </c>
      <c r="J2143" s="45">
        <v>1196</v>
      </c>
    </row>
    <row r="2144" spans="1:11" x14ac:dyDescent="0.2">
      <c r="A2144" s="38" t="s">
        <v>7</v>
      </c>
      <c r="B2144" s="38" t="s">
        <v>8804</v>
      </c>
      <c r="C2144" s="43" t="s">
        <v>8805</v>
      </c>
      <c r="D2144" s="38" t="s">
        <v>12682</v>
      </c>
      <c r="G2144" s="44">
        <v>13</v>
      </c>
      <c r="H2144" s="45">
        <v>6641</v>
      </c>
      <c r="J2144" s="45">
        <v>510.84615384615387</v>
      </c>
    </row>
    <row r="2145" spans="1:11" x14ac:dyDescent="0.2">
      <c r="A2145" s="38" t="s">
        <v>7</v>
      </c>
      <c r="B2145" s="38" t="s">
        <v>8807</v>
      </c>
      <c r="C2145" s="43" t="s">
        <v>8808</v>
      </c>
      <c r="D2145" s="38" t="s">
        <v>12682</v>
      </c>
      <c r="E2145" s="44">
        <v>208</v>
      </c>
      <c r="F2145" s="45">
        <v>138490</v>
      </c>
      <c r="G2145" s="44">
        <v>213</v>
      </c>
      <c r="H2145" s="45">
        <v>130650</v>
      </c>
      <c r="I2145" s="45">
        <v>665.81730769230774</v>
      </c>
      <c r="J2145" s="45">
        <v>613.38028169014081</v>
      </c>
      <c r="K2145" s="46">
        <v>-7.8755877019645606E-2</v>
      </c>
    </row>
    <row r="2146" spans="1:11" x14ac:dyDescent="0.2">
      <c r="A2146" s="38" t="s">
        <v>7</v>
      </c>
      <c r="B2146" s="38" t="s">
        <v>8810</v>
      </c>
      <c r="C2146" s="43" t="s">
        <v>8811</v>
      </c>
      <c r="D2146" s="38" t="s">
        <v>12682</v>
      </c>
      <c r="E2146" s="44">
        <v>244</v>
      </c>
      <c r="F2146" s="45">
        <v>187956</v>
      </c>
      <c r="G2146" s="44">
        <v>249</v>
      </c>
      <c r="H2146" s="45">
        <v>170766</v>
      </c>
      <c r="I2146" s="45">
        <v>770.31147540983602</v>
      </c>
      <c r="J2146" s="45">
        <v>685.80722891566268</v>
      </c>
      <c r="K2146" s="46">
        <v>-0.10970139896879215</v>
      </c>
    </row>
    <row r="2147" spans="1:11" x14ac:dyDescent="0.2">
      <c r="A2147" s="38" t="s">
        <v>7</v>
      </c>
      <c r="B2147" s="38" t="s">
        <v>8813</v>
      </c>
      <c r="C2147" s="43" t="s">
        <v>8814</v>
      </c>
      <c r="D2147" s="38" t="s">
        <v>12902</v>
      </c>
      <c r="E2147" s="44">
        <v>709</v>
      </c>
      <c r="F2147" s="45">
        <v>45849</v>
      </c>
      <c r="G2147" s="44">
        <v>518</v>
      </c>
      <c r="H2147" s="45">
        <v>39546</v>
      </c>
      <c r="I2147" s="45">
        <v>64.667136812411854</v>
      </c>
      <c r="J2147" s="45">
        <v>76.343629343629345</v>
      </c>
      <c r="K2147" s="46">
        <v>0.1805630047467382</v>
      </c>
    </row>
    <row r="2148" spans="1:11" x14ac:dyDescent="0.2">
      <c r="A2148" s="38" t="s">
        <v>7</v>
      </c>
      <c r="B2148" s="38" t="s">
        <v>8816</v>
      </c>
      <c r="C2148" s="43" t="s">
        <v>8817</v>
      </c>
      <c r="D2148" s="38" t="s">
        <v>12902</v>
      </c>
      <c r="E2148" s="44">
        <v>11594</v>
      </c>
      <c r="F2148" s="45">
        <v>8345997</v>
      </c>
      <c r="G2148" s="44">
        <v>13874</v>
      </c>
      <c r="H2148" s="45">
        <v>8444637</v>
      </c>
      <c r="I2148" s="45">
        <v>719.85483870967744</v>
      </c>
      <c r="J2148" s="45">
        <v>608.66635433184376</v>
      </c>
      <c r="K2148" s="46">
        <v>-0.15445959157145678</v>
      </c>
    </row>
    <row r="2149" spans="1:11" x14ac:dyDescent="0.2">
      <c r="A2149" s="38" t="s">
        <v>7</v>
      </c>
      <c r="B2149" s="38" t="s">
        <v>8819</v>
      </c>
      <c r="C2149" s="43" t="s">
        <v>8820</v>
      </c>
      <c r="D2149" s="38" t="s">
        <v>12902</v>
      </c>
      <c r="E2149" s="44">
        <v>3394</v>
      </c>
      <c r="F2149" s="45">
        <v>2447572</v>
      </c>
      <c r="G2149" s="44">
        <v>4411</v>
      </c>
      <c r="H2149" s="45">
        <v>2722193</v>
      </c>
      <c r="I2149" s="45">
        <v>721.14672952268711</v>
      </c>
      <c r="J2149" s="45">
        <v>617.13738381319433</v>
      </c>
      <c r="K2149" s="46">
        <v>-0.14422771601326476</v>
      </c>
    </row>
    <row r="2150" spans="1:11" x14ac:dyDescent="0.2">
      <c r="A2150" s="38" t="s">
        <v>7</v>
      </c>
      <c r="B2150" s="38" t="s">
        <v>8822</v>
      </c>
      <c r="C2150" s="43" t="s">
        <v>8823</v>
      </c>
      <c r="D2150" s="38" t="s">
        <v>12902</v>
      </c>
      <c r="E2150" s="44">
        <v>6277</v>
      </c>
      <c r="F2150" s="45">
        <v>4526496</v>
      </c>
      <c r="G2150" s="44">
        <v>7168</v>
      </c>
      <c r="H2150" s="45">
        <v>4370609</v>
      </c>
      <c r="I2150" s="45">
        <v>721.12410387127613</v>
      </c>
      <c r="J2150" s="45">
        <v>609.73897879464289</v>
      </c>
      <c r="K2150" s="46">
        <v>-0.15446041046010575</v>
      </c>
    </row>
    <row r="2151" spans="1:11" x14ac:dyDescent="0.2">
      <c r="A2151" s="38" t="s">
        <v>7</v>
      </c>
      <c r="B2151" s="38" t="s">
        <v>8825</v>
      </c>
      <c r="C2151" s="43" t="s">
        <v>8826</v>
      </c>
      <c r="D2151" s="38" t="s">
        <v>12903</v>
      </c>
      <c r="E2151" s="44">
        <v>1724</v>
      </c>
      <c r="F2151" s="45">
        <v>1451644</v>
      </c>
      <c r="G2151" s="44">
        <v>1946</v>
      </c>
      <c r="H2151" s="45">
        <v>1495290</v>
      </c>
      <c r="I2151" s="45">
        <v>842.02088167053364</v>
      </c>
      <c r="J2151" s="45">
        <v>768.39157245632066</v>
      </c>
      <c r="K2151" s="46">
        <v>-8.7443566801022277E-2</v>
      </c>
    </row>
    <row r="2152" spans="1:11" x14ac:dyDescent="0.2">
      <c r="A2152" s="38" t="s">
        <v>7</v>
      </c>
      <c r="B2152" s="38" t="s">
        <v>8828</v>
      </c>
      <c r="C2152" s="43" t="s">
        <v>8829</v>
      </c>
      <c r="D2152" s="38" t="s">
        <v>12904</v>
      </c>
      <c r="E2152" s="44">
        <v>15888</v>
      </c>
      <c r="F2152" s="45">
        <v>14969664</v>
      </c>
      <c r="G2152" s="44">
        <v>14857</v>
      </c>
      <c r="H2152" s="45">
        <v>12056439</v>
      </c>
      <c r="I2152" s="45">
        <v>942.1993957703927</v>
      </c>
      <c r="J2152" s="45">
        <v>811.49888941239817</v>
      </c>
      <c r="K2152" s="46">
        <v>-0.13871852067059201</v>
      </c>
    </row>
    <row r="2153" spans="1:11" x14ac:dyDescent="0.2">
      <c r="A2153" s="38" t="s">
        <v>7</v>
      </c>
      <c r="B2153" s="38" t="s">
        <v>8831</v>
      </c>
      <c r="C2153" s="43" t="s">
        <v>8832</v>
      </c>
      <c r="D2153" s="38" t="s">
        <v>12682</v>
      </c>
      <c r="E2153" s="44">
        <v>534</v>
      </c>
      <c r="F2153" s="45">
        <v>448788</v>
      </c>
      <c r="G2153" s="44">
        <v>597</v>
      </c>
      <c r="H2153" s="45">
        <v>429774</v>
      </c>
      <c r="I2153" s="45">
        <v>840.42696629213481</v>
      </c>
      <c r="J2153" s="45">
        <v>719.8894472361809</v>
      </c>
      <c r="K2153" s="46">
        <v>-0.14342414497686967</v>
      </c>
    </row>
    <row r="2154" spans="1:11" x14ac:dyDescent="0.2">
      <c r="A2154" s="38" t="s">
        <v>7</v>
      </c>
      <c r="B2154" s="38" t="s">
        <v>8834</v>
      </c>
      <c r="C2154" s="43" t="s">
        <v>8835</v>
      </c>
      <c r="D2154" s="38" t="s">
        <v>12682</v>
      </c>
      <c r="E2154" s="44">
        <v>31</v>
      </c>
      <c r="F2154" s="45">
        <v>17093</v>
      </c>
      <c r="G2154" s="44">
        <v>51</v>
      </c>
      <c r="H2154" s="45">
        <v>25749</v>
      </c>
      <c r="I2154" s="45">
        <v>551.38709677419354</v>
      </c>
      <c r="J2154" s="45">
        <v>504.88235294117646</v>
      </c>
      <c r="K2154" s="46">
        <v>-8.4341371252766001E-2</v>
      </c>
    </row>
    <row r="2155" spans="1:11" x14ac:dyDescent="0.2">
      <c r="A2155" s="38" t="s">
        <v>7</v>
      </c>
      <c r="B2155" s="38" t="s">
        <v>8843</v>
      </c>
      <c r="C2155" s="43" t="s">
        <v>8844</v>
      </c>
      <c r="D2155" s="38" t="s">
        <v>12682</v>
      </c>
      <c r="E2155" s="44">
        <v>143</v>
      </c>
      <c r="F2155" s="45">
        <v>36420</v>
      </c>
      <c r="G2155" s="44">
        <v>125</v>
      </c>
      <c r="H2155" s="45">
        <v>29450</v>
      </c>
      <c r="I2155" s="45">
        <v>254.68531468531469</v>
      </c>
      <c r="J2155" s="45">
        <v>235.6</v>
      </c>
      <c r="K2155" s="46">
        <v>-7.4936847885777105E-2</v>
      </c>
    </row>
    <row r="2156" spans="1:11" x14ac:dyDescent="0.2">
      <c r="A2156" s="38" t="s">
        <v>7</v>
      </c>
      <c r="B2156" s="38" t="s">
        <v>8846</v>
      </c>
      <c r="C2156" s="43" t="s">
        <v>8847</v>
      </c>
      <c r="D2156" s="38" t="s">
        <v>12682</v>
      </c>
      <c r="G2156" s="44">
        <v>1</v>
      </c>
      <c r="H2156" s="45">
        <v>1449</v>
      </c>
      <c r="J2156" s="45">
        <v>1449</v>
      </c>
    </row>
    <row r="2157" spans="1:11" x14ac:dyDescent="0.2">
      <c r="A2157" s="38" t="s">
        <v>7</v>
      </c>
      <c r="B2157" s="38" t="s">
        <v>8852</v>
      </c>
      <c r="C2157" s="43" t="s">
        <v>8853</v>
      </c>
      <c r="D2157" s="38" t="s">
        <v>12682</v>
      </c>
      <c r="G2157" s="44">
        <v>33</v>
      </c>
      <c r="H2157" s="45">
        <v>17904</v>
      </c>
      <c r="J2157" s="45">
        <v>542.5454545454545</v>
      </c>
    </row>
    <row r="2158" spans="1:11" x14ac:dyDescent="0.2">
      <c r="A2158" s="38" t="s">
        <v>7</v>
      </c>
      <c r="B2158" s="38" t="s">
        <v>8858</v>
      </c>
      <c r="C2158" s="43" t="s">
        <v>8859</v>
      </c>
      <c r="D2158" s="38" t="s">
        <v>12682</v>
      </c>
      <c r="E2158" s="44">
        <v>19</v>
      </c>
      <c r="F2158" s="45">
        <v>21023</v>
      </c>
      <c r="G2158" s="44">
        <v>12</v>
      </c>
      <c r="H2158" s="45">
        <v>13596</v>
      </c>
      <c r="I2158" s="45">
        <v>1106.4736842105262</v>
      </c>
      <c r="J2158" s="45">
        <v>1133</v>
      </c>
      <c r="K2158" s="46">
        <v>2.3973743043333558E-2</v>
      </c>
    </row>
    <row r="2159" spans="1:11" x14ac:dyDescent="0.2">
      <c r="A2159" s="38" t="s">
        <v>7</v>
      </c>
      <c r="B2159" s="38" t="s">
        <v>8861</v>
      </c>
      <c r="C2159" s="43" t="s">
        <v>8862</v>
      </c>
      <c r="D2159" s="38" t="s">
        <v>12905</v>
      </c>
      <c r="E2159" s="44">
        <v>45</v>
      </c>
      <c r="F2159" s="45">
        <v>18761</v>
      </c>
      <c r="G2159" s="44">
        <v>76</v>
      </c>
      <c r="H2159" s="45">
        <v>40884</v>
      </c>
      <c r="I2159" s="45">
        <v>416.9111111111111</v>
      </c>
      <c r="J2159" s="45">
        <v>537.9473684210526</v>
      </c>
      <c r="K2159" s="46">
        <v>0.29031669841412333</v>
      </c>
    </row>
    <row r="2160" spans="1:11" x14ac:dyDescent="0.2">
      <c r="A2160" s="38" t="s">
        <v>7</v>
      </c>
      <c r="B2160" s="38" t="s">
        <v>8864</v>
      </c>
      <c r="C2160" s="43" t="s">
        <v>8865</v>
      </c>
      <c r="D2160" s="38" t="s">
        <v>12905</v>
      </c>
      <c r="E2160" s="44">
        <v>131</v>
      </c>
      <c r="F2160" s="45">
        <v>55271</v>
      </c>
      <c r="G2160" s="44">
        <v>223</v>
      </c>
      <c r="H2160" s="45">
        <v>132651</v>
      </c>
      <c r="I2160" s="45">
        <v>421.91603053435114</v>
      </c>
      <c r="J2160" s="45">
        <v>594.84753363228697</v>
      </c>
      <c r="K2160" s="46">
        <v>0.40987184790992737</v>
      </c>
    </row>
    <row r="2161" spans="1:11" x14ac:dyDescent="0.2">
      <c r="A2161" s="38" t="s">
        <v>7</v>
      </c>
      <c r="B2161" s="38" t="s">
        <v>8873</v>
      </c>
      <c r="C2161" s="43" t="s">
        <v>8874</v>
      </c>
      <c r="D2161" s="38" t="s">
        <v>12906</v>
      </c>
      <c r="E2161" s="44">
        <v>1611</v>
      </c>
      <c r="F2161" s="45">
        <v>1166604</v>
      </c>
      <c r="G2161" s="44">
        <v>1835</v>
      </c>
      <c r="H2161" s="45">
        <v>1237485</v>
      </c>
      <c r="I2161" s="45">
        <v>724.14897579143394</v>
      </c>
      <c r="J2161" s="45">
        <v>674.37874659400541</v>
      </c>
      <c r="K2161" s="46">
        <v>-6.8729268232457078E-2</v>
      </c>
    </row>
    <row r="2162" spans="1:11" x14ac:dyDescent="0.2">
      <c r="A2162" s="38" t="s">
        <v>7</v>
      </c>
      <c r="B2162" s="38" t="s">
        <v>8876</v>
      </c>
      <c r="C2162" s="43" t="s">
        <v>8877</v>
      </c>
      <c r="D2162" s="38" t="s">
        <v>12121</v>
      </c>
      <c r="E2162" s="44">
        <v>17115</v>
      </c>
      <c r="F2162" s="45">
        <v>9361939</v>
      </c>
      <c r="G2162" s="44">
        <v>24164</v>
      </c>
      <c r="H2162" s="45">
        <v>12352536</v>
      </c>
      <c r="I2162" s="45">
        <v>547.00198656149576</v>
      </c>
      <c r="J2162" s="45">
        <v>511.19582850521437</v>
      </c>
      <c r="K2162" s="46">
        <v>-6.5458917766208047E-2</v>
      </c>
    </row>
    <row r="2163" spans="1:11" x14ac:dyDescent="0.2">
      <c r="A2163" s="38" t="s">
        <v>7</v>
      </c>
      <c r="B2163" s="38" t="s">
        <v>8879</v>
      </c>
      <c r="C2163" s="43" t="s">
        <v>8880</v>
      </c>
      <c r="D2163" s="38" t="s">
        <v>12071</v>
      </c>
      <c r="E2163" s="44">
        <v>2280</v>
      </c>
      <c r="F2163" s="45">
        <v>4219040</v>
      </c>
      <c r="G2163" s="44">
        <v>2448</v>
      </c>
      <c r="H2163" s="45">
        <v>4461924</v>
      </c>
      <c r="I2163" s="45">
        <v>1850.4561403508771</v>
      </c>
      <c r="J2163" s="45">
        <v>1822.6813725490197</v>
      </c>
      <c r="K2163" s="46">
        <v>-1.500968717723346E-2</v>
      </c>
    </row>
    <row r="2164" spans="1:11" x14ac:dyDescent="0.2">
      <c r="A2164" s="38" t="s">
        <v>7</v>
      </c>
      <c r="B2164" s="38" t="s">
        <v>8882</v>
      </c>
      <c r="C2164" s="43" t="s">
        <v>8883</v>
      </c>
      <c r="D2164" s="38" t="s">
        <v>12907</v>
      </c>
      <c r="G2164" s="44">
        <v>5</v>
      </c>
      <c r="H2164" s="45">
        <v>698</v>
      </c>
      <c r="J2164" s="45">
        <v>139.6</v>
      </c>
    </row>
    <row r="2165" spans="1:11" x14ac:dyDescent="0.2">
      <c r="A2165" s="38" t="s">
        <v>7</v>
      </c>
      <c r="B2165" s="38" t="s">
        <v>8885</v>
      </c>
      <c r="C2165" s="43" t="s">
        <v>3572</v>
      </c>
      <c r="D2165" s="38" t="s">
        <v>12908</v>
      </c>
      <c r="G2165" s="44">
        <v>2</v>
      </c>
      <c r="H2165" s="45">
        <v>4554</v>
      </c>
      <c r="J2165" s="45">
        <v>2277</v>
      </c>
    </row>
    <row r="2166" spans="1:11" x14ac:dyDescent="0.2">
      <c r="A2166" s="38" t="s">
        <v>7</v>
      </c>
      <c r="B2166" s="38" t="s">
        <v>8886</v>
      </c>
      <c r="C2166" s="43" t="s">
        <v>8887</v>
      </c>
      <c r="G2166" s="44">
        <v>3</v>
      </c>
      <c r="H2166" s="45">
        <v>1107</v>
      </c>
      <c r="J2166" s="45">
        <v>369</v>
      </c>
    </row>
    <row r="2167" spans="1:11" x14ac:dyDescent="0.2">
      <c r="A2167" s="38" t="s">
        <v>7</v>
      </c>
      <c r="B2167" s="38" t="s">
        <v>8893</v>
      </c>
      <c r="C2167" s="43" t="s">
        <v>8894</v>
      </c>
      <c r="D2167" s="38" t="s">
        <v>12909</v>
      </c>
      <c r="E2167" s="44">
        <v>47</v>
      </c>
      <c r="F2167" s="45">
        <v>125017</v>
      </c>
      <c r="G2167" s="44">
        <v>40</v>
      </c>
      <c r="H2167" s="45">
        <v>94152</v>
      </c>
      <c r="I2167" s="45">
        <v>2659.9361702127658</v>
      </c>
      <c r="J2167" s="45">
        <v>2353.8000000000002</v>
      </c>
      <c r="K2167" s="46">
        <v>-0.11509154754953313</v>
      </c>
    </row>
    <row r="2168" spans="1:11" x14ac:dyDescent="0.2">
      <c r="A2168" s="38" t="s">
        <v>7</v>
      </c>
      <c r="B2168" s="38" t="s">
        <v>8895</v>
      </c>
      <c r="C2168" s="43" t="s">
        <v>8896</v>
      </c>
      <c r="D2168" s="38" t="s">
        <v>12910</v>
      </c>
      <c r="G2168" s="44">
        <v>1</v>
      </c>
      <c r="H2168" s="45">
        <v>15195</v>
      </c>
      <c r="J2168" s="45">
        <v>15195</v>
      </c>
    </row>
    <row r="2169" spans="1:11" x14ac:dyDescent="0.2">
      <c r="A2169" s="38" t="s">
        <v>7</v>
      </c>
      <c r="B2169" s="38" t="s">
        <v>8897</v>
      </c>
      <c r="C2169" s="43" t="s">
        <v>8898</v>
      </c>
      <c r="D2169" s="38" t="s">
        <v>12910</v>
      </c>
      <c r="E2169" s="44">
        <v>127</v>
      </c>
      <c r="F2169" s="45">
        <v>1889229</v>
      </c>
      <c r="G2169" s="44">
        <v>134</v>
      </c>
      <c r="H2169" s="45">
        <v>1746755</v>
      </c>
      <c r="I2169" s="45">
        <v>14875.818897637795</v>
      </c>
      <c r="J2169" s="45">
        <v>13035.485074626866</v>
      </c>
      <c r="K2169" s="46">
        <v>-0.12371311022771089</v>
      </c>
    </row>
    <row r="2170" spans="1:11" x14ac:dyDescent="0.2">
      <c r="A2170" s="38" t="s">
        <v>7</v>
      </c>
      <c r="B2170" s="38" t="s">
        <v>8900</v>
      </c>
      <c r="C2170" s="43" t="s">
        <v>8901</v>
      </c>
      <c r="D2170" s="38" t="s">
        <v>12911</v>
      </c>
      <c r="E2170" s="44">
        <v>661</v>
      </c>
      <c r="F2170" s="45">
        <v>6250987</v>
      </c>
      <c r="G2170" s="44">
        <v>890</v>
      </c>
      <c r="H2170" s="45">
        <v>6958144</v>
      </c>
      <c r="I2170" s="45">
        <v>9456.863842662633</v>
      </c>
      <c r="J2170" s="45">
        <v>7818.139325842697</v>
      </c>
      <c r="K2170" s="46">
        <v>-0.17328413986750854</v>
      </c>
    </row>
    <row r="2171" spans="1:11" x14ac:dyDescent="0.2">
      <c r="A2171" s="38" t="s">
        <v>7</v>
      </c>
      <c r="B2171" s="38" t="s">
        <v>8903</v>
      </c>
      <c r="C2171" s="43" t="s">
        <v>8904</v>
      </c>
      <c r="G2171" s="44">
        <v>9</v>
      </c>
      <c r="H2171" s="45">
        <v>66996</v>
      </c>
      <c r="J2171" s="45">
        <v>7444</v>
      </c>
    </row>
    <row r="2172" spans="1:11" x14ac:dyDescent="0.2">
      <c r="A2172" s="38" t="s">
        <v>7</v>
      </c>
      <c r="B2172" s="38" t="s">
        <v>8909</v>
      </c>
      <c r="C2172" s="43" t="s">
        <v>8910</v>
      </c>
      <c r="D2172" s="38" t="s">
        <v>12912</v>
      </c>
      <c r="E2172" s="44">
        <v>1188</v>
      </c>
      <c r="F2172" s="45">
        <v>535836</v>
      </c>
      <c r="G2172" s="44">
        <v>1343</v>
      </c>
      <c r="H2172" s="45">
        <v>551873</v>
      </c>
      <c r="I2172" s="45">
        <v>451.04040404040404</v>
      </c>
      <c r="J2172" s="45">
        <v>410.92553983618762</v>
      </c>
      <c r="K2172" s="46">
        <v>-8.8938516028428671E-2</v>
      </c>
    </row>
    <row r="2173" spans="1:11" x14ac:dyDescent="0.2">
      <c r="A2173" s="38" t="s">
        <v>7</v>
      </c>
      <c r="B2173" s="38" t="s">
        <v>8912</v>
      </c>
      <c r="C2173" s="43" t="s">
        <v>8913</v>
      </c>
      <c r="D2173" s="38" t="s">
        <v>12913</v>
      </c>
      <c r="E2173" s="44">
        <v>12</v>
      </c>
      <c r="F2173" s="45">
        <v>7503</v>
      </c>
      <c r="G2173" s="44">
        <v>3</v>
      </c>
      <c r="H2173" s="45">
        <v>1679</v>
      </c>
      <c r="I2173" s="45">
        <v>625.25</v>
      </c>
      <c r="J2173" s="45">
        <v>559.66666666666663</v>
      </c>
      <c r="K2173" s="46">
        <v>-0.10489137678262035</v>
      </c>
    </row>
    <row r="2174" spans="1:11" x14ac:dyDescent="0.2">
      <c r="A2174" s="38" t="s">
        <v>7</v>
      </c>
      <c r="B2174" s="38" t="s">
        <v>8919</v>
      </c>
      <c r="C2174" s="43" t="s">
        <v>8920</v>
      </c>
      <c r="D2174" s="38" t="s">
        <v>12909</v>
      </c>
      <c r="E2174" s="44">
        <v>217</v>
      </c>
      <c r="F2174" s="45">
        <v>759176</v>
      </c>
      <c r="G2174" s="44">
        <v>247</v>
      </c>
      <c r="H2174" s="45">
        <v>770355</v>
      </c>
      <c r="I2174" s="45">
        <v>3498.5069124423962</v>
      </c>
      <c r="J2174" s="45">
        <v>3118.8461538461538</v>
      </c>
      <c r="K2174" s="46">
        <v>-0.10852079704229929</v>
      </c>
    </row>
    <row r="2175" spans="1:11" x14ac:dyDescent="0.2">
      <c r="A2175" s="38" t="s">
        <v>7</v>
      </c>
      <c r="B2175" s="38" t="s">
        <v>8922</v>
      </c>
      <c r="C2175" s="43" t="s">
        <v>8923</v>
      </c>
      <c r="D2175" s="38" t="s">
        <v>12906</v>
      </c>
      <c r="E2175" s="44">
        <v>30</v>
      </c>
      <c r="F2175" s="45">
        <v>14460</v>
      </c>
      <c r="G2175" s="44">
        <v>19</v>
      </c>
      <c r="H2175" s="45">
        <v>8870</v>
      </c>
      <c r="I2175" s="45">
        <v>482</v>
      </c>
      <c r="J2175" s="45">
        <v>466.84210526315792</v>
      </c>
      <c r="K2175" s="46">
        <v>-3.1447914391788553E-2</v>
      </c>
    </row>
    <row r="2176" spans="1:11" x14ac:dyDescent="0.2">
      <c r="A2176" s="38" t="s">
        <v>7</v>
      </c>
      <c r="B2176" s="38" t="s">
        <v>8925</v>
      </c>
      <c r="C2176" s="43" t="s">
        <v>8926</v>
      </c>
      <c r="D2176" s="38" t="s">
        <v>12121</v>
      </c>
      <c r="E2176" s="44">
        <v>184</v>
      </c>
      <c r="F2176" s="45">
        <v>74052</v>
      </c>
      <c r="G2176" s="44">
        <v>94</v>
      </c>
      <c r="H2176" s="45">
        <v>36516</v>
      </c>
      <c r="I2176" s="45">
        <v>402.45652173913044</v>
      </c>
      <c r="J2176" s="45">
        <v>388.468085106383</v>
      </c>
      <c r="K2176" s="46">
        <v>-3.4757634370787126E-2</v>
      </c>
    </row>
    <row r="2177" spans="1:11" x14ac:dyDescent="0.2">
      <c r="A2177" s="38" t="s">
        <v>7</v>
      </c>
      <c r="B2177" s="38" t="s">
        <v>8927</v>
      </c>
      <c r="C2177" s="43" t="s">
        <v>8928</v>
      </c>
      <c r="D2177" s="38" t="s">
        <v>12914</v>
      </c>
      <c r="E2177" s="44">
        <v>7364</v>
      </c>
      <c r="F2177" s="45">
        <v>2540732</v>
      </c>
      <c r="G2177" s="44">
        <v>7377</v>
      </c>
      <c r="H2177" s="45">
        <v>2488735</v>
      </c>
      <c r="I2177" s="45">
        <v>345.02064095600218</v>
      </c>
      <c r="J2177" s="45">
        <v>337.36410464958658</v>
      </c>
      <c r="K2177" s="46">
        <v>-2.2191531165209277E-2</v>
      </c>
    </row>
    <row r="2178" spans="1:11" x14ac:dyDescent="0.2">
      <c r="A2178" s="38" t="s">
        <v>7</v>
      </c>
      <c r="B2178" s="38" t="s">
        <v>8933</v>
      </c>
      <c r="C2178" s="43" t="s">
        <v>8934</v>
      </c>
      <c r="D2178" s="38" t="s">
        <v>12915</v>
      </c>
      <c r="E2178" s="44">
        <v>26</v>
      </c>
      <c r="F2178" s="45">
        <v>12842</v>
      </c>
      <c r="G2178" s="44">
        <v>17</v>
      </c>
      <c r="H2178" s="45">
        <v>7962</v>
      </c>
      <c r="I2178" s="45">
        <v>493.92307692307691</v>
      </c>
      <c r="J2178" s="45">
        <v>468.35294117647061</v>
      </c>
      <c r="K2178" s="46">
        <v>-5.1769469662962447E-2</v>
      </c>
    </row>
    <row r="2179" spans="1:11" x14ac:dyDescent="0.2">
      <c r="A2179" s="38" t="s">
        <v>7</v>
      </c>
      <c r="B2179" s="38" t="s">
        <v>8936</v>
      </c>
      <c r="C2179" s="43" t="s">
        <v>8937</v>
      </c>
      <c r="D2179" s="38" t="s">
        <v>12916</v>
      </c>
      <c r="E2179" s="44">
        <v>15</v>
      </c>
      <c r="F2179" s="45">
        <v>5689</v>
      </c>
      <c r="G2179" s="44">
        <v>10</v>
      </c>
      <c r="H2179" s="45">
        <v>3757</v>
      </c>
      <c r="I2179" s="45">
        <v>379.26666666666665</v>
      </c>
      <c r="J2179" s="45">
        <v>375.7</v>
      </c>
      <c r="K2179" s="46">
        <v>-9.4041132009140358E-3</v>
      </c>
    </row>
    <row r="2180" spans="1:11" x14ac:dyDescent="0.2">
      <c r="A2180" s="38" t="s">
        <v>7</v>
      </c>
      <c r="B2180" s="38" t="s">
        <v>8939</v>
      </c>
      <c r="C2180" s="43" t="s">
        <v>8940</v>
      </c>
      <c r="D2180" s="38" t="s">
        <v>12905</v>
      </c>
      <c r="E2180" s="44">
        <v>15</v>
      </c>
      <c r="F2180" s="45">
        <v>6825</v>
      </c>
      <c r="G2180" s="44">
        <v>19</v>
      </c>
      <c r="H2180" s="45">
        <v>9549</v>
      </c>
      <c r="I2180" s="45">
        <v>455</v>
      </c>
      <c r="J2180" s="45">
        <v>502.57894736842104</v>
      </c>
      <c r="K2180" s="46">
        <v>0.10456911509543086</v>
      </c>
    </row>
    <row r="2181" spans="1:11" x14ac:dyDescent="0.2">
      <c r="A2181" s="38" t="s">
        <v>7</v>
      </c>
      <c r="B2181" s="38" t="s">
        <v>8942</v>
      </c>
      <c r="C2181" s="43" t="s">
        <v>8943</v>
      </c>
      <c r="D2181" s="38" t="s">
        <v>12905</v>
      </c>
      <c r="E2181" s="44">
        <v>9</v>
      </c>
      <c r="F2181" s="45">
        <v>3733</v>
      </c>
      <c r="G2181" s="44">
        <v>19</v>
      </c>
      <c r="H2181" s="45">
        <v>13671</v>
      </c>
      <c r="I2181" s="45">
        <v>414.77777777777777</v>
      </c>
      <c r="J2181" s="45">
        <v>719.52631578947364</v>
      </c>
      <c r="K2181" s="46">
        <v>0.73472725478308676</v>
      </c>
    </row>
    <row r="2182" spans="1:11" x14ac:dyDescent="0.2">
      <c r="A2182" s="38" t="s">
        <v>7</v>
      </c>
      <c r="B2182" s="38" t="s">
        <v>8945</v>
      </c>
      <c r="C2182" s="43" t="s">
        <v>8946</v>
      </c>
      <c r="D2182" s="38" t="s">
        <v>12909</v>
      </c>
      <c r="E2182" s="44">
        <v>73</v>
      </c>
      <c r="F2182" s="45">
        <v>193853</v>
      </c>
      <c r="G2182" s="44">
        <v>62</v>
      </c>
      <c r="H2182" s="45">
        <v>135318</v>
      </c>
      <c r="I2182" s="45">
        <v>2655.5205479452056</v>
      </c>
      <c r="J2182" s="45">
        <v>2182.5483870967741</v>
      </c>
      <c r="K2182" s="46">
        <v>-0.17810901942160037</v>
      </c>
    </row>
    <row r="2183" spans="1:11" x14ac:dyDescent="0.2">
      <c r="A2183" s="38" t="s">
        <v>7</v>
      </c>
      <c r="B2183" s="38" t="s">
        <v>8948</v>
      </c>
      <c r="C2183" s="43" t="s">
        <v>8949</v>
      </c>
      <c r="D2183" s="38" t="s">
        <v>12909</v>
      </c>
      <c r="E2183" s="44">
        <v>328</v>
      </c>
      <c r="F2183" s="45">
        <v>1046704</v>
      </c>
      <c r="G2183" s="44">
        <v>467</v>
      </c>
      <c r="H2183" s="45">
        <v>1256604</v>
      </c>
      <c r="I2183" s="45">
        <v>3191.1707317073169</v>
      </c>
      <c r="J2183" s="45">
        <v>2690.8008565310492</v>
      </c>
      <c r="K2183" s="46">
        <v>-0.15679821521444057</v>
      </c>
    </row>
    <row r="2184" spans="1:11" x14ac:dyDescent="0.2">
      <c r="A2184" s="38" t="s">
        <v>7</v>
      </c>
      <c r="B2184" s="38" t="s">
        <v>8954</v>
      </c>
      <c r="C2184" s="43" t="s">
        <v>8955</v>
      </c>
      <c r="D2184" s="38" t="s">
        <v>12917</v>
      </c>
      <c r="E2184" s="44">
        <v>22</v>
      </c>
      <c r="F2184" s="45">
        <v>9037</v>
      </c>
      <c r="G2184" s="44">
        <v>35</v>
      </c>
      <c r="H2184" s="45">
        <v>18795</v>
      </c>
      <c r="I2184" s="45">
        <v>410.77272727272725</v>
      </c>
      <c r="J2184" s="45">
        <v>537</v>
      </c>
      <c r="K2184" s="46">
        <v>0.30729224300099595</v>
      </c>
    </row>
    <row r="2185" spans="1:11" x14ac:dyDescent="0.2">
      <c r="A2185" s="38" t="s">
        <v>7</v>
      </c>
      <c r="B2185" s="38" t="s">
        <v>8957</v>
      </c>
      <c r="C2185" s="43" t="s">
        <v>8958</v>
      </c>
      <c r="D2185" s="38" t="s">
        <v>12918</v>
      </c>
      <c r="E2185" s="44">
        <v>225</v>
      </c>
      <c r="F2185" s="45">
        <v>79493</v>
      </c>
      <c r="G2185" s="44">
        <v>319</v>
      </c>
      <c r="H2185" s="45">
        <v>207375</v>
      </c>
      <c r="I2185" s="45">
        <v>353.30222222222221</v>
      </c>
      <c r="J2185" s="45">
        <v>650.07836990595615</v>
      </c>
      <c r="K2185" s="46">
        <v>0.8400064562771582</v>
      </c>
    </row>
    <row r="2186" spans="1:11" x14ac:dyDescent="0.2">
      <c r="A2186" s="38" t="s">
        <v>7</v>
      </c>
      <c r="B2186" s="38" t="s">
        <v>8959</v>
      </c>
      <c r="C2186" s="43" t="s">
        <v>8960</v>
      </c>
      <c r="D2186" s="38" t="s">
        <v>12919</v>
      </c>
      <c r="E2186" s="44">
        <v>9</v>
      </c>
      <c r="F2186" s="45">
        <v>10958</v>
      </c>
      <c r="G2186" s="44">
        <v>1</v>
      </c>
      <c r="H2186" s="45">
        <v>254</v>
      </c>
      <c r="I2186" s="45">
        <v>1217.5555555555557</v>
      </c>
      <c r="J2186" s="45">
        <v>254</v>
      </c>
      <c r="K2186" s="46">
        <v>-0.79138528928636609</v>
      </c>
    </row>
    <row r="2187" spans="1:11" x14ac:dyDescent="0.2">
      <c r="A2187" s="38" t="s">
        <v>7</v>
      </c>
      <c r="B2187" s="38" t="s">
        <v>8962</v>
      </c>
      <c r="C2187" s="43" t="s">
        <v>8963</v>
      </c>
      <c r="D2187" s="38" t="s">
        <v>12920</v>
      </c>
      <c r="E2187" s="44">
        <v>8</v>
      </c>
      <c r="F2187" s="45">
        <v>9812</v>
      </c>
      <c r="G2187" s="44">
        <v>1</v>
      </c>
      <c r="H2187" s="45">
        <v>135</v>
      </c>
      <c r="I2187" s="45">
        <v>1226.5</v>
      </c>
      <c r="J2187" s="45">
        <v>135</v>
      </c>
      <c r="K2187" s="46">
        <v>-0.88993069710558503</v>
      </c>
    </row>
    <row r="2188" spans="1:11" x14ac:dyDescent="0.2">
      <c r="A2188" s="38" t="s">
        <v>7</v>
      </c>
      <c r="B2188" s="38" t="s">
        <v>8968</v>
      </c>
      <c r="C2188" s="43" t="s">
        <v>8969</v>
      </c>
      <c r="D2188" s="38" t="s">
        <v>12921</v>
      </c>
      <c r="E2188" s="44">
        <v>9</v>
      </c>
      <c r="F2188" s="45">
        <v>45486</v>
      </c>
      <c r="G2188" s="44">
        <v>14</v>
      </c>
      <c r="H2188" s="45">
        <v>55664</v>
      </c>
      <c r="I2188" s="45">
        <v>5054</v>
      </c>
      <c r="J2188" s="45">
        <v>3976</v>
      </c>
      <c r="K2188" s="46">
        <v>-0.21329639889196675</v>
      </c>
    </row>
    <row r="2189" spans="1:11" x14ac:dyDescent="0.2">
      <c r="A2189" s="38" t="s">
        <v>7</v>
      </c>
      <c r="B2189" s="38" t="s">
        <v>8971</v>
      </c>
      <c r="C2189" s="43" t="s">
        <v>8972</v>
      </c>
      <c r="D2189" s="38" t="s">
        <v>12921</v>
      </c>
      <c r="G2189" s="44">
        <v>1</v>
      </c>
      <c r="H2189" s="45">
        <v>3740</v>
      </c>
      <c r="J2189" s="45">
        <v>3740</v>
      </c>
    </row>
    <row r="2190" spans="1:11" x14ac:dyDescent="0.2">
      <c r="A2190" s="38" t="s">
        <v>7</v>
      </c>
      <c r="B2190" s="38" t="s">
        <v>8973</v>
      </c>
      <c r="C2190" s="43" t="s">
        <v>8974</v>
      </c>
      <c r="D2190" s="38" t="s">
        <v>12922</v>
      </c>
      <c r="E2190" s="44">
        <v>45</v>
      </c>
      <c r="F2190" s="45">
        <v>306428</v>
      </c>
      <c r="G2190" s="44">
        <v>52</v>
      </c>
      <c r="H2190" s="45">
        <v>305480</v>
      </c>
      <c r="I2190" s="45">
        <v>6809.5111111111109</v>
      </c>
      <c r="J2190" s="45">
        <v>5874.6153846153848</v>
      </c>
      <c r="K2190" s="46">
        <v>-0.1372926354390189</v>
      </c>
    </row>
    <row r="2191" spans="1:11" x14ac:dyDescent="0.2">
      <c r="A2191" s="38" t="s">
        <v>7</v>
      </c>
      <c r="B2191" s="38" t="s">
        <v>8975</v>
      </c>
      <c r="C2191" s="43" t="s">
        <v>8976</v>
      </c>
      <c r="D2191" s="38" t="s">
        <v>12922</v>
      </c>
      <c r="E2191" s="44">
        <v>79</v>
      </c>
      <c r="F2191" s="45">
        <v>358234</v>
      </c>
      <c r="G2191" s="44">
        <v>100</v>
      </c>
      <c r="H2191" s="45">
        <v>409802</v>
      </c>
      <c r="I2191" s="45">
        <v>4534.6075949367087</v>
      </c>
      <c r="J2191" s="45">
        <v>4098.0200000000004</v>
      </c>
      <c r="K2191" s="46">
        <v>-9.6279024324882487E-2</v>
      </c>
    </row>
    <row r="2192" spans="1:11" x14ac:dyDescent="0.2">
      <c r="A2192" s="38" t="s">
        <v>7</v>
      </c>
      <c r="B2192" s="38" t="s">
        <v>8977</v>
      </c>
      <c r="C2192" s="43" t="s">
        <v>8978</v>
      </c>
      <c r="D2192" s="38" t="s">
        <v>12922</v>
      </c>
      <c r="G2192" s="44">
        <v>1</v>
      </c>
      <c r="H2192" s="45">
        <v>3740</v>
      </c>
      <c r="J2192" s="45">
        <v>3740</v>
      </c>
    </row>
    <row r="2193" spans="1:11" x14ac:dyDescent="0.2">
      <c r="A2193" s="38" t="s">
        <v>7</v>
      </c>
      <c r="B2193" s="38" t="s">
        <v>8980</v>
      </c>
      <c r="C2193" s="43" t="s">
        <v>8981</v>
      </c>
      <c r="D2193" s="38" t="s">
        <v>12923</v>
      </c>
      <c r="E2193" s="44">
        <v>562</v>
      </c>
      <c r="F2193" s="45">
        <v>3560968</v>
      </c>
      <c r="G2193" s="44">
        <v>459</v>
      </c>
      <c r="H2193" s="45">
        <v>2495655</v>
      </c>
      <c r="I2193" s="45">
        <v>6336.241992882562</v>
      </c>
      <c r="J2193" s="45">
        <v>5437.1568627450979</v>
      </c>
      <c r="K2193" s="46">
        <v>-0.14189564274019167</v>
      </c>
    </row>
    <row r="2194" spans="1:11" x14ac:dyDescent="0.2">
      <c r="A2194" s="38" t="s">
        <v>7</v>
      </c>
      <c r="B2194" s="38" t="s">
        <v>8989</v>
      </c>
      <c r="C2194" s="43" t="s">
        <v>8990</v>
      </c>
      <c r="D2194" s="38" t="s">
        <v>12183</v>
      </c>
      <c r="E2194" s="44">
        <v>1686</v>
      </c>
      <c r="F2194" s="45">
        <v>1324914</v>
      </c>
      <c r="G2194" s="44">
        <v>1782</v>
      </c>
      <c r="H2194" s="45">
        <v>1271121</v>
      </c>
      <c r="I2194" s="45">
        <v>785.83274021352315</v>
      </c>
      <c r="J2194" s="45">
        <v>713.31144781144781</v>
      </c>
      <c r="K2194" s="46">
        <v>-9.2285913644130135E-2</v>
      </c>
    </row>
    <row r="2195" spans="1:11" x14ac:dyDescent="0.2">
      <c r="A2195" s="38" t="s">
        <v>7</v>
      </c>
      <c r="B2195" s="38" t="s">
        <v>8992</v>
      </c>
      <c r="C2195" s="43" t="s">
        <v>8993</v>
      </c>
      <c r="D2195" s="38" t="s">
        <v>12924</v>
      </c>
      <c r="E2195" s="44">
        <v>817</v>
      </c>
      <c r="F2195" s="45">
        <v>493787</v>
      </c>
      <c r="G2195" s="44">
        <v>885</v>
      </c>
      <c r="H2195" s="45">
        <v>522681</v>
      </c>
      <c r="I2195" s="45">
        <v>604.39045287637703</v>
      </c>
      <c r="J2195" s="45">
        <v>590.6</v>
      </c>
      <c r="K2195" s="46">
        <v>-2.2817125602739664E-2</v>
      </c>
    </row>
    <row r="2196" spans="1:11" x14ac:dyDescent="0.2">
      <c r="A2196" s="38" t="s">
        <v>7</v>
      </c>
      <c r="B2196" s="38" t="s">
        <v>8998</v>
      </c>
      <c r="C2196" s="43" t="s">
        <v>8999</v>
      </c>
      <c r="D2196" s="38" t="s">
        <v>12925</v>
      </c>
      <c r="E2196" s="44">
        <v>11</v>
      </c>
      <c r="F2196" s="45">
        <v>8909</v>
      </c>
      <c r="G2196" s="44">
        <v>12</v>
      </c>
      <c r="H2196" s="45">
        <v>7180</v>
      </c>
      <c r="I2196" s="45">
        <v>809.90909090909088</v>
      </c>
      <c r="J2196" s="45">
        <v>598.33333333333337</v>
      </c>
      <c r="K2196" s="46">
        <v>-0.26123395816964112</v>
      </c>
    </row>
    <row r="2197" spans="1:11" x14ac:dyDescent="0.2">
      <c r="A2197" s="38" t="s">
        <v>7</v>
      </c>
      <c r="B2197" s="38" t="s">
        <v>9000</v>
      </c>
      <c r="C2197" s="43" t="s">
        <v>9001</v>
      </c>
      <c r="D2197" s="38" t="s">
        <v>12127</v>
      </c>
      <c r="E2197" s="44">
        <v>618</v>
      </c>
      <c r="F2197" s="45">
        <v>140288</v>
      </c>
      <c r="G2197" s="44">
        <v>118</v>
      </c>
      <c r="H2197" s="45">
        <v>26314</v>
      </c>
      <c r="I2197" s="45">
        <v>227.0032362459547</v>
      </c>
      <c r="J2197" s="45">
        <v>223</v>
      </c>
      <c r="K2197" s="46">
        <v>-1.7635150547445272E-2</v>
      </c>
    </row>
    <row r="2198" spans="1:11" x14ac:dyDescent="0.2">
      <c r="A2198" s="38" t="s">
        <v>7</v>
      </c>
      <c r="B2198" s="38" t="s">
        <v>9003</v>
      </c>
      <c r="C2198" s="43" t="s">
        <v>9004</v>
      </c>
      <c r="D2198" s="38" t="s">
        <v>12926</v>
      </c>
      <c r="G2198" s="44">
        <v>8</v>
      </c>
      <c r="H2198" s="45">
        <v>1908</v>
      </c>
      <c r="J2198" s="45">
        <v>238.5</v>
      </c>
    </row>
    <row r="2199" spans="1:11" x14ac:dyDescent="0.2">
      <c r="A2199" s="38" t="s">
        <v>7</v>
      </c>
      <c r="B2199" s="38" t="s">
        <v>9006</v>
      </c>
      <c r="C2199" s="43" t="s">
        <v>9007</v>
      </c>
      <c r="D2199" s="38" t="s">
        <v>12927</v>
      </c>
      <c r="E2199" s="44">
        <v>12022</v>
      </c>
      <c r="F2199" s="45">
        <v>3392101</v>
      </c>
      <c r="G2199" s="44">
        <v>12229</v>
      </c>
      <c r="H2199" s="45">
        <v>3131181</v>
      </c>
      <c r="I2199" s="45">
        <v>282.15779404425223</v>
      </c>
      <c r="J2199" s="45">
        <v>256.04554746913078</v>
      </c>
      <c r="K2199" s="46">
        <v>-9.2544835288250554E-2</v>
      </c>
    </row>
    <row r="2200" spans="1:11" x14ac:dyDescent="0.2">
      <c r="A2200" s="38" t="s">
        <v>7</v>
      </c>
      <c r="B2200" s="38" t="s">
        <v>9009</v>
      </c>
      <c r="C2200" s="43" t="s">
        <v>9010</v>
      </c>
      <c r="D2200" s="38" t="s">
        <v>12927</v>
      </c>
      <c r="G2200" s="44">
        <v>15</v>
      </c>
      <c r="H2200" s="45">
        <v>3675</v>
      </c>
      <c r="J2200" s="45">
        <v>245</v>
      </c>
    </row>
    <row r="2201" spans="1:11" x14ac:dyDescent="0.2">
      <c r="A2201" s="38" t="s">
        <v>7</v>
      </c>
      <c r="B2201" s="38" t="s">
        <v>9012</v>
      </c>
      <c r="C2201" s="43" t="s">
        <v>9013</v>
      </c>
      <c r="D2201" s="38" t="s">
        <v>12928</v>
      </c>
      <c r="G2201" s="44">
        <v>1</v>
      </c>
      <c r="H2201" s="45">
        <v>659</v>
      </c>
      <c r="J2201" s="45">
        <v>659</v>
      </c>
    </row>
    <row r="2202" spans="1:11" x14ac:dyDescent="0.2">
      <c r="A2202" s="38" t="s">
        <v>7</v>
      </c>
      <c r="B2202" s="38" t="s">
        <v>9015</v>
      </c>
      <c r="C2202" s="43" t="s">
        <v>9016</v>
      </c>
      <c r="D2202" s="38" t="s">
        <v>12125</v>
      </c>
      <c r="E2202" s="44">
        <v>108</v>
      </c>
      <c r="F2202" s="45">
        <v>27250</v>
      </c>
      <c r="G2202" s="44">
        <v>216</v>
      </c>
      <c r="H2202" s="45">
        <v>44099</v>
      </c>
      <c r="I2202" s="45">
        <v>252.31481481481481</v>
      </c>
      <c r="J2202" s="45">
        <v>204.16203703703704</v>
      </c>
      <c r="K2202" s="46">
        <v>-0.1908440366972477</v>
      </c>
    </row>
    <row r="2203" spans="1:11" x14ac:dyDescent="0.2">
      <c r="A2203" s="38" t="s">
        <v>7</v>
      </c>
      <c r="B2203" s="38" t="s">
        <v>9018</v>
      </c>
      <c r="C2203" s="43" t="s">
        <v>9019</v>
      </c>
      <c r="D2203" s="38" t="s">
        <v>12929</v>
      </c>
      <c r="G2203" s="44">
        <v>1</v>
      </c>
      <c r="H2203" s="45">
        <v>786</v>
      </c>
      <c r="J2203" s="45">
        <v>786</v>
      </c>
    </row>
    <row r="2204" spans="1:11" x14ac:dyDescent="0.2">
      <c r="A2204" s="38" t="s">
        <v>7</v>
      </c>
      <c r="B2204" s="38" t="s">
        <v>9021</v>
      </c>
      <c r="C2204" s="43" t="s">
        <v>9022</v>
      </c>
      <c r="D2204" s="38" t="s">
        <v>12930</v>
      </c>
      <c r="E2204" s="44">
        <v>4</v>
      </c>
      <c r="F2204" s="45">
        <v>1804</v>
      </c>
      <c r="G2204" s="44">
        <v>28</v>
      </c>
      <c r="H2204" s="45">
        <v>12789</v>
      </c>
      <c r="I2204" s="45">
        <v>451</v>
      </c>
      <c r="J2204" s="45">
        <v>456.75</v>
      </c>
      <c r="K2204" s="46">
        <v>1.2749445676274944E-2</v>
      </c>
    </row>
    <row r="2205" spans="1:11" x14ac:dyDescent="0.2">
      <c r="A2205" s="38" t="s">
        <v>7</v>
      </c>
      <c r="B2205" s="38" t="s">
        <v>9024</v>
      </c>
      <c r="C2205" s="43" t="s">
        <v>9025</v>
      </c>
      <c r="D2205" s="38" t="s">
        <v>12931</v>
      </c>
      <c r="G2205" s="44">
        <v>10</v>
      </c>
      <c r="H2205" s="45">
        <v>4337.6000000000004</v>
      </c>
      <c r="J2205" s="45">
        <v>433.76000000000005</v>
      </c>
    </row>
    <row r="2206" spans="1:11" x14ac:dyDescent="0.2">
      <c r="A2206" s="38" t="s">
        <v>7</v>
      </c>
      <c r="B2206" s="38" t="s">
        <v>9027</v>
      </c>
      <c r="C2206" s="43" t="s">
        <v>9028</v>
      </c>
      <c r="D2206" s="38" t="s">
        <v>12931</v>
      </c>
      <c r="G2206" s="44">
        <v>8</v>
      </c>
      <c r="H2206" s="45">
        <v>3460.4</v>
      </c>
      <c r="J2206" s="45">
        <v>432.55</v>
      </c>
    </row>
    <row r="2207" spans="1:11" x14ac:dyDescent="0.2">
      <c r="A2207" s="38" t="s">
        <v>7</v>
      </c>
      <c r="B2207" s="38" t="s">
        <v>9030</v>
      </c>
      <c r="C2207" s="43" t="s">
        <v>9031</v>
      </c>
      <c r="D2207" s="38" t="s">
        <v>12932</v>
      </c>
      <c r="E2207" s="44">
        <v>11</v>
      </c>
      <c r="F2207" s="45">
        <v>852</v>
      </c>
      <c r="G2207" s="44">
        <v>4</v>
      </c>
      <c r="H2207" s="45">
        <v>312</v>
      </c>
      <c r="I2207" s="45">
        <v>77.454545454545453</v>
      </c>
      <c r="J2207" s="45">
        <v>78</v>
      </c>
      <c r="K2207" s="46">
        <v>7.0422535211267772E-3</v>
      </c>
    </row>
    <row r="2208" spans="1:11" x14ac:dyDescent="0.2">
      <c r="A2208" s="38" t="s">
        <v>7</v>
      </c>
      <c r="B2208" s="38" t="s">
        <v>9033</v>
      </c>
      <c r="C2208" s="43" t="s">
        <v>9034</v>
      </c>
      <c r="D2208" s="38" t="s">
        <v>12932</v>
      </c>
      <c r="E2208" s="44">
        <v>340</v>
      </c>
      <c r="F2208" s="45">
        <v>46860</v>
      </c>
      <c r="G2208" s="44">
        <v>563</v>
      </c>
      <c r="H2208" s="45">
        <v>91023</v>
      </c>
      <c r="I2208" s="45">
        <v>137.8235294117647</v>
      </c>
      <c r="J2208" s="45">
        <v>161.67495559502663</v>
      </c>
      <c r="K2208" s="46">
        <v>0.17305772305397052</v>
      </c>
    </row>
    <row r="2209" spans="1:11" x14ac:dyDescent="0.2">
      <c r="A2209" s="38" t="s">
        <v>7</v>
      </c>
      <c r="B2209" s="38" t="s">
        <v>9036</v>
      </c>
      <c r="C2209" s="43" t="s">
        <v>9037</v>
      </c>
      <c r="D2209" s="38" t="s">
        <v>12932</v>
      </c>
      <c r="E2209" s="44">
        <v>44</v>
      </c>
      <c r="F2209" s="45">
        <v>9132</v>
      </c>
      <c r="G2209" s="44">
        <v>148</v>
      </c>
      <c r="H2209" s="45">
        <v>34740</v>
      </c>
      <c r="I2209" s="45">
        <v>207.54545454545453</v>
      </c>
      <c r="J2209" s="45">
        <v>234.72972972972974</v>
      </c>
      <c r="K2209" s="46">
        <v>0.13097986291153188</v>
      </c>
    </row>
    <row r="2210" spans="1:11" x14ac:dyDescent="0.2">
      <c r="A2210" s="38" t="s">
        <v>7</v>
      </c>
      <c r="B2210" s="38" t="s">
        <v>9039</v>
      </c>
      <c r="C2210" s="43" t="s">
        <v>9040</v>
      </c>
      <c r="D2210" s="38" t="s">
        <v>12933</v>
      </c>
      <c r="E2210" s="44">
        <v>1</v>
      </c>
      <c r="F2210" s="45">
        <v>164</v>
      </c>
      <c r="G2210" s="44">
        <v>1</v>
      </c>
      <c r="H2210" s="45">
        <v>164</v>
      </c>
      <c r="I2210" s="45">
        <v>164</v>
      </c>
      <c r="J2210" s="45">
        <v>164</v>
      </c>
      <c r="K2210" s="46">
        <v>0</v>
      </c>
    </row>
    <row r="2211" spans="1:11" x14ac:dyDescent="0.2">
      <c r="A2211" s="38" t="s">
        <v>7</v>
      </c>
      <c r="B2211" s="38" t="s">
        <v>9042</v>
      </c>
      <c r="C2211" s="43" t="s">
        <v>9043</v>
      </c>
      <c r="D2211" s="38" t="s">
        <v>12933</v>
      </c>
      <c r="E2211" s="44">
        <v>395</v>
      </c>
      <c r="F2211" s="45">
        <v>103560</v>
      </c>
      <c r="G2211" s="44">
        <v>518</v>
      </c>
      <c r="H2211" s="45">
        <v>137606</v>
      </c>
      <c r="I2211" s="45">
        <v>262.17721518987344</v>
      </c>
      <c r="J2211" s="45">
        <v>265.64864864864865</v>
      </c>
      <c r="K2211" s="46">
        <v>1.3240790036850207E-2</v>
      </c>
    </row>
    <row r="2212" spans="1:11" x14ac:dyDescent="0.2">
      <c r="A2212" s="38" t="s">
        <v>7</v>
      </c>
      <c r="B2212" s="38" t="s">
        <v>9045</v>
      </c>
      <c r="C2212" s="43" t="s">
        <v>9046</v>
      </c>
      <c r="D2212" s="38" t="s">
        <v>12934</v>
      </c>
      <c r="E2212" s="44">
        <v>31</v>
      </c>
      <c r="F2212" s="45">
        <v>22442</v>
      </c>
      <c r="G2212" s="44">
        <v>61</v>
      </c>
      <c r="H2212" s="45">
        <v>43155</v>
      </c>
      <c r="I2212" s="45">
        <v>723.93548387096769</v>
      </c>
      <c r="J2212" s="45">
        <v>707.45901639344265</v>
      </c>
      <c r="K2212" s="46">
        <v>-2.275957988607415E-2</v>
      </c>
    </row>
    <row r="2213" spans="1:11" x14ac:dyDescent="0.2">
      <c r="A2213" s="38" t="s">
        <v>7</v>
      </c>
      <c r="B2213" s="38" t="s">
        <v>9062</v>
      </c>
      <c r="C2213" s="43" t="s">
        <v>9063</v>
      </c>
      <c r="E2213" s="44">
        <v>1127</v>
      </c>
      <c r="F2213" s="45">
        <v>1050867</v>
      </c>
      <c r="G2213" s="44">
        <v>1045</v>
      </c>
      <c r="H2213" s="45">
        <v>951633</v>
      </c>
      <c r="I2213" s="45">
        <v>932.44631765749773</v>
      </c>
      <c r="J2213" s="45">
        <v>910.65358851674637</v>
      </c>
      <c r="K2213" s="46">
        <v>-2.3371564376487974E-2</v>
      </c>
    </row>
    <row r="2214" spans="1:11" x14ac:dyDescent="0.2">
      <c r="A2214" s="38" t="s">
        <v>7</v>
      </c>
      <c r="B2214" s="38" t="s">
        <v>9065</v>
      </c>
      <c r="C2214" s="43" t="s">
        <v>9066</v>
      </c>
      <c r="E2214" s="44">
        <v>1806</v>
      </c>
      <c r="F2214" s="45">
        <v>3368298</v>
      </c>
      <c r="G2214" s="44">
        <v>1722</v>
      </c>
      <c r="H2214" s="45">
        <v>3023065</v>
      </c>
      <c r="I2214" s="45">
        <v>1865.0598006644518</v>
      </c>
      <c r="J2214" s="45">
        <v>1755.554587688734</v>
      </c>
      <c r="K2214" s="46">
        <v>-5.8714049242123555E-2</v>
      </c>
    </row>
    <row r="2215" spans="1:11" x14ac:dyDescent="0.2">
      <c r="A2215" s="38" t="s">
        <v>7</v>
      </c>
      <c r="B2215" s="38" t="s">
        <v>9068</v>
      </c>
      <c r="C2215" s="43" t="s">
        <v>9069</v>
      </c>
      <c r="E2215" s="44">
        <v>191</v>
      </c>
      <c r="F2215" s="45">
        <v>430483</v>
      </c>
      <c r="G2215" s="44">
        <v>227</v>
      </c>
      <c r="H2215" s="45">
        <v>441989</v>
      </c>
      <c r="I2215" s="45">
        <v>2253.8376963350784</v>
      </c>
      <c r="J2215" s="45">
        <v>1947.0881057268723</v>
      </c>
      <c r="K2215" s="46">
        <v>-0.13610101166867766</v>
      </c>
    </row>
    <row r="2216" spans="1:11" x14ac:dyDescent="0.2">
      <c r="A2216" s="38" t="s">
        <v>7</v>
      </c>
      <c r="B2216" s="38" t="s">
        <v>9071</v>
      </c>
      <c r="C2216" s="43" t="s">
        <v>9072</v>
      </c>
      <c r="E2216" s="44">
        <v>558</v>
      </c>
      <c r="F2216" s="45">
        <v>0</v>
      </c>
      <c r="G2216" s="44">
        <v>676</v>
      </c>
      <c r="H2216" s="45">
        <v>0</v>
      </c>
      <c r="I2216" s="45">
        <v>0</v>
      </c>
      <c r="J2216" s="45">
        <v>0</v>
      </c>
    </row>
    <row r="2217" spans="1:11" x14ac:dyDescent="0.2">
      <c r="A2217" s="38" t="s">
        <v>7</v>
      </c>
      <c r="B2217" s="38" t="s">
        <v>9073</v>
      </c>
      <c r="C2217" s="43" t="s">
        <v>9074</v>
      </c>
      <c r="D2217" s="38" t="s">
        <v>12935</v>
      </c>
      <c r="E2217" s="44">
        <v>255</v>
      </c>
      <c r="F2217" s="45">
        <v>514590</v>
      </c>
      <c r="G2217" s="44">
        <v>333</v>
      </c>
      <c r="H2217" s="45">
        <v>593934</v>
      </c>
      <c r="I2217" s="45">
        <v>2018</v>
      </c>
      <c r="J2217" s="45">
        <v>1783.5855855855855</v>
      </c>
      <c r="K2217" s="46">
        <v>-0.11616175144420937</v>
      </c>
    </row>
    <row r="2218" spans="1:11" x14ac:dyDescent="0.2">
      <c r="A2218" s="38" t="s">
        <v>7</v>
      </c>
      <c r="B2218" s="38" t="s">
        <v>9075</v>
      </c>
      <c r="C2218" s="43" t="s">
        <v>9076</v>
      </c>
      <c r="D2218" s="38" t="s">
        <v>12936</v>
      </c>
      <c r="E2218" s="44">
        <v>156</v>
      </c>
      <c r="F2218" s="45">
        <v>3189861</v>
      </c>
      <c r="G2218" s="44">
        <v>195</v>
      </c>
      <c r="H2218" s="45">
        <v>3459378</v>
      </c>
      <c r="I2218" s="45">
        <v>20447.826923076922</v>
      </c>
      <c r="J2218" s="45">
        <v>17740.400000000001</v>
      </c>
      <c r="K2218" s="46">
        <v>-0.13240658448753712</v>
      </c>
    </row>
    <row r="2219" spans="1:11" x14ac:dyDescent="0.2">
      <c r="A2219" s="38" t="s">
        <v>7</v>
      </c>
      <c r="B2219" s="38" t="s">
        <v>9078</v>
      </c>
      <c r="C2219" s="43" t="s">
        <v>9079</v>
      </c>
      <c r="D2219" s="38" t="s">
        <v>12058</v>
      </c>
      <c r="E2219" s="44">
        <v>1366</v>
      </c>
      <c r="F2219" s="45">
        <v>3717782</v>
      </c>
      <c r="G2219" s="44">
        <v>1129</v>
      </c>
      <c r="H2219" s="45">
        <v>2784221</v>
      </c>
      <c r="I2219" s="45">
        <v>2721.6559297218155</v>
      </c>
      <c r="J2219" s="45">
        <v>2466.0947741364039</v>
      </c>
      <c r="K2219" s="46">
        <v>-9.3899141619834689E-2</v>
      </c>
    </row>
    <row r="2220" spans="1:11" x14ac:dyDescent="0.2">
      <c r="A2220" s="38" t="s">
        <v>7</v>
      </c>
      <c r="B2220" s="38" t="s">
        <v>9080</v>
      </c>
      <c r="C2220" s="43" t="s">
        <v>9081</v>
      </c>
      <c r="D2220" s="38" t="s">
        <v>12060</v>
      </c>
      <c r="E2220" s="44">
        <v>7502</v>
      </c>
      <c r="F2220" s="45">
        <v>36041498</v>
      </c>
      <c r="G2220" s="44">
        <v>6512</v>
      </c>
      <c r="H2220" s="45">
        <v>28262173</v>
      </c>
      <c r="I2220" s="45">
        <v>4804.2519328179151</v>
      </c>
      <c r="J2220" s="45">
        <v>4340.0142813267812</v>
      </c>
      <c r="K2220" s="46">
        <v>-9.6630580157530815E-2</v>
      </c>
    </row>
    <row r="2221" spans="1:11" x14ac:dyDescent="0.2">
      <c r="A2221" s="38" t="s">
        <v>7</v>
      </c>
      <c r="B2221" s="38" t="s">
        <v>9083</v>
      </c>
      <c r="C2221" s="43" t="s">
        <v>9084</v>
      </c>
      <c r="D2221" s="38" t="s">
        <v>12062</v>
      </c>
      <c r="E2221" s="44">
        <v>7246</v>
      </c>
      <c r="F2221" s="45">
        <v>53835320</v>
      </c>
      <c r="G2221" s="44">
        <v>7540</v>
      </c>
      <c r="H2221" s="45">
        <v>51671170</v>
      </c>
      <c r="I2221" s="45">
        <v>7429.6605023461216</v>
      </c>
      <c r="J2221" s="45">
        <v>6852.9403183023869</v>
      </c>
      <c r="K2221" s="46">
        <v>-7.7624029235470349E-2</v>
      </c>
    </row>
    <row r="2222" spans="1:11" x14ac:dyDescent="0.2">
      <c r="A2222" s="38" t="s">
        <v>7</v>
      </c>
      <c r="B2222" s="38" t="s">
        <v>9085</v>
      </c>
      <c r="C2222" s="43" t="s">
        <v>9086</v>
      </c>
      <c r="D2222" s="38" t="s">
        <v>12064</v>
      </c>
      <c r="E2222" s="44">
        <v>12044</v>
      </c>
      <c r="F2222" s="45">
        <v>133656406</v>
      </c>
      <c r="G2222" s="44">
        <v>13355</v>
      </c>
      <c r="H2222" s="45">
        <v>135719853</v>
      </c>
      <c r="I2222" s="45">
        <v>11097.343573563599</v>
      </c>
      <c r="J2222" s="45">
        <v>10162.474953201048</v>
      </c>
      <c r="K2222" s="46">
        <v>-8.4242558966059339E-2</v>
      </c>
    </row>
    <row r="2223" spans="1:11" x14ac:dyDescent="0.2">
      <c r="A2223" s="38" t="s">
        <v>7</v>
      </c>
      <c r="B2223" s="38" t="s">
        <v>9087</v>
      </c>
      <c r="C2223" s="43" t="s">
        <v>9088</v>
      </c>
      <c r="D2223" s="38" t="s">
        <v>12908</v>
      </c>
      <c r="E2223" s="44">
        <v>61</v>
      </c>
      <c r="F2223" s="45">
        <v>135348</v>
      </c>
      <c r="G2223" s="44">
        <v>55</v>
      </c>
      <c r="H2223" s="45">
        <v>113909</v>
      </c>
      <c r="I2223" s="45">
        <v>2218.8196721311474</v>
      </c>
      <c r="J2223" s="45">
        <v>2071.0727272727272</v>
      </c>
      <c r="K2223" s="46">
        <v>-6.6588081363327362E-2</v>
      </c>
    </row>
    <row r="2224" spans="1:11" x14ac:dyDescent="0.2">
      <c r="A2224" s="38" t="s">
        <v>7</v>
      </c>
      <c r="B2224" s="38" t="s">
        <v>9090</v>
      </c>
      <c r="C2224" s="43" t="s">
        <v>9091</v>
      </c>
      <c r="D2224" s="38" t="s">
        <v>12937</v>
      </c>
      <c r="G2224" s="44">
        <v>1</v>
      </c>
      <c r="H2224" s="45">
        <v>1419</v>
      </c>
      <c r="J2224" s="45">
        <v>1419</v>
      </c>
    </row>
    <row r="2225" spans="1:11" x14ac:dyDescent="0.2">
      <c r="A2225" s="38" t="s">
        <v>7</v>
      </c>
      <c r="B2225" s="38" t="s">
        <v>9093</v>
      </c>
      <c r="C2225" s="43" t="s">
        <v>9094</v>
      </c>
      <c r="D2225" s="38" t="s">
        <v>12938</v>
      </c>
      <c r="E2225" s="44">
        <v>1160</v>
      </c>
      <c r="F2225" s="45">
        <v>3603564</v>
      </c>
      <c r="G2225" s="44">
        <v>1077</v>
      </c>
      <c r="H2225" s="45">
        <v>2990794</v>
      </c>
      <c r="I2225" s="45">
        <v>3106.5206896551722</v>
      </c>
      <c r="J2225" s="45">
        <v>2776.9675023212626</v>
      </c>
      <c r="K2225" s="46">
        <v>-0.1060843368696477</v>
      </c>
    </row>
    <row r="2226" spans="1:11" x14ac:dyDescent="0.2">
      <c r="A2226" s="38" t="s">
        <v>7</v>
      </c>
      <c r="B2226" s="38" t="s">
        <v>9096</v>
      </c>
      <c r="C2226" s="43" t="s">
        <v>9097</v>
      </c>
      <c r="D2226" s="38" t="s">
        <v>12939</v>
      </c>
      <c r="E2226" s="44">
        <v>5801</v>
      </c>
      <c r="F2226" s="45">
        <v>3169267</v>
      </c>
      <c r="G2226" s="44">
        <v>5630</v>
      </c>
      <c r="H2226" s="45">
        <v>2853741</v>
      </c>
      <c r="I2226" s="45">
        <v>546.33114980175833</v>
      </c>
      <c r="J2226" s="45">
        <v>506.88117229129665</v>
      </c>
      <c r="K2226" s="46">
        <v>-7.22089112524089E-2</v>
      </c>
    </row>
    <row r="2227" spans="1:11" x14ac:dyDescent="0.2">
      <c r="A2227" s="38" t="s">
        <v>7</v>
      </c>
      <c r="B2227" s="38" t="s">
        <v>9099</v>
      </c>
      <c r="C2227" s="43" t="s">
        <v>9100</v>
      </c>
      <c r="D2227" s="38" t="s">
        <v>12940</v>
      </c>
      <c r="E2227" s="44">
        <v>2781</v>
      </c>
      <c r="F2227" s="45">
        <v>7999837</v>
      </c>
      <c r="G2227" s="44">
        <v>3307</v>
      </c>
      <c r="H2227" s="45">
        <v>8395638</v>
      </c>
      <c r="I2227" s="45">
        <v>2876.6044588277596</v>
      </c>
      <c r="J2227" s="45">
        <v>2538.7475052918053</v>
      </c>
      <c r="K2227" s="46">
        <v>-0.11744991651498511</v>
      </c>
    </row>
    <row r="2228" spans="1:11" x14ac:dyDescent="0.2">
      <c r="A2228" s="38" t="s">
        <v>7</v>
      </c>
      <c r="B2228" s="38" t="s">
        <v>9102</v>
      </c>
      <c r="C2228" s="43" t="s">
        <v>9103</v>
      </c>
      <c r="D2228" s="38" t="s">
        <v>12941</v>
      </c>
      <c r="E2228" s="44">
        <v>593</v>
      </c>
      <c r="F2228" s="45">
        <v>219287</v>
      </c>
      <c r="G2228" s="44">
        <v>649</v>
      </c>
      <c r="H2228" s="45">
        <v>230749</v>
      </c>
      <c r="I2228" s="45">
        <v>369.79258010118042</v>
      </c>
      <c r="J2228" s="45">
        <v>355.54545454545456</v>
      </c>
      <c r="K2228" s="46">
        <v>-3.8527342954873908E-2</v>
      </c>
    </row>
    <row r="2229" spans="1:11" x14ac:dyDescent="0.2">
      <c r="A2229" s="38" t="s">
        <v>7</v>
      </c>
      <c r="B2229" s="38" t="s">
        <v>9105</v>
      </c>
      <c r="C2229" s="43" t="s">
        <v>9106</v>
      </c>
      <c r="D2229" s="38" t="s">
        <v>12942</v>
      </c>
      <c r="E2229" s="44">
        <v>416</v>
      </c>
      <c r="F2229" s="45">
        <v>284648</v>
      </c>
      <c r="G2229" s="44">
        <v>551</v>
      </c>
      <c r="H2229" s="45">
        <v>340875</v>
      </c>
      <c r="I2229" s="45">
        <v>684.25</v>
      </c>
      <c r="J2229" s="45">
        <v>618.64791288566244</v>
      </c>
      <c r="K2229" s="46">
        <v>-9.587444225697854E-2</v>
      </c>
    </row>
    <row r="2230" spans="1:11" x14ac:dyDescent="0.2">
      <c r="A2230" s="38" t="s">
        <v>7</v>
      </c>
      <c r="B2230" s="38" t="s">
        <v>9108</v>
      </c>
      <c r="C2230" s="43" t="s">
        <v>9109</v>
      </c>
      <c r="D2230" s="38" t="s">
        <v>12943</v>
      </c>
      <c r="E2230" s="44">
        <v>233</v>
      </c>
      <c r="F2230" s="45">
        <v>134447</v>
      </c>
      <c r="G2230" s="44">
        <v>319</v>
      </c>
      <c r="H2230" s="45">
        <v>154861</v>
      </c>
      <c r="I2230" s="45">
        <v>577.02575107296138</v>
      </c>
      <c r="J2230" s="45">
        <v>485.45768025078371</v>
      </c>
      <c r="K2230" s="46">
        <v>-0.15868974764455435</v>
      </c>
    </row>
    <row r="2231" spans="1:11" x14ac:dyDescent="0.2">
      <c r="A2231" s="38" t="s">
        <v>7</v>
      </c>
      <c r="B2231" s="38" t="s">
        <v>9111</v>
      </c>
      <c r="C2231" s="43" t="s">
        <v>9112</v>
      </c>
      <c r="D2231" s="38" t="s">
        <v>12944</v>
      </c>
      <c r="E2231" s="44">
        <v>5294</v>
      </c>
      <c r="F2231" s="45">
        <v>5368546</v>
      </c>
      <c r="G2231" s="44">
        <v>5395</v>
      </c>
      <c r="H2231" s="45">
        <v>5042388</v>
      </c>
      <c r="I2231" s="45">
        <v>1014.0812240272006</v>
      </c>
      <c r="J2231" s="45">
        <v>934.64096385542166</v>
      </c>
      <c r="K2231" s="46">
        <v>-7.833717683510541E-2</v>
      </c>
    </row>
    <row r="2232" spans="1:11" x14ac:dyDescent="0.2">
      <c r="A2232" s="38" t="s">
        <v>7</v>
      </c>
      <c r="B2232" s="38" t="s">
        <v>9114</v>
      </c>
      <c r="C2232" s="43" t="s">
        <v>9115</v>
      </c>
      <c r="D2232" s="38" t="s">
        <v>12945</v>
      </c>
      <c r="E2232" s="44">
        <v>7793</v>
      </c>
      <c r="F2232" s="45">
        <v>7906214</v>
      </c>
      <c r="G2232" s="44">
        <v>8302</v>
      </c>
      <c r="H2232" s="45">
        <v>7392502</v>
      </c>
      <c r="I2232" s="45">
        <v>1014.5276530219428</v>
      </c>
      <c r="J2232" s="45">
        <v>890.44832570464951</v>
      </c>
      <c r="K2232" s="46">
        <v>-0.1223025581882386</v>
      </c>
    </row>
    <row r="2233" spans="1:11" x14ac:dyDescent="0.2">
      <c r="A2233" s="38" t="s">
        <v>7</v>
      </c>
      <c r="B2233" s="38" t="s">
        <v>9117</v>
      </c>
      <c r="C2233" s="43" t="s">
        <v>9118</v>
      </c>
      <c r="D2233" s="38" t="s">
        <v>12946</v>
      </c>
      <c r="E2233" s="44">
        <v>1200</v>
      </c>
      <c r="F2233" s="45">
        <v>1085670</v>
      </c>
      <c r="G2233" s="44">
        <v>1338</v>
      </c>
      <c r="H2233" s="45">
        <v>1088463</v>
      </c>
      <c r="I2233" s="45">
        <v>904.72500000000002</v>
      </c>
      <c r="J2233" s="45">
        <v>813.5</v>
      </c>
      <c r="K2233" s="46">
        <v>-0.10083174445273428</v>
      </c>
    </row>
    <row r="2234" spans="1:11" x14ac:dyDescent="0.2">
      <c r="A2234" s="38" t="s">
        <v>7</v>
      </c>
      <c r="B2234" s="38" t="s">
        <v>9120</v>
      </c>
      <c r="C2234" s="43" t="s">
        <v>9121</v>
      </c>
      <c r="D2234" s="38" t="s">
        <v>12947</v>
      </c>
      <c r="E2234" s="44">
        <v>3518</v>
      </c>
      <c r="F2234" s="45">
        <v>3571633</v>
      </c>
      <c r="G2234" s="44">
        <v>4035</v>
      </c>
      <c r="H2234" s="45">
        <v>3651648</v>
      </c>
      <c r="I2234" s="45">
        <v>1015.2453098351336</v>
      </c>
      <c r="J2234" s="45">
        <v>904.99330855018593</v>
      </c>
      <c r="K2234" s="46">
        <v>-0.10859641528691387</v>
      </c>
    </row>
    <row r="2235" spans="1:11" x14ac:dyDescent="0.2">
      <c r="A2235" s="38" t="s">
        <v>7</v>
      </c>
      <c r="B2235" s="38" t="s">
        <v>9123</v>
      </c>
      <c r="C2235" s="43" t="s">
        <v>9124</v>
      </c>
      <c r="D2235" s="38" t="s">
        <v>12381</v>
      </c>
      <c r="G2235" s="44">
        <v>10</v>
      </c>
      <c r="H2235" s="45">
        <v>28261</v>
      </c>
      <c r="J2235" s="45">
        <v>2826.1</v>
      </c>
    </row>
    <row r="2236" spans="1:11" x14ac:dyDescent="0.2">
      <c r="A2236" s="38" t="s">
        <v>7</v>
      </c>
      <c r="B2236" s="38" t="s">
        <v>9129</v>
      </c>
      <c r="C2236" s="43" t="s">
        <v>9130</v>
      </c>
      <c r="D2236" s="38" t="s">
        <v>12948</v>
      </c>
      <c r="E2236" s="44">
        <v>392</v>
      </c>
      <c r="F2236" s="45">
        <v>2608758</v>
      </c>
      <c r="G2236" s="44">
        <v>379</v>
      </c>
      <c r="H2236" s="45">
        <v>2377921</v>
      </c>
      <c r="I2236" s="45">
        <v>6654.9948979591836</v>
      </c>
      <c r="J2236" s="45">
        <v>6274.1978891820581</v>
      </c>
      <c r="K2236" s="46">
        <v>-5.7219729634037805E-2</v>
      </c>
    </row>
    <row r="2237" spans="1:11" x14ac:dyDescent="0.2">
      <c r="A2237" s="38" t="s">
        <v>7</v>
      </c>
      <c r="B2237" s="38" t="s">
        <v>9132</v>
      </c>
      <c r="C2237" s="43" t="s">
        <v>9133</v>
      </c>
      <c r="D2237" s="38" t="s">
        <v>12949</v>
      </c>
      <c r="E2237" s="44">
        <v>769</v>
      </c>
      <c r="F2237" s="45">
        <v>329153</v>
      </c>
      <c r="G2237" s="44">
        <v>788</v>
      </c>
      <c r="H2237" s="45">
        <v>300365</v>
      </c>
      <c r="I2237" s="45">
        <v>428.02730819245772</v>
      </c>
      <c r="J2237" s="45">
        <v>381.17385786802032</v>
      </c>
      <c r="K2237" s="46">
        <v>-0.10946369408600974</v>
      </c>
    </row>
    <row r="2238" spans="1:11" x14ac:dyDescent="0.2">
      <c r="A2238" s="38" t="s">
        <v>7</v>
      </c>
      <c r="B2238" s="38" t="s">
        <v>9135</v>
      </c>
      <c r="C2238" s="43" t="s">
        <v>9136</v>
      </c>
      <c r="D2238" s="38" t="s">
        <v>12950</v>
      </c>
      <c r="E2238" s="44">
        <v>3</v>
      </c>
      <c r="F2238" s="45">
        <v>1080</v>
      </c>
      <c r="G2238" s="44">
        <v>0</v>
      </c>
      <c r="H2238" s="45">
        <v>-326</v>
      </c>
      <c r="I2238" s="45">
        <v>360</v>
      </c>
    </row>
    <row r="2239" spans="1:11" x14ac:dyDescent="0.2">
      <c r="A2239" s="38" t="s">
        <v>7</v>
      </c>
      <c r="B2239" s="38" t="s">
        <v>9138</v>
      </c>
      <c r="C2239" s="43" t="s">
        <v>9139</v>
      </c>
      <c r="D2239" s="38" t="s">
        <v>12951</v>
      </c>
      <c r="E2239" s="44">
        <v>31</v>
      </c>
      <c r="F2239" s="45">
        <v>3683.11</v>
      </c>
      <c r="G2239" s="44">
        <v>57</v>
      </c>
      <c r="H2239" s="45">
        <v>6772.17</v>
      </c>
      <c r="I2239" s="45">
        <v>118.81</v>
      </c>
      <c r="J2239" s="45">
        <v>118.81</v>
      </c>
      <c r="K2239" s="46">
        <v>0</v>
      </c>
    </row>
    <row r="2240" spans="1:11" x14ac:dyDescent="0.2">
      <c r="A2240" s="38" t="s">
        <v>7</v>
      </c>
      <c r="B2240" s="38" t="s">
        <v>9141</v>
      </c>
      <c r="C2240" s="43" t="s">
        <v>9142</v>
      </c>
      <c r="D2240" s="38" t="s">
        <v>12952</v>
      </c>
      <c r="E2240" s="44">
        <v>1</v>
      </c>
      <c r="F2240" s="45">
        <v>717</v>
      </c>
      <c r="G2240" s="44">
        <v>4</v>
      </c>
      <c r="H2240" s="45">
        <v>2072</v>
      </c>
      <c r="I2240" s="45">
        <v>717</v>
      </c>
      <c r="J2240" s="45">
        <v>518</v>
      </c>
      <c r="K2240" s="46">
        <v>-0.27754532775453278</v>
      </c>
    </row>
    <row r="2241" spans="1:11" x14ac:dyDescent="0.2">
      <c r="A2241" s="38" t="s">
        <v>7</v>
      </c>
      <c r="B2241" s="38" t="s">
        <v>9143</v>
      </c>
      <c r="C2241" s="43" t="s">
        <v>3574</v>
      </c>
      <c r="D2241" s="38" t="s">
        <v>12413</v>
      </c>
      <c r="E2241" s="44">
        <v>68</v>
      </c>
      <c r="F2241" s="45">
        <v>42125</v>
      </c>
      <c r="G2241" s="44">
        <v>89</v>
      </c>
      <c r="H2241" s="45">
        <v>46030</v>
      </c>
      <c r="I2241" s="45">
        <v>619.48529411764707</v>
      </c>
      <c r="J2241" s="45">
        <v>517.1910112359551</v>
      </c>
      <c r="K2241" s="46">
        <v>-0.16512786316807249</v>
      </c>
    </row>
    <row r="2242" spans="1:11" x14ac:dyDescent="0.2">
      <c r="A2242" s="38" t="s">
        <v>7</v>
      </c>
      <c r="B2242" s="38" t="s">
        <v>9144</v>
      </c>
      <c r="C2242" s="43" t="s">
        <v>3577</v>
      </c>
      <c r="D2242" s="38" t="s">
        <v>12414</v>
      </c>
      <c r="G2242" s="44">
        <v>6</v>
      </c>
      <c r="H2242" s="45">
        <v>1786</v>
      </c>
      <c r="J2242" s="45">
        <v>297.66666666666669</v>
      </c>
    </row>
    <row r="2243" spans="1:11" x14ac:dyDescent="0.2">
      <c r="A2243" s="38" t="s">
        <v>7</v>
      </c>
      <c r="B2243" s="38" t="s">
        <v>9145</v>
      </c>
      <c r="C2243" s="43" t="s">
        <v>9146</v>
      </c>
      <c r="G2243" s="44">
        <v>19</v>
      </c>
      <c r="H2243" s="45">
        <v>37316</v>
      </c>
      <c r="J2243" s="45">
        <v>1964</v>
      </c>
    </row>
    <row r="2244" spans="1:11" x14ac:dyDescent="0.2">
      <c r="A2244" s="38" t="s">
        <v>7</v>
      </c>
      <c r="B2244" s="38" t="s">
        <v>9148</v>
      </c>
      <c r="C2244" s="43" t="s">
        <v>9149</v>
      </c>
      <c r="G2244" s="44">
        <v>10</v>
      </c>
      <c r="H2244" s="45">
        <v>31180</v>
      </c>
      <c r="J2244" s="45">
        <v>3118</v>
      </c>
    </row>
    <row r="2245" spans="1:11" x14ac:dyDescent="0.2">
      <c r="A2245" s="38" t="s">
        <v>7</v>
      </c>
      <c r="B2245" s="38" t="s">
        <v>9154</v>
      </c>
      <c r="C2245" s="43" t="s">
        <v>9155</v>
      </c>
      <c r="G2245" s="44">
        <v>6</v>
      </c>
      <c r="H2245" s="45">
        <v>38112</v>
      </c>
      <c r="J2245" s="45">
        <v>6352</v>
      </c>
    </row>
    <row r="2246" spans="1:11" x14ac:dyDescent="0.2">
      <c r="A2246" s="38" t="s">
        <v>7</v>
      </c>
      <c r="B2246" s="38" t="s">
        <v>9157</v>
      </c>
      <c r="C2246" s="43" t="s">
        <v>9158</v>
      </c>
      <c r="G2246" s="44">
        <v>24</v>
      </c>
      <c r="H2246" s="45">
        <v>199584</v>
      </c>
      <c r="J2246" s="45">
        <v>8316</v>
      </c>
    </row>
    <row r="2247" spans="1:11" x14ac:dyDescent="0.2">
      <c r="A2247" s="38" t="s">
        <v>7</v>
      </c>
      <c r="B2247" s="38" t="s">
        <v>9166</v>
      </c>
      <c r="C2247" s="43" t="s">
        <v>9167</v>
      </c>
      <c r="D2247" s="38" t="s">
        <v>12953</v>
      </c>
      <c r="G2247" s="44">
        <v>40</v>
      </c>
      <c r="H2247" s="45">
        <v>87375</v>
      </c>
      <c r="J2247" s="45">
        <v>2184.375</v>
      </c>
    </row>
    <row r="2248" spans="1:11" x14ac:dyDescent="0.2">
      <c r="A2248" s="38" t="s">
        <v>7</v>
      </c>
      <c r="B2248" s="38" t="s">
        <v>9169</v>
      </c>
      <c r="C2248" s="43" t="s">
        <v>9170</v>
      </c>
      <c r="D2248" s="38" t="s">
        <v>12953</v>
      </c>
      <c r="E2248" s="44">
        <v>17</v>
      </c>
      <c r="F2248" s="45">
        <v>16541</v>
      </c>
      <c r="G2248" s="44">
        <v>1414</v>
      </c>
      <c r="H2248" s="45">
        <v>1208314</v>
      </c>
      <c r="I2248" s="45">
        <v>973</v>
      </c>
      <c r="J2248" s="45">
        <v>854.53606789250352</v>
      </c>
      <c r="K2248" s="46">
        <v>-0.12175121491006832</v>
      </c>
    </row>
    <row r="2249" spans="1:11" x14ac:dyDescent="0.2">
      <c r="A2249" s="38" t="s">
        <v>7</v>
      </c>
      <c r="B2249" s="38" t="s">
        <v>9172</v>
      </c>
      <c r="C2249" s="43" t="s">
        <v>9173</v>
      </c>
      <c r="D2249" s="38" t="s">
        <v>12953</v>
      </c>
      <c r="E2249" s="44">
        <v>32055</v>
      </c>
      <c r="F2249" s="45">
        <v>10490805</v>
      </c>
      <c r="G2249" s="44">
        <v>30582</v>
      </c>
      <c r="H2249" s="45">
        <v>11411250</v>
      </c>
      <c r="I2249" s="45">
        <v>327.27515208235843</v>
      </c>
      <c r="J2249" s="45">
        <v>373.13615852462232</v>
      </c>
      <c r="K2249" s="46">
        <v>0.14012981477653708</v>
      </c>
    </row>
    <row r="2250" spans="1:11" x14ac:dyDescent="0.2">
      <c r="A2250" s="38" t="s">
        <v>7</v>
      </c>
      <c r="B2250" s="38" t="s">
        <v>9175</v>
      </c>
      <c r="C2250" s="43" t="s">
        <v>9176</v>
      </c>
      <c r="D2250" s="38" t="s">
        <v>12953</v>
      </c>
      <c r="E2250" s="44">
        <v>1018</v>
      </c>
      <c r="F2250" s="45">
        <v>1508943</v>
      </c>
      <c r="G2250" s="44">
        <v>896</v>
      </c>
      <c r="H2250" s="45">
        <v>1217685</v>
      </c>
      <c r="I2250" s="45">
        <v>1482.2622789783891</v>
      </c>
      <c r="J2250" s="45">
        <v>1359.0234375</v>
      </c>
      <c r="K2250" s="46">
        <v>-8.3142398768542E-2</v>
      </c>
    </row>
    <row r="2251" spans="1:11" x14ac:dyDescent="0.2">
      <c r="A2251" s="38" t="s">
        <v>7</v>
      </c>
      <c r="B2251" s="38" t="s">
        <v>9178</v>
      </c>
      <c r="C2251" s="43" t="s">
        <v>9179</v>
      </c>
      <c r="D2251" s="38" t="s">
        <v>12953</v>
      </c>
      <c r="E2251" s="44">
        <v>1481</v>
      </c>
      <c r="F2251" s="45">
        <v>2949248</v>
      </c>
      <c r="G2251" s="44">
        <v>1298</v>
      </c>
      <c r="H2251" s="45">
        <v>2349830</v>
      </c>
      <c r="I2251" s="45">
        <v>1991.3896016205267</v>
      </c>
      <c r="J2251" s="45">
        <v>1810.3466872110939</v>
      </c>
      <c r="K2251" s="46">
        <v>-9.0912855155066641E-2</v>
      </c>
    </row>
    <row r="2252" spans="1:11" x14ac:dyDescent="0.2">
      <c r="A2252" s="38" t="s">
        <v>7</v>
      </c>
      <c r="B2252" s="38" t="s">
        <v>9181</v>
      </c>
      <c r="C2252" s="43" t="s">
        <v>9182</v>
      </c>
      <c r="D2252" s="38" t="s">
        <v>12953</v>
      </c>
      <c r="E2252" s="44">
        <v>42978</v>
      </c>
      <c r="F2252" s="45">
        <v>20406414</v>
      </c>
      <c r="G2252" s="44">
        <v>45833</v>
      </c>
      <c r="H2252" s="45">
        <v>22838405</v>
      </c>
      <c r="I2252" s="45">
        <v>474.81069384336172</v>
      </c>
      <c r="J2252" s="45">
        <v>498.29609669888509</v>
      </c>
      <c r="K2252" s="46">
        <v>4.946266619527976E-2</v>
      </c>
    </row>
    <row r="2253" spans="1:11" x14ac:dyDescent="0.2">
      <c r="A2253" s="38" t="s">
        <v>7</v>
      </c>
      <c r="B2253" s="38" t="s">
        <v>9184</v>
      </c>
      <c r="C2253" s="43" t="s">
        <v>9185</v>
      </c>
      <c r="D2253" s="38" t="s">
        <v>12954</v>
      </c>
      <c r="E2253" s="44">
        <v>25</v>
      </c>
      <c r="F2253" s="45">
        <v>50496</v>
      </c>
      <c r="G2253" s="44">
        <v>37</v>
      </c>
      <c r="H2253" s="45">
        <v>75628</v>
      </c>
      <c r="I2253" s="45">
        <v>2019.84</v>
      </c>
      <c r="J2253" s="45">
        <v>2044</v>
      </c>
      <c r="K2253" s="46">
        <v>1.1961343472750357E-2</v>
      </c>
    </row>
    <row r="2254" spans="1:11" x14ac:dyDescent="0.2">
      <c r="A2254" s="38" t="s">
        <v>7</v>
      </c>
      <c r="B2254" s="38" t="s">
        <v>9187</v>
      </c>
      <c r="C2254" s="43" t="s">
        <v>9188</v>
      </c>
      <c r="D2254" s="38" t="s">
        <v>12954</v>
      </c>
      <c r="E2254" s="44">
        <v>12</v>
      </c>
      <c r="F2254" s="45">
        <v>18050</v>
      </c>
      <c r="G2254" s="44">
        <v>43</v>
      </c>
      <c r="H2254" s="45">
        <v>65489</v>
      </c>
      <c r="I2254" s="45">
        <v>1504.1666666666667</v>
      </c>
      <c r="J2254" s="45">
        <v>1523</v>
      </c>
      <c r="K2254" s="46">
        <v>1.2520775623268646E-2</v>
      </c>
    </row>
    <row r="2255" spans="1:11" x14ac:dyDescent="0.2">
      <c r="A2255" s="38" t="s">
        <v>7</v>
      </c>
      <c r="B2255" s="38" t="s">
        <v>9190</v>
      </c>
      <c r="C2255" s="43" t="s">
        <v>9049</v>
      </c>
      <c r="D2255" s="38" t="s">
        <v>12955</v>
      </c>
      <c r="E2255" s="44">
        <v>91</v>
      </c>
      <c r="F2255" s="45">
        <v>31006</v>
      </c>
      <c r="G2255" s="44">
        <v>148</v>
      </c>
      <c r="H2255" s="45">
        <v>50468</v>
      </c>
      <c r="I2255" s="45">
        <v>340.72527472527474</v>
      </c>
      <c r="J2255" s="45">
        <v>341</v>
      </c>
      <c r="K2255" s="46">
        <v>8.0629555569884193E-4</v>
      </c>
    </row>
    <row r="2256" spans="1:11" x14ac:dyDescent="0.2">
      <c r="A2256" s="38" t="s">
        <v>7</v>
      </c>
      <c r="B2256" s="38" t="s">
        <v>9191</v>
      </c>
      <c r="C2256" s="43" t="s">
        <v>9052</v>
      </c>
      <c r="D2256" s="38" t="s">
        <v>12956</v>
      </c>
      <c r="E2256" s="44">
        <v>5</v>
      </c>
      <c r="F2256" s="45">
        <v>1680</v>
      </c>
      <c r="G2256" s="44">
        <v>11</v>
      </c>
      <c r="H2256" s="45">
        <v>3751</v>
      </c>
      <c r="I2256" s="45">
        <v>336</v>
      </c>
      <c r="J2256" s="45">
        <v>341</v>
      </c>
      <c r="K2256" s="46">
        <v>1.488095238095238E-2</v>
      </c>
    </row>
    <row r="2257" spans="1:11" x14ac:dyDescent="0.2">
      <c r="A2257" s="38" t="s">
        <v>7</v>
      </c>
      <c r="B2257" s="38" t="s">
        <v>9194</v>
      </c>
      <c r="C2257" s="43" t="s">
        <v>9195</v>
      </c>
      <c r="E2257" s="44">
        <v>491</v>
      </c>
      <c r="F2257" s="45">
        <v>1335398</v>
      </c>
      <c r="G2257" s="44">
        <v>559</v>
      </c>
      <c r="H2257" s="45">
        <v>1389625</v>
      </c>
      <c r="I2257" s="45">
        <v>2719.7515274949083</v>
      </c>
      <c r="J2257" s="45">
        <v>2485.9123434704829</v>
      </c>
      <c r="K2257" s="46">
        <v>-8.5978142363544674E-2</v>
      </c>
    </row>
    <row r="2258" spans="1:11" x14ac:dyDescent="0.2">
      <c r="A2258" s="38" t="s">
        <v>7</v>
      </c>
      <c r="B2258" s="38" t="s">
        <v>9197</v>
      </c>
      <c r="C2258" s="43" t="s">
        <v>9198</v>
      </c>
      <c r="E2258" s="44">
        <v>31</v>
      </c>
      <c r="F2258" s="45">
        <v>118952</v>
      </c>
      <c r="G2258" s="44">
        <v>48</v>
      </c>
      <c r="H2258" s="45">
        <v>154260</v>
      </c>
      <c r="I2258" s="45">
        <v>3837.1612903225805</v>
      </c>
      <c r="J2258" s="45">
        <v>3213.75</v>
      </c>
      <c r="K2258" s="46">
        <v>-0.16246679332840133</v>
      </c>
    </row>
    <row r="2259" spans="1:11" x14ac:dyDescent="0.2">
      <c r="A2259" s="38" t="s">
        <v>7</v>
      </c>
      <c r="B2259" s="38" t="s">
        <v>9200</v>
      </c>
      <c r="C2259" s="43" t="s">
        <v>9201</v>
      </c>
      <c r="E2259" s="44">
        <v>6</v>
      </c>
      <c r="F2259" s="45">
        <v>26502</v>
      </c>
      <c r="G2259" s="44">
        <v>12</v>
      </c>
      <c r="H2259" s="45">
        <v>43110</v>
      </c>
      <c r="I2259" s="45">
        <v>4417</v>
      </c>
      <c r="J2259" s="45">
        <v>3592.5</v>
      </c>
      <c r="K2259" s="46">
        <v>-0.18666515734661535</v>
      </c>
    </row>
    <row r="2260" spans="1:11" x14ac:dyDescent="0.2">
      <c r="A2260" s="38" t="s">
        <v>7</v>
      </c>
      <c r="B2260" s="38" t="s">
        <v>9203</v>
      </c>
      <c r="C2260" s="43" t="s">
        <v>9204</v>
      </c>
      <c r="G2260" s="44">
        <v>2</v>
      </c>
      <c r="H2260" s="45">
        <v>2238</v>
      </c>
      <c r="J2260" s="45">
        <v>1119</v>
      </c>
    </row>
    <row r="2261" spans="1:11" x14ac:dyDescent="0.2">
      <c r="A2261" s="38" t="s">
        <v>7</v>
      </c>
      <c r="B2261" s="38" t="s">
        <v>9206</v>
      </c>
      <c r="C2261" s="43" t="s">
        <v>9207</v>
      </c>
      <c r="G2261" s="44">
        <v>1</v>
      </c>
      <c r="H2261" s="45">
        <v>6025</v>
      </c>
      <c r="J2261" s="45">
        <v>6025</v>
      </c>
    </row>
    <row r="2262" spans="1:11" x14ac:dyDescent="0.2">
      <c r="A2262" s="38" t="s">
        <v>7</v>
      </c>
      <c r="B2262" s="38" t="s">
        <v>9209</v>
      </c>
      <c r="C2262" s="43" t="s">
        <v>9210</v>
      </c>
      <c r="G2262" s="44">
        <v>3</v>
      </c>
      <c r="H2262" s="45">
        <v>22167</v>
      </c>
      <c r="J2262" s="45">
        <v>7389</v>
      </c>
    </row>
    <row r="2263" spans="1:11" x14ac:dyDescent="0.2">
      <c r="A2263" s="38" t="s">
        <v>7</v>
      </c>
      <c r="B2263" s="38" t="s">
        <v>9214</v>
      </c>
      <c r="C2263" s="43" t="s">
        <v>9133</v>
      </c>
      <c r="D2263" s="38" t="s">
        <v>12949</v>
      </c>
      <c r="G2263" s="44">
        <v>5</v>
      </c>
      <c r="H2263" s="45">
        <v>978</v>
      </c>
      <c r="J2263" s="45">
        <v>195.6</v>
      </c>
    </row>
    <row r="2264" spans="1:11" x14ac:dyDescent="0.2">
      <c r="A2264" s="38" t="s">
        <v>7</v>
      </c>
      <c r="B2264" s="38" t="s">
        <v>9216</v>
      </c>
      <c r="C2264" s="43" t="s">
        <v>9094</v>
      </c>
      <c r="D2264" s="38" t="s">
        <v>12938</v>
      </c>
      <c r="E2264" s="44">
        <v>71</v>
      </c>
      <c r="F2264" s="45">
        <v>171721</v>
      </c>
      <c r="G2264" s="44">
        <v>52</v>
      </c>
      <c r="H2264" s="45">
        <v>117086</v>
      </c>
      <c r="I2264" s="45">
        <v>2418.605633802817</v>
      </c>
      <c r="J2264" s="45">
        <v>2251.6538461538462</v>
      </c>
      <c r="K2264" s="46">
        <v>-6.9028114925238776E-2</v>
      </c>
    </row>
    <row r="2265" spans="1:11" x14ac:dyDescent="0.2">
      <c r="A2265" s="38" t="s">
        <v>7</v>
      </c>
      <c r="B2265" s="38" t="s">
        <v>9217</v>
      </c>
      <c r="C2265" s="43" t="s">
        <v>9097</v>
      </c>
      <c r="D2265" s="38" t="s">
        <v>12939</v>
      </c>
      <c r="E2265" s="44">
        <v>16402</v>
      </c>
      <c r="F2265" s="45">
        <v>5163134</v>
      </c>
      <c r="G2265" s="44">
        <v>15756</v>
      </c>
      <c r="H2265" s="45">
        <v>4939836</v>
      </c>
      <c r="I2265" s="45">
        <v>314.78685526155346</v>
      </c>
      <c r="J2265" s="45">
        <v>313.5209444021325</v>
      </c>
      <c r="K2265" s="46">
        <v>-4.0214857712820382E-3</v>
      </c>
    </row>
    <row r="2266" spans="1:11" x14ac:dyDescent="0.2">
      <c r="A2266" s="38" t="s">
        <v>7</v>
      </c>
      <c r="B2266" s="38" t="s">
        <v>9218</v>
      </c>
      <c r="C2266" s="43" t="s">
        <v>9100</v>
      </c>
      <c r="D2266" s="38" t="s">
        <v>12940</v>
      </c>
      <c r="E2266" s="44">
        <v>621</v>
      </c>
      <c r="F2266" s="45">
        <v>1194390</v>
      </c>
      <c r="G2266" s="44">
        <v>645</v>
      </c>
      <c r="H2266" s="45">
        <v>1132152</v>
      </c>
      <c r="I2266" s="45">
        <v>1923.3333333333333</v>
      </c>
      <c r="J2266" s="45">
        <v>1755.2744186046511</v>
      </c>
      <c r="K2266" s="46">
        <v>-8.7378985127564354E-2</v>
      </c>
    </row>
    <row r="2267" spans="1:11" x14ac:dyDescent="0.2">
      <c r="A2267" s="38" t="s">
        <v>7</v>
      </c>
      <c r="B2267" s="38" t="s">
        <v>9219</v>
      </c>
      <c r="C2267" s="43" t="s">
        <v>9103</v>
      </c>
      <c r="D2267" s="38" t="s">
        <v>12941</v>
      </c>
      <c r="E2267" s="44">
        <v>4147</v>
      </c>
      <c r="F2267" s="45">
        <v>1191443</v>
      </c>
      <c r="G2267" s="44">
        <v>5452</v>
      </c>
      <c r="H2267" s="45">
        <v>1557400</v>
      </c>
      <c r="I2267" s="45">
        <v>287.30238726790452</v>
      </c>
      <c r="J2267" s="45">
        <v>285.65663976522376</v>
      </c>
      <c r="K2267" s="46">
        <v>-5.7282764627574487E-3</v>
      </c>
    </row>
    <row r="2268" spans="1:11" x14ac:dyDescent="0.2">
      <c r="A2268" s="38" t="s">
        <v>7</v>
      </c>
      <c r="B2268" s="38" t="s">
        <v>9220</v>
      </c>
      <c r="C2268" s="43" t="s">
        <v>9106</v>
      </c>
      <c r="D2268" s="38" t="s">
        <v>12942</v>
      </c>
      <c r="E2268" s="44">
        <v>581</v>
      </c>
      <c r="F2268" s="45">
        <v>251879</v>
      </c>
      <c r="G2268" s="44">
        <v>717</v>
      </c>
      <c r="H2268" s="45">
        <v>291723</v>
      </c>
      <c r="I2268" s="45">
        <v>433.52667814113596</v>
      </c>
      <c r="J2268" s="45">
        <v>406.86610878661088</v>
      </c>
      <c r="K2268" s="46">
        <v>-6.1496952088022708E-2</v>
      </c>
    </row>
    <row r="2269" spans="1:11" x14ac:dyDescent="0.2">
      <c r="A2269" s="38" t="s">
        <v>7</v>
      </c>
      <c r="B2269" s="38" t="s">
        <v>9221</v>
      </c>
      <c r="C2269" s="43" t="s">
        <v>9109</v>
      </c>
      <c r="D2269" s="38" t="s">
        <v>12943</v>
      </c>
      <c r="E2269" s="44">
        <v>148</v>
      </c>
      <c r="F2269" s="45">
        <v>64111</v>
      </c>
      <c r="G2269" s="44">
        <v>196</v>
      </c>
      <c r="H2269" s="45">
        <v>79498</v>
      </c>
      <c r="I2269" s="45">
        <v>433.18243243243245</v>
      </c>
      <c r="J2269" s="45">
        <v>405.60204081632651</v>
      </c>
      <c r="K2269" s="46">
        <v>-6.3669229292690477E-2</v>
      </c>
    </row>
    <row r="2270" spans="1:11" x14ac:dyDescent="0.2">
      <c r="A2270" s="38" t="s">
        <v>7</v>
      </c>
      <c r="B2270" s="38" t="s">
        <v>9222</v>
      </c>
      <c r="C2270" s="43" t="s">
        <v>9112</v>
      </c>
      <c r="D2270" s="38" t="s">
        <v>12944</v>
      </c>
      <c r="E2270" s="44">
        <v>270</v>
      </c>
      <c r="F2270" s="45">
        <v>222453</v>
      </c>
      <c r="G2270" s="44">
        <v>292</v>
      </c>
      <c r="H2270" s="45">
        <v>227974</v>
      </c>
      <c r="I2270" s="45">
        <v>823.9</v>
      </c>
      <c r="J2270" s="45">
        <v>780.73287671232879</v>
      </c>
      <c r="K2270" s="46">
        <v>-5.2393643995231449E-2</v>
      </c>
    </row>
    <row r="2271" spans="1:11" x14ac:dyDescent="0.2">
      <c r="A2271" s="38" t="s">
        <v>7</v>
      </c>
      <c r="B2271" s="38" t="s">
        <v>9223</v>
      </c>
      <c r="C2271" s="43" t="s">
        <v>9115</v>
      </c>
      <c r="D2271" s="38" t="s">
        <v>12945</v>
      </c>
      <c r="E2271" s="44">
        <v>1824</v>
      </c>
      <c r="F2271" s="45">
        <v>1666830</v>
      </c>
      <c r="G2271" s="44">
        <v>2031</v>
      </c>
      <c r="H2271" s="45">
        <v>1620472</v>
      </c>
      <c r="I2271" s="45">
        <v>913.83223684210532</v>
      </c>
      <c r="J2271" s="45">
        <v>797.86903003446582</v>
      </c>
      <c r="K2271" s="46">
        <v>-0.12689769755592017</v>
      </c>
    </row>
    <row r="2272" spans="1:11" x14ac:dyDescent="0.2">
      <c r="A2272" s="38" t="s">
        <v>7</v>
      </c>
      <c r="B2272" s="38" t="s">
        <v>9224</v>
      </c>
      <c r="C2272" s="43" t="s">
        <v>9118</v>
      </c>
      <c r="D2272" s="38" t="s">
        <v>12946</v>
      </c>
      <c r="E2272" s="44">
        <v>3330</v>
      </c>
      <c r="F2272" s="45">
        <v>2581638</v>
      </c>
      <c r="G2272" s="44">
        <v>4459</v>
      </c>
      <c r="H2272" s="45">
        <v>3102929</v>
      </c>
      <c r="I2272" s="45">
        <v>775.26666666666665</v>
      </c>
      <c r="J2272" s="45">
        <v>695.88001794124239</v>
      </c>
      <c r="K2272" s="46">
        <v>-0.10239915133557176</v>
      </c>
    </row>
    <row r="2273" spans="1:11" x14ac:dyDescent="0.2">
      <c r="A2273" s="38" t="s">
        <v>7</v>
      </c>
      <c r="B2273" s="38" t="s">
        <v>9225</v>
      </c>
      <c r="C2273" s="43" t="s">
        <v>9121</v>
      </c>
      <c r="D2273" s="38" t="s">
        <v>12947</v>
      </c>
      <c r="E2273" s="44">
        <v>768</v>
      </c>
      <c r="F2273" s="45">
        <v>593863</v>
      </c>
      <c r="G2273" s="44">
        <v>1192</v>
      </c>
      <c r="H2273" s="45">
        <v>825808</v>
      </c>
      <c r="I2273" s="45">
        <v>773.25911458333337</v>
      </c>
      <c r="J2273" s="45">
        <v>692.79194630872485</v>
      </c>
      <c r="K2273" s="46">
        <v>-0.10406235989596817</v>
      </c>
    </row>
    <row r="2274" spans="1:11" x14ac:dyDescent="0.2">
      <c r="A2274" s="38" t="s">
        <v>7</v>
      </c>
      <c r="B2274" s="38" t="s">
        <v>9226</v>
      </c>
      <c r="C2274" s="43" t="s">
        <v>9227</v>
      </c>
      <c r="G2274" s="44">
        <v>2</v>
      </c>
      <c r="H2274" s="45">
        <v>1760</v>
      </c>
      <c r="J2274" s="45">
        <v>880</v>
      </c>
    </row>
    <row r="2275" spans="1:11" x14ac:dyDescent="0.2">
      <c r="A2275" s="38" t="s">
        <v>7</v>
      </c>
      <c r="B2275" s="38" t="s">
        <v>9228</v>
      </c>
      <c r="C2275" s="43" t="s">
        <v>9229</v>
      </c>
      <c r="G2275" s="44">
        <v>3</v>
      </c>
      <c r="H2275" s="45">
        <v>5715</v>
      </c>
      <c r="J2275" s="45">
        <v>1905</v>
      </c>
    </row>
    <row r="2276" spans="1:11" x14ac:dyDescent="0.2">
      <c r="A2276" s="38" t="s">
        <v>7</v>
      </c>
      <c r="B2276" s="38" t="s">
        <v>9230</v>
      </c>
      <c r="C2276" s="43" t="s">
        <v>9231</v>
      </c>
      <c r="G2276" s="44">
        <v>2</v>
      </c>
      <c r="H2276" s="45">
        <v>9260</v>
      </c>
      <c r="J2276" s="45">
        <v>4630</v>
      </c>
    </row>
    <row r="2277" spans="1:11" x14ac:dyDescent="0.2">
      <c r="A2277" s="38" t="s">
        <v>7</v>
      </c>
      <c r="B2277" s="38" t="s">
        <v>9248</v>
      </c>
      <c r="C2277" s="43" t="s">
        <v>9249</v>
      </c>
      <c r="E2277" s="44">
        <v>807</v>
      </c>
      <c r="F2277" s="45">
        <v>0</v>
      </c>
      <c r="G2277" s="44">
        <v>980</v>
      </c>
      <c r="H2277" s="45">
        <v>0</v>
      </c>
      <c r="I2277" s="45">
        <v>0</v>
      </c>
      <c r="J2277" s="45">
        <v>0</v>
      </c>
    </row>
    <row r="2278" spans="1:11" x14ac:dyDescent="0.2">
      <c r="A2278" s="38" t="s">
        <v>7</v>
      </c>
      <c r="B2278" s="38" t="s">
        <v>9250</v>
      </c>
      <c r="C2278" s="43" t="s">
        <v>9251</v>
      </c>
      <c r="D2278" s="38" t="s">
        <v>12957</v>
      </c>
      <c r="E2278" s="44">
        <v>6589</v>
      </c>
      <c r="F2278" s="45">
        <v>11750309</v>
      </c>
      <c r="G2278" s="44">
        <v>5318</v>
      </c>
      <c r="H2278" s="45">
        <v>9710668</v>
      </c>
      <c r="I2278" s="45">
        <v>1783.3220519046897</v>
      </c>
      <c r="J2278" s="45">
        <v>1826</v>
      </c>
      <c r="K2278" s="46">
        <v>2.3931711072449197E-2</v>
      </c>
    </row>
    <row r="2279" spans="1:11" x14ac:dyDescent="0.2">
      <c r="A2279" s="38" t="s">
        <v>7</v>
      </c>
      <c r="B2279" s="38" t="s">
        <v>9253</v>
      </c>
      <c r="C2279" s="43" t="s">
        <v>9254</v>
      </c>
      <c r="E2279" s="44">
        <v>9</v>
      </c>
      <c r="F2279" s="45">
        <v>26581</v>
      </c>
      <c r="G2279" s="44">
        <v>34</v>
      </c>
      <c r="H2279" s="45">
        <v>102146</v>
      </c>
      <c r="I2279" s="45">
        <v>2953.4444444444443</v>
      </c>
      <c r="J2279" s="45">
        <v>3004.294117647059</v>
      </c>
      <c r="K2279" s="46">
        <v>1.7217074557899704E-2</v>
      </c>
    </row>
    <row r="2280" spans="1:11" x14ac:dyDescent="0.2">
      <c r="A2280" s="38" t="s">
        <v>7</v>
      </c>
      <c r="B2280" s="38" t="s">
        <v>9256</v>
      </c>
      <c r="C2280" s="43" t="s">
        <v>9257</v>
      </c>
      <c r="E2280" s="44">
        <v>22</v>
      </c>
      <c r="F2280" s="45">
        <v>63748</v>
      </c>
      <c r="G2280" s="44">
        <v>29</v>
      </c>
      <c r="H2280" s="45">
        <v>86958</v>
      </c>
      <c r="I2280" s="45">
        <v>2897.6363636363635</v>
      </c>
      <c r="J2280" s="45">
        <v>2998.5517241379312</v>
      </c>
      <c r="K2280" s="46">
        <v>3.4826785640874824E-2</v>
      </c>
    </row>
    <row r="2281" spans="1:11" x14ac:dyDescent="0.2">
      <c r="A2281" s="38" t="s">
        <v>7</v>
      </c>
      <c r="B2281" s="38" t="s">
        <v>9261</v>
      </c>
      <c r="C2281" s="43" t="s">
        <v>2789</v>
      </c>
      <c r="E2281" s="44">
        <v>1455</v>
      </c>
      <c r="F2281" s="45">
        <v>4254225</v>
      </c>
      <c r="G2281" s="44">
        <v>1787</v>
      </c>
      <c r="H2281" s="45">
        <v>4734177</v>
      </c>
      <c r="I2281" s="45">
        <v>2923.8659793814431</v>
      </c>
      <c r="J2281" s="45">
        <v>2649.2316731952992</v>
      </c>
      <c r="K2281" s="46">
        <v>-9.3928486504789813E-2</v>
      </c>
    </row>
    <row r="2282" spans="1:11" x14ac:dyDescent="0.2">
      <c r="A2282" s="38" t="s">
        <v>7</v>
      </c>
      <c r="B2282" s="38" t="s">
        <v>9263</v>
      </c>
      <c r="C2282" s="43" t="s">
        <v>9264</v>
      </c>
      <c r="E2282" s="44">
        <v>1579</v>
      </c>
      <c r="F2282" s="45">
        <v>1267039</v>
      </c>
      <c r="G2282" s="44">
        <v>1958</v>
      </c>
      <c r="H2282" s="45">
        <v>1424278</v>
      </c>
      <c r="I2282" s="45">
        <v>802.43128562381253</v>
      </c>
      <c r="J2282" s="45">
        <v>727.414708886619</v>
      </c>
      <c r="K2282" s="46">
        <v>-9.3486605122674662E-2</v>
      </c>
    </row>
    <row r="2283" spans="1:11" x14ac:dyDescent="0.2">
      <c r="A2283" s="38" t="s">
        <v>7</v>
      </c>
      <c r="B2283" s="38" t="s">
        <v>9266</v>
      </c>
      <c r="C2283" s="43" t="s">
        <v>2672</v>
      </c>
      <c r="E2283" s="44">
        <v>4</v>
      </c>
      <c r="F2283" s="45">
        <v>12588</v>
      </c>
      <c r="G2283" s="44">
        <v>6</v>
      </c>
      <c r="H2283" s="45">
        <v>17326</v>
      </c>
      <c r="I2283" s="45">
        <v>3147</v>
      </c>
      <c r="J2283" s="45">
        <v>2887.6666666666665</v>
      </c>
      <c r="K2283" s="46">
        <v>-8.2406524732549571E-2</v>
      </c>
    </row>
    <row r="2284" spans="1:11" x14ac:dyDescent="0.2">
      <c r="A2284" s="38" t="s">
        <v>7</v>
      </c>
      <c r="B2284" s="38" t="s">
        <v>9267</v>
      </c>
      <c r="C2284" s="43" t="s">
        <v>9268</v>
      </c>
      <c r="E2284" s="44">
        <v>1</v>
      </c>
      <c r="F2284" s="45">
        <v>748</v>
      </c>
      <c r="G2284" s="44">
        <v>13</v>
      </c>
      <c r="H2284" s="45">
        <v>7491</v>
      </c>
      <c r="I2284" s="45">
        <v>748</v>
      </c>
      <c r="J2284" s="45">
        <v>576.23076923076928</v>
      </c>
      <c r="K2284" s="46">
        <v>-0.22963800904977369</v>
      </c>
    </row>
    <row r="2285" spans="1:11" x14ac:dyDescent="0.2">
      <c r="A2285" s="38" t="s">
        <v>7</v>
      </c>
      <c r="B2285" s="38" t="s">
        <v>9270</v>
      </c>
      <c r="C2285" s="43" t="s">
        <v>9271</v>
      </c>
      <c r="E2285" s="44">
        <v>8</v>
      </c>
      <c r="F2285" s="45">
        <v>85030</v>
      </c>
      <c r="G2285" s="44">
        <v>11</v>
      </c>
      <c r="H2285" s="45">
        <v>112958</v>
      </c>
      <c r="I2285" s="45">
        <v>10628.75</v>
      </c>
      <c r="J2285" s="45">
        <v>10268.90909090909</v>
      </c>
      <c r="K2285" s="46">
        <v>-3.3855430703602016E-2</v>
      </c>
    </row>
    <row r="2286" spans="1:11" x14ac:dyDescent="0.2">
      <c r="A2286" s="38" t="s">
        <v>7</v>
      </c>
      <c r="B2286" s="38" t="s">
        <v>9273</v>
      </c>
      <c r="C2286" s="43" t="s">
        <v>9274</v>
      </c>
      <c r="G2286" s="44">
        <v>7</v>
      </c>
      <c r="H2286" s="45">
        <v>19502</v>
      </c>
      <c r="J2286" s="45">
        <v>2786</v>
      </c>
    </row>
    <row r="2287" spans="1:11" x14ac:dyDescent="0.2">
      <c r="A2287" s="38" t="s">
        <v>7</v>
      </c>
      <c r="B2287" s="38" t="s">
        <v>9279</v>
      </c>
      <c r="C2287" s="43" t="s">
        <v>4511</v>
      </c>
      <c r="G2287" s="44">
        <v>1</v>
      </c>
      <c r="H2287" s="45">
        <v>1522</v>
      </c>
      <c r="J2287" s="45">
        <v>1522</v>
      </c>
    </row>
    <row r="2288" spans="1:11" x14ac:dyDescent="0.2">
      <c r="A2288" s="38" t="s">
        <v>7</v>
      </c>
      <c r="B2288" s="38" t="s">
        <v>9284</v>
      </c>
      <c r="C2288" s="43" t="s">
        <v>9285</v>
      </c>
      <c r="E2288" s="44">
        <v>605</v>
      </c>
      <c r="F2288" s="45">
        <v>895724</v>
      </c>
      <c r="G2288" s="44">
        <v>489</v>
      </c>
      <c r="H2288" s="45">
        <v>660106</v>
      </c>
      <c r="I2288" s="45">
        <v>1480.5355371900826</v>
      </c>
      <c r="J2288" s="45">
        <v>1349.9100204498977</v>
      </c>
      <c r="K2288" s="46">
        <v>-8.8228558828179024E-2</v>
      </c>
    </row>
    <row r="2289" spans="1:11" x14ac:dyDescent="0.2">
      <c r="A2289" s="38" t="s">
        <v>7</v>
      </c>
      <c r="B2289" s="38" t="s">
        <v>9308</v>
      </c>
      <c r="C2289" s="43" t="s">
        <v>9309</v>
      </c>
      <c r="D2289" s="38" t="s">
        <v>12958</v>
      </c>
      <c r="G2289" s="44">
        <v>8</v>
      </c>
      <c r="H2289" s="45">
        <v>5010</v>
      </c>
      <c r="J2289" s="45">
        <v>626.25</v>
      </c>
    </row>
    <row r="2290" spans="1:11" x14ac:dyDescent="0.2">
      <c r="A2290" s="38" t="s">
        <v>7</v>
      </c>
      <c r="B2290" s="38" t="s">
        <v>9314</v>
      </c>
      <c r="C2290" s="43" t="s">
        <v>9315</v>
      </c>
      <c r="D2290" s="38" t="s">
        <v>12959</v>
      </c>
      <c r="G2290" s="44">
        <v>4</v>
      </c>
      <c r="H2290" s="45">
        <v>3936</v>
      </c>
      <c r="J2290" s="45">
        <v>984</v>
      </c>
    </row>
    <row r="2291" spans="1:11" x14ac:dyDescent="0.2">
      <c r="A2291" s="38" t="s">
        <v>7</v>
      </c>
      <c r="B2291" s="38" t="s">
        <v>9317</v>
      </c>
      <c r="C2291" s="43" t="s">
        <v>9318</v>
      </c>
      <c r="D2291" s="38" t="s">
        <v>12960</v>
      </c>
      <c r="E2291" s="44">
        <v>35</v>
      </c>
      <c r="F2291" s="45">
        <v>51193</v>
      </c>
      <c r="G2291" s="44">
        <v>70</v>
      </c>
      <c r="H2291" s="45">
        <v>87536</v>
      </c>
      <c r="I2291" s="45">
        <v>1462.6571428571428</v>
      </c>
      <c r="J2291" s="45">
        <v>1250.5142857142857</v>
      </c>
      <c r="K2291" s="46">
        <v>-0.14503936085011621</v>
      </c>
    </row>
    <row r="2292" spans="1:11" x14ac:dyDescent="0.2">
      <c r="A2292" s="38" t="s">
        <v>7</v>
      </c>
      <c r="B2292" s="38" t="s">
        <v>9320</v>
      </c>
      <c r="C2292" s="43" t="s">
        <v>9321</v>
      </c>
      <c r="D2292" s="38" t="s">
        <v>12961</v>
      </c>
      <c r="E2292" s="44">
        <v>59</v>
      </c>
      <c r="F2292" s="45">
        <v>178188</v>
      </c>
      <c r="G2292" s="44">
        <v>50</v>
      </c>
      <c r="H2292" s="45">
        <v>134130</v>
      </c>
      <c r="I2292" s="45">
        <v>3020.1355932203392</v>
      </c>
      <c r="J2292" s="45">
        <v>2682.6</v>
      </c>
      <c r="K2292" s="46">
        <v>-0.1117617347969561</v>
      </c>
    </row>
    <row r="2293" spans="1:11" x14ac:dyDescent="0.2">
      <c r="A2293" s="38" t="s">
        <v>7</v>
      </c>
      <c r="B2293" s="38" t="s">
        <v>9329</v>
      </c>
      <c r="C2293" s="43" t="s">
        <v>9330</v>
      </c>
      <c r="D2293" s="38" t="s">
        <v>12962</v>
      </c>
      <c r="E2293" s="44">
        <v>156</v>
      </c>
      <c r="F2293" s="45">
        <v>123108</v>
      </c>
      <c r="G2293" s="44">
        <v>32</v>
      </c>
      <c r="H2293" s="45">
        <v>22851</v>
      </c>
      <c r="I2293" s="45">
        <v>789.15384615384619</v>
      </c>
      <c r="J2293" s="45">
        <v>714.09375</v>
      </c>
      <c r="K2293" s="46">
        <v>-9.5114655424505354E-2</v>
      </c>
    </row>
    <row r="2294" spans="1:11" x14ac:dyDescent="0.2">
      <c r="A2294" s="38" t="s">
        <v>7</v>
      </c>
      <c r="B2294" s="38" t="s">
        <v>9332</v>
      </c>
      <c r="C2294" s="43" t="s">
        <v>9333</v>
      </c>
      <c r="D2294" s="38" t="s">
        <v>12963</v>
      </c>
      <c r="E2294" s="44">
        <v>25</v>
      </c>
      <c r="F2294" s="45">
        <v>19890</v>
      </c>
      <c r="G2294" s="44">
        <v>44</v>
      </c>
      <c r="H2294" s="45">
        <v>31600</v>
      </c>
      <c r="I2294" s="45">
        <v>795.6</v>
      </c>
      <c r="J2294" s="45">
        <v>718.18181818181813</v>
      </c>
      <c r="K2294" s="46">
        <v>-9.7307920837332695E-2</v>
      </c>
    </row>
    <row r="2295" spans="1:11" x14ac:dyDescent="0.2">
      <c r="A2295" s="38" t="s">
        <v>7</v>
      </c>
      <c r="B2295" s="38" t="s">
        <v>9341</v>
      </c>
      <c r="C2295" s="43" t="s">
        <v>9342</v>
      </c>
      <c r="G2295" s="44">
        <v>2</v>
      </c>
      <c r="H2295" s="45">
        <v>2059.08</v>
      </c>
      <c r="J2295" s="45">
        <v>1029.54</v>
      </c>
    </row>
    <row r="2296" spans="1:11" x14ac:dyDescent="0.2">
      <c r="A2296" s="38" t="s">
        <v>7</v>
      </c>
      <c r="B2296" s="38" t="s">
        <v>9347</v>
      </c>
      <c r="C2296" s="43" t="s">
        <v>9348</v>
      </c>
      <c r="D2296" s="38" t="s">
        <v>12066</v>
      </c>
      <c r="E2296" s="44">
        <v>210</v>
      </c>
      <c r="F2296" s="45">
        <v>209286</v>
      </c>
      <c r="G2296" s="44">
        <v>209</v>
      </c>
      <c r="H2296" s="45">
        <v>180763</v>
      </c>
      <c r="I2296" s="45">
        <v>996.6</v>
      </c>
      <c r="J2296" s="45">
        <v>864.89473684210532</v>
      </c>
      <c r="K2296" s="46">
        <v>-0.13215458875967762</v>
      </c>
    </row>
    <row r="2297" spans="1:11" x14ac:dyDescent="0.2">
      <c r="A2297" s="38" t="s">
        <v>7</v>
      </c>
      <c r="B2297" s="38" t="s">
        <v>9350</v>
      </c>
      <c r="C2297" s="43" t="s">
        <v>9351</v>
      </c>
      <c r="D2297" s="38" t="s">
        <v>12964</v>
      </c>
      <c r="E2297" s="44">
        <v>981</v>
      </c>
      <c r="F2297" s="45">
        <v>1559407</v>
      </c>
      <c r="G2297" s="44">
        <v>742</v>
      </c>
      <c r="H2297" s="45">
        <v>1051665</v>
      </c>
      <c r="I2297" s="45">
        <v>1589.6095820591233</v>
      </c>
      <c r="J2297" s="45">
        <v>1417.3382749326145</v>
      </c>
      <c r="K2297" s="46">
        <v>-0.10837334466954759</v>
      </c>
    </row>
    <row r="2298" spans="1:11" x14ac:dyDescent="0.2">
      <c r="A2298" s="38" t="s">
        <v>7</v>
      </c>
      <c r="B2298" s="38" t="s">
        <v>9353</v>
      </c>
      <c r="C2298" s="43" t="s">
        <v>9354</v>
      </c>
      <c r="D2298" s="38" t="s">
        <v>12965</v>
      </c>
      <c r="E2298" s="44">
        <v>321</v>
      </c>
      <c r="F2298" s="45">
        <v>579627</v>
      </c>
      <c r="G2298" s="44">
        <v>180</v>
      </c>
      <c r="H2298" s="45">
        <v>282571</v>
      </c>
      <c r="I2298" s="45">
        <v>1805.6915887850466</v>
      </c>
      <c r="J2298" s="45">
        <v>1569.838888888889</v>
      </c>
      <c r="K2298" s="46">
        <v>-0.13061626988850866</v>
      </c>
    </row>
    <row r="2299" spans="1:11" x14ac:dyDescent="0.2">
      <c r="A2299" s="38" t="s">
        <v>7</v>
      </c>
      <c r="B2299" s="38" t="s">
        <v>9356</v>
      </c>
      <c r="C2299" s="43" t="s">
        <v>9357</v>
      </c>
      <c r="D2299" s="38" t="s">
        <v>12966</v>
      </c>
      <c r="E2299" s="44">
        <v>863</v>
      </c>
      <c r="F2299" s="45">
        <v>766729</v>
      </c>
      <c r="G2299" s="44">
        <v>630</v>
      </c>
      <c r="H2299" s="45">
        <v>516442</v>
      </c>
      <c r="I2299" s="45">
        <v>888.44611819235229</v>
      </c>
      <c r="J2299" s="45">
        <v>819.74920634920636</v>
      </c>
      <c r="K2299" s="46">
        <v>-7.732254149854112E-2</v>
      </c>
    </row>
    <row r="2300" spans="1:11" x14ac:dyDescent="0.2">
      <c r="A2300" s="38" t="s">
        <v>7</v>
      </c>
      <c r="B2300" s="38" t="s">
        <v>9359</v>
      </c>
      <c r="C2300" s="43" t="s">
        <v>9360</v>
      </c>
      <c r="D2300" s="38" t="s">
        <v>12967</v>
      </c>
      <c r="E2300" s="44">
        <v>855</v>
      </c>
      <c r="F2300" s="45">
        <v>868260</v>
      </c>
      <c r="G2300" s="44">
        <v>754</v>
      </c>
      <c r="H2300" s="45">
        <v>682776</v>
      </c>
      <c r="I2300" s="45">
        <v>1015.5087719298245</v>
      </c>
      <c r="J2300" s="45">
        <v>905.53846153846155</v>
      </c>
      <c r="K2300" s="46">
        <v>-0.10829085226155226</v>
      </c>
    </row>
    <row r="2301" spans="1:11" x14ac:dyDescent="0.2">
      <c r="A2301" s="38" t="s">
        <v>7</v>
      </c>
      <c r="B2301" s="38" t="s">
        <v>9362</v>
      </c>
      <c r="C2301" s="43" t="s">
        <v>9363</v>
      </c>
      <c r="D2301" s="38" t="s">
        <v>12968</v>
      </c>
      <c r="G2301" s="44">
        <v>28</v>
      </c>
      <c r="H2301" s="45">
        <v>20692</v>
      </c>
      <c r="J2301" s="45">
        <v>739</v>
      </c>
    </row>
    <row r="2302" spans="1:11" x14ac:dyDescent="0.2">
      <c r="A2302" s="38" t="s">
        <v>7</v>
      </c>
      <c r="B2302" s="38" t="s">
        <v>9364</v>
      </c>
      <c r="C2302" s="43" t="s">
        <v>2490</v>
      </c>
      <c r="E2302" s="44">
        <v>1</v>
      </c>
      <c r="F2302" s="45">
        <v>1297</v>
      </c>
      <c r="G2302" s="44">
        <v>0</v>
      </c>
      <c r="H2302" s="45">
        <v>0</v>
      </c>
      <c r="I2302" s="45">
        <v>1297</v>
      </c>
    </row>
    <row r="2303" spans="1:11" x14ac:dyDescent="0.2">
      <c r="A2303" s="38" t="s">
        <v>7</v>
      </c>
      <c r="B2303" s="38" t="s">
        <v>9366</v>
      </c>
      <c r="C2303" s="43" t="s">
        <v>9367</v>
      </c>
      <c r="D2303" s="38" t="s">
        <v>12969</v>
      </c>
      <c r="G2303" s="44">
        <v>1</v>
      </c>
      <c r="H2303" s="45">
        <v>210.34</v>
      </c>
      <c r="J2303" s="45">
        <v>210.34</v>
      </c>
    </row>
    <row r="2304" spans="1:11" x14ac:dyDescent="0.2">
      <c r="A2304" s="38" t="s">
        <v>7</v>
      </c>
      <c r="B2304" s="38" t="s">
        <v>9382</v>
      </c>
      <c r="C2304" s="43" t="s">
        <v>9383</v>
      </c>
      <c r="D2304" s="38" t="s">
        <v>12970</v>
      </c>
      <c r="G2304" s="44">
        <v>1</v>
      </c>
      <c r="H2304" s="45">
        <v>26</v>
      </c>
      <c r="J2304" s="45">
        <v>26</v>
      </c>
    </row>
    <row r="2305" spans="1:11" x14ac:dyDescent="0.2">
      <c r="A2305" s="38" t="s">
        <v>7</v>
      </c>
      <c r="B2305" s="38" t="s">
        <v>9385</v>
      </c>
      <c r="C2305" s="43" t="s">
        <v>1896</v>
      </c>
      <c r="D2305" s="38" t="s">
        <v>12260</v>
      </c>
      <c r="G2305" s="44">
        <v>1</v>
      </c>
      <c r="H2305" s="45">
        <v>35</v>
      </c>
      <c r="J2305" s="45">
        <v>35</v>
      </c>
    </row>
    <row r="2306" spans="1:11" x14ac:dyDescent="0.2">
      <c r="A2306" s="38" t="s">
        <v>7</v>
      </c>
      <c r="B2306" s="38" t="s">
        <v>9387</v>
      </c>
      <c r="C2306" s="43" t="s">
        <v>9388</v>
      </c>
      <c r="D2306" s="38" t="s">
        <v>12971</v>
      </c>
      <c r="G2306" s="44">
        <v>5</v>
      </c>
      <c r="H2306" s="45">
        <v>175</v>
      </c>
      <c r="J2306" s="45">
        <v>35</v>
      </c>
    </row>
    <row r="2307" spans="1:11" x14ac:dyDescent="0.2">
      <c r="A2307" s="38" t="s">
        <v>7</v>
      </c>
      <c r="B2307" s="38" t="s">
        <v>9389</v>
      </c>
      <c r="C2307" s="43" t="s">
        <v>1942</v>
      </c>
      <c r="D2307" s="38" t="s">
        <v>12275</v>
      </c>
      <c r="G2307" s="44">
        <v>7</v>
      </c>
      <c r="H2307" s="45">
        <v>700</v>
      </c>
      <c r="J2307" s="45">
        <v>100</v>
      </c>
    </row>
    <row r="2308" spans="1:11" x14ac:dyDescent="0.2">
      <c r="A2308" s="38" t="s">
        <v>7</v>
      </c>
      <c r="B2308" s="38" t="s">
        <v>9390</v>
      </c>
      <c r="C2308" s="43" t="s">
        <v>9391</v>
      </c>
      <c r="D2308" s="38" t="s">
        <v>12972</v>
      </c>
      <c r="E2308" s="44">
        <v>7</v>
      </c>
      <c r="F2308" s="45">
        <v>140</v>
      </c>
      <c r="G2308" s="44">
        <v>22</v>
      </c>
      <c r="H2308" s="45">
        <v>440</v>
      </c>
      <c r="I2308" s="45">
        <v>20</v>
      </c>
      <c r="J2308" s="45">
        <v>20</v>
      </c>
      <c r="K2308" s="46">
        <v>0</v>
      </c>
    </row>
    <row r="2309" spans="1:11" x14ac:dyDescent="0.2">
      <c r="A2309" s="38" t="s">
        <v>7</v>
      </c>
      <c r="B2309" s="38" t="s">
        <v>9392</v>
      </c>
      <c r="C2309" s="43" t="s">
        <v>9393</v>
      </c>
      <c r="D2309" s="38" t="s">
        <v>12973</v>
      </c>
      <c r="G2309" s="44">
        <v>11</v>
      </c>
      <c r="H2309" s="45">
        <v>330</v>
      </c>
      <c r="J2309" s="45">
        <v>30</v>
      </c>
    </row>
    <row r="2310" spans="1:11" x14ac:dyDescent="0.2">
      <c r="A2310" s="38" t="s">
        <v>7</v>
      </c>
      <c r="B2310" s="38" t="s">
        <v>9396</v>
      </c>
      <c r="C2310" s="43" t="s">
        <v>9397</v>
      </c>
      <c r="D2310" s="38" t="s">
        <v>12974</v>
      </c>
      <c r="G2310" s="44">
        <v>6</v>
      </c>
      <c r="H2310" s="45">
        <v>240</v>
      </c>
      <c r="J2310" s="45">
        <v>40</v>
      </c>
    </row>
    <row r="2311" spans="1:11" x14ac:dyDescent="0.2">
      <c r="A2311" s="38" t="s">
        <v>7</v>
      </c>
      <c r="B2311" s="38" t="s">
        <v>9399</v>
      </c>
      <c r="C2311" s="43" t="s">
        <v>9400</v>
      </c>
      <c r="D2311" s="38" t="s">
        <v>12975</v>
      </c>
      <c r="E2311" s="44">
        <v>23</v>
      </c>
      <c r="F2311" s="45">
        <v>736</v>
      </c>
      <c r="G2311" s="44">
        <v>22</v>
      </c>
      <c r="H2311" s="45">
        <v>704</v>
      </c>
      <c r="I2311" s="45">
        <v>32</v>
      </c>
      <c r="J2311" s="45">
        <v>32</v>
      </c>
      <c r="K2311" s="46">
        <v>0</v>
      </c>
    </row>
    <row r="2312" spans="1:11" x14ac:dyDescent="0.2">
      <c r="A2312" s="38" t="s">
        <v>7</v>
      </c>
      <c r="B2312" s="38" t="s">
        <v>9402</v>
      </c>
      <c r="C2312" s="43" t="s">
        <v>9403</v>
      </c>
      <c r="D2312" s="38" t="s">
        <v>12976</v>
      </c>
      <c r="G2312" s="44">
        <v>2</v>
      </c>
      <c r="H2312" s="45">
        <v>81.599999999999994</v>
      </c>
      <c r="J2312" s="45">
        <v>40.799999999999997</v>
      </c>
    </row>
    <row r="2313" spans="1:11" x14ac:dyDescent="0.2">
      <c r="A2313" s="38" t="s">
        <v>7</v>
      </c>
      <c r="B2313" s="38" t="s">
        <v>9409</v>
      </c>
      <c r="C2313" s="43" t="s">
        <v>2030</v>
      </c>
      <c r="D2313" s="38" t="s">
        <v>12305</v>
      </c>
      <c r="G2313" s="44">
        <v>1</v>
      </c>
      <c r="H2313" s="45">
        <v>20</v>
      </c>
      <c r="J2313" s="45">
        <v>20</v>
      </c>
    </row>
    <row r="2314" spans="1:11" x14ac:dyDescent="0.2">
      <c r="A2314" s="38" t="s">
        <v>7</v>
      </c>
      <c r="B2314" s="38" t="s">
        <v>9418</v>
      </c>
      <c r="C2314" s="43" t="s">
        <v>2082</v>
      </c>
      <c r="D2314" s="38" t="s">
        <v>12320</v>
      </c>
      <c r="E2314" s="44">
        <v>2</v>
      </c>
      <c r="F2314" s="45">
        <v>40.72</v>
      </c>
      <c r="G2314" s="44">
        <v>3</v>
      </c>
      <c r="H2314" s="45">
        <v>61.08</v>
      </c>
      <c r="I2314" s="45">
        <v>20.36</v>
      </c>
      <c r="J2314" s="45">
        <v>20.36</v>
      </c>
      <c r="K2314" s="46">
        <v>0</v>
      </c>
    </row>
    <row r="2315" spans="1:11" x14ac:dyDescent="0.2">
      <c r="A2315" s="38" t="s">
        <v>7</v>
      </c>
      <c r="B2315" s="38" t="s">
        <v>9419</v>
      </c>
      <c r="C2315" s="43" t="s">
        <v>2080</v>
      </c>
      <c r="D2315" s="38" t="s">
        <v>12319</v>
      </c>
      <c r="G2315" s="44">
        <v>3</v>
      </c>
      <c r="H2315" s="45">
        <v>84</v>
      </c>
      <c r="J2315" s="45">
        <v>28</v>
      </c>
    </row>
    <row r="2316" spans="1:11" x14ac:dyDescent="0.2">
      <c r="A2316" s="38" t="s">
        <v>7</v>
      </c>
      <c r="B2316" s="38" t="s">
        <v>9423</v>
      </c>
      <c r="C2316" s="43" t="s">
        <v>9424</v>
      </c>
      <c r="D2316" s="38" t="s">
        <v>12977</v>
      </c>
      <c r="G2316" s="44">
        <v>1</v>
      </c>
      <c r="H2316" s="45">
        <v>28</v>
      </c>
      <c r="J2316" s="45">
        <v>28</v>
      </c>
    </row>
    <row r="2317" spans="1:11" x14ac:dyDescent="0.2">
      <c r="A2317" s="38" t="s">
        <v>7</v>
      </c>
      <c r="B2317" s="38" t="s">
        <v>9432</v>
      </c>
      <c r="C2317" s="43" t="s">
        <v>2282</v>
      </c>
      <c r="D2317" s="38" t="s">
        <v>12089</v>
      </c>
      <c r="G2317" s="44">
        <v>36</v>
      </c>
      <c r="H2317" s="45">
        <v>1620</v>
      </c>
      <c r="J2317" s="45">
        <v>45</v>
      </c>
    </row>
    <row r="2318" spans="1:11" x14ac:dyDescent="0.2">
      <c r="A2318" s="38" t="s">
        <v>7</v>
      </c>
      <c r="B2318" s="38" t="s">
        <v>9433</v>
      </c>
      <c r="C2318" s="43" t="s">
        <v>9434</v>
      </c>
      <c r="D2318" s="38" t="s">
        <v>12978</v>
      </c>
      <c r="G2318" s="44">
        <v>3</v>
      </c>
      <c r="H2318" s="45">
        <v>43.53</v>
      </c>
      <c r="J2318" s="45">
        <v>14.51</v>
      </c>
    </row>
    <row r="2319" spans="1:11" x14ac:dyDescent="0.2">
      <c r="A2319" s="38" t="s">
        <v>7</v>
      </c>
      <c r="B2319" s="38" t="s">
        <v>9438</v>
      </c>
      <c r="C2319" s="43" t="s">
        <v>9439</v>
      </c>
      <c r="D2319" s="38" t="s">
        <v>12979</v>
      </c>
      <c r="E2319" s="44">
        <v>9</v>
      </c>
      <c r="F2319" s="45">
        <v>675</v>
      </c>
      <c r="G2319" s="44">
        <v>11</v>
      </c>
      <c r="H2319" s="45">
        <v>825</v>
      </c>
      <c r="I2319" s="45">
        <v>75</v>
      </c>
      <c r="J2319" s="45">
        <v>75</v>
      </c>
      <c r="K2319" s="46">
        <v>0</v>
      </c>
    </row>
    <row r="2320" spans="1:11" x14ac:dyDescent="0.2">
      <c r="A2320" s="38" t="s">
        <v>7</v>
      </c>
      <c r="B2320" s="38" t="s">
        <v>9441</v>
      </c>
      <c r="C2320" s="43" t="s">
        <v>2355</v>
      </c>
      <c r="D2320" s="38" t="s">
        <v>12359</v>
      </c>
      <c r="E2320" s="44">
        <v>27</v>
      </c>
      <c r="F2320" s="45">
        <v>486</v>
      </c>
      <c r="G2320" s="44">
        <v>31</v>
      </c>
      <c r="H2320" s="45">
        <v>558</v>
      </c>
      <c r="I2320" s="45">
        <v>18</v>
      </c>
      <c r="J2320" s="45">
        <v>18</v>
      </c>
      <c r="K2320" s="46">
        <v>0</v>
      </c>
    </row>
    <row r="2321" spans="1:11" x14ac:dyDescent="0.2">
      <c r="A2321" s="38" t="s">
        <v>7</v>
      </c>
      <c r="B2321" s="38" t="s">
        <v>9442</v>
      </c>
      <c r="C2321" s="43" t="s">
        <v>9443</v>
      </c>
      <c r="D2321" s="38" t="s">
        <v>12980</v>
      </c>
      <c r="E2321" s="44">
        <v>9</v>
      </c>
      <c r="F2321" s="45">
        <v>1440</v>
      </c>
      <c r="G2321" s="44">
        <v>11</v>
      </c>
      <c r="H2321" s="45">
        <v>1760</v>
      </c>
      <c r="I2321" s="45">
        <v>160</v>
      </c>
      <c r="J2321" s="45">
        <v>160</v>
      </c>
      <c r="K2321" s="46">
        <v>0</v>
      </c>
    </row>
    <row r="2322" spans="1:11" x14ac:dyDescent="0.2">
      <c r="A2322" s="38" t="s">
        <v>7</v>
      </c>
      <c r="B2322" s="38" t="s">
        <v>9445</v>
      </c>
      <c r="C2322" s="43" t="s">
        <v>9446</v>
      </c>
      <c r="D2322" s="38" t="s">
        <v>12981</v>
      </c>
      <c r="E2322" s="44">
        <v>64</v>
      </c>
      <c r="F2322" s="45">
        <v>16640</v>
      </c>
      <c r="G2322" s="44">
        <v>96</v>
      </c>
      <c r="H2322" s="45">
        <v>24960</v>
      </c>
      <c r="I2322" s="45">
        <v>260</v>
      </c>
      <c r="J2322" s="45">
        <v>260</v>
      </c>
      <c r="K2322" s="46">
        <v>0</v>
      </c>
    </row>
    <row r="2323" spans="1:11" x14ac:dyDescent="0.2">
      <c r="A2323" s="38" t="s">
        <v>7</v>
      </c>
      <c r="B2323" s="38" t="s">
        <v>9448</v>
      </c>
      <c r="C2323" s="43" t="s">
        <v>9449</v>
      </c>
      <c r="D2323" s="38" t="s">
        <v>12982</v>
      </c>
      <c r="E2323" s="44">
        <v>9</v>
      </c>
      <c r="F2323" s="45">
        <v>6750</v>
      </c>
      <c r="G2323" s="44">
        <v>11</v>
      </c>
      <c r="H2323" s="45">
        <v>8250</v>
      </c>
      <c r="I2323" s="45">
        <v>750</v>
      </c>
      <c r="J2323" s="45">
        <v>750</v>
      </c>
      <c r="K2323" s="46">
        <v>0</v>
      </c>
    </row>
    <row r="2324" spans="1:11" x14ac:dyDescent="0.2">
      <c r="A2324" s="38" t="s">
        <v>7</v>
      </c>
      <c r="B2324" s="38" t="s">
        <v>9451</v>
      </c>
      <c r="C2324" s="43" t="s">
        <v>9452</v>
      </c>
      <c r="D2324" s="38" t="s">
        <v>12345</v>
      </c>
      <c r="E2324" s="44">
        <v>9</v>
      </c>
      <c r="F2324" s="45">
        <v>2700</v>
      </c>
      <c r="G2324" s="44">
        <v>12</v>
      </c>
      <c r="H2324" s="45">
        <v>3600</v>
      </c>
      <c r="I2324" s="45">
        <v>300</v>
      </c>
      <c r="J2324" s="45">
        <v>300</v>
      </c>
      <c r="K2324" s="46">
        <v>0</v>
      </c>
    </row>
    <row r="2325" spans="1:11" x14ac:dyDescent="0.2">
      <c r="A2325" s="38" t="s">
        <v>7</v>
      </c>
      <c r="B2325" s="38" t="s">
        <v>9462</v>
      </c>
      <c r="C2325" s="43" t="s">
        <v>9369</v>
      </c>
      <c r="D2325" s="38" t="s">
        <v>12983</v>
      </c>
      <c r="E2325" s="44">
        <v>4</v>
      </c>
      <c r="F2325" s="45">
        <v>130.32</v>
      </c>
      <c r="G2325" s="44">
        <v>4</v>
      </c>
      <c r="H2325" s="45">
        <v>130.32</v>
      </c>
      <c r="I2325" s="45">
        <v>32.58</v>
      </c>
      <c r="J2325" s="45">
        <v>32.58</v>
      </c>
      <c r="K2325" s="46">
        <v>0</v>
      </c>
    </row>
    <row r="2326" spans="1:11" x14ac:dyDescent="0.2">
      <c r="A2326" s="38" t="s">
        <v>7</v>
      </c>
      <c r="B2326" s="38" t="s">
        <v>9463</v>
      </c>
      <c r="C2326" s="43" t="s">
        <v>9379</v>
      </c>
      <c r="D2326" s="38" t="s">
        <v>12984</v>
      </c>
      <c r="E2326" s="44">
        <v>2</v>
      </c>
      <c r="F2326" s="45">
        <v>21.18</v>
      </c>
      <c r="G2326" s="44">
        <v>12</v>
      </c>
      <c r="H2326" s="45">
        <v>127.08</v>
      </c>
      <c r="I2326" s="45">
        <v>10.59</v>
      </c>
      <c r="J2326" s="45">
        <v>10.59</v>
      </c>
      <c r="K2326" s="46">
        <v>0</v>
      </c>
    </row>
    <row r="2327" spans="1:11" x14ac:dyDescent="0.2">
      <c r="A2327" s="38" t="s">
        <v>7</v>
      </c>
      <c r="B2327" s="38" t="s">
        <v>9470</v>
      </c>
      <c r="C2327" s="43" t="s">
        <v>1852</v>
      </c>
      <c r="D2327" s="38" t="s">
        <v>12246</v>
      </c>
      <c r="E2327" s="44">
        <v>201</v>
      </c>
      <c r="F2327" s="45">
        <v>10313.31</v>
      </c>
      <c r="G2327" s="44">
        <v>13</v>
      </c>
      <c r="H2327" s="45">
        <v>667.03</v>
      </c>
      <c r="I2327" s="45">
        <v>51.309999999999995</v>
      </c>
      <c r="J2327" s="45">
        <v>51.309999999999995</v>
      </c>
      <c r="K2327" s="46">
        <v>0</v>
      </c>
    </row>
    <row r="2328" spans="1:11" x14ac:dyDescent="0.2">
      <c r="A2328" s="38" t="s">
        <v>7</v>
      </c>
      <c r="B2328" s="38" t="s">
        <v>9476</v>
      </c>
      <c r="C2328" s="43" t="s">
        <v>9372</v>
      </c>
      <c r="D2328" s="38" t="s">
        <v>12985</v>
      </c>
      <c r="E2328" s="44">
        <v>134</v>
      </c>
      <c r="F2328" s="45">
        <v>2109.16</v>
      </c>
      <c r="G2328" s="44">
        <v>134</v>
      </c>
      <c r="H2328" s="45">
        <v>2109.16</v>
      </c>
      <c r="I2328" s="45">
        <v>15.739999999999998</v>
      </c>
      <c r="J2328" s="45">
        <v>15.739999999999998</v>
      </c>
      <c r="K2328" s="46">
        <v>0</v>
      </c>
    </row>
    <row r="2329" spans="1:11" x14ac:dyDescent="0.2">
      <c r="A2329" s="38" t="s">
        <v>7</v>
      </c>
      <c r="B2329" s="38" t="s">
        <v>9477</v>
      </c>
      <c r="C2329" s="43" t="s">
        <v>9478</v>
      </c>
      <c r="D2329" s="38" t="s">
        <v>12986</v>
      </c>
      <c r="G2329" s="44">
        <v>81</v>
      </c>
      <c r="H2329" s="45">
        <v>819.72</v>
      </c>
      <c r="J2329" s="45">
        <v>10.120000000000001</v>
      </c>
    </row>
    <row r="2330" spans="1:11" x14ac:dyDescent="0.2">
      <c r="A2330" s="38" t="s">
        <v>7</v>
      </c>
      <c r="B2330" s="38" t="s">
        <v>9494</v>
      </c>
      <c r="C2330" s="43" t="s">
        <v>9495</v>
      </c>
      <c r="D2330" s="38" t="s">
        <v>12249</v>
      </c>
      <c r="E2330" s="44">
        <v>1035</v>
      </c>
      <c r="F2330" s="45">
        <v>18112.5</v>
      </c>
      <c r="G2330" s="44">
        <v>1507</v>
      </c>
      <c r="H2330" s="45">
        <v>26372.5</v>
      </c>
      <c r="I2330" s="45">
        <v>17.5</v>
      </c>
      <c r="J2330" s="45">
        <v>17.5</v>
      </c>
      <c r="K2330" s="46">
        <v>0</v>
      </c>
    </row>
    <row r="2331" spans="1:11" x14ac:dyDescent="0.2">
      <c r="A2331" s="38" t="s">
        <v>7</v>
      </c>
      <c r="B2331" s="38" t="s">
        <v>9498</v>
      </c>
      <c r="C2331" s="43" t="s">
        <v>9499</v>
      </c>
      <c r="D2331" s="38" t="s">
        <v>12987</v>
      </c>
      <c r="G2331" s="44">
        <v>10</v>
      </c>
      <c r="H2331" s="45">
        <v>293.8</v>
      </c>
      <c r="J2331" s="45">
        <v>29.380000000000003</v>
      </c>
    </row>
    <row r="2332" spans="1:11" x14ac:dyDescent="0.2">
      <c r="A2332" s="38" t="s">
        <v>7</v>
      </c>
      <c r="B2332" s="38" t="s">
        <v>9500</v>
      </c>
      <c r="C2332" s="43" t="s">
        <v>9501</v>
      </c>
      <c r="D2332" s="38" t="s">
        <v>12988</v>
      </c>
      <c r="G2332" s="44">
        <v>22</v>
      </c>
      <c r="H2332" s="45">
        <v>1694</v>
      </c>
      <c r="J2332" s="45">
        <v>77</v>
      </c>
    </row>
    <row r="2333" spans="1:11" x14ac:dyDescent="0.2">
      <c r="A2333" s="38" t="s">
        <v>7</v>
      </c>
      <c r="B2333" s="38" t="s">
        <v>9504</v>
      </c>
      <c r="C2333" s="43" t="s">
        <v>9505</v>
      </c>
      <c r="D2333" s="38" t="s">
        <v>12989</v>
      </c>
      <c r="E2333" s="44">
        <v>14</v>
      </c>
      <c r="F2333" s="45">
        <v>74.06</v>
      </c>
      <c r="G2333" s="44">
        <v>14</v>
      </c>
      <c r="H2333" s="45">
        <v>74.06</v>
      </c>
      <c r="I2333" s="45">
        <v>5.29</v>
      </c>
      <c r="J2333" s="45">
        <v>5.29</v>
      </c>
      <c r="K2333" s="46">
        <v>0</v>
      </c>
    </row>
    <row r="2334" spans="1:11" x14ac:dyDescent="0.2">
      <c r="A2334" s="38" t="s">
        <v>7</v>
      </c>
      <c r="B2334" s="38" t="s">
        <v>9519</v>
      </c>
      <c r="C2334" s="43" t="s">
        <v>9520</v>
      </c>
      <c r="D2334" s="38" t="s">
        <v>12990</v>
      </c>
      <c r="E2334" s="44">
        <v>89</v>
      </c>
      <c r="F2334" s="45">
        <v>10635.5</v>
      </c>
      <c r="G2334" s="44">
        <v>61</v>
      </c>
      <c r="H2334" s="45">
        <v>7289.5</v>
      </c>
      <c r="I2334" s="45">
        <v>119.5</v>
      </c>
      <c r="J2334" s="45">
        <v>119.5</v>
      </c>
      <c r="K2334" s="46">
        <v>0</v>
      </c>
    </row>
    <row r="2335" spans="1:11" x14ac:dyDescent="0.2">
      <c r="A2335" s="38" t="s">
        <v>7</v>
      </c>
      <c r="B2335" s="38" t="s">
        <v>9529</v>
      </c>
      <c r="C2335" s="43" t="s">
        <v>9530</v>
      </c>
      <c r="D2335" s="38" t="s">
        <v>12991</v>
      </c>
      <c r="E2335" s="44">
        <v>9</v>
      </c>
      <c r="F2335" s="45">
        <v>51.75</v>
      </c>
      <c r="G2335" s="44">
        <v>3</v>
      </c>
      <c r="H2335" s="45">
        <v>17.25</v>
      </c>
      <c r="I2335" s="45">
        <v>5.75</v>
      </c>
      <c r="J2335" s="45">
        <v>5.75</v>
      </c>
      <c r="K2335" s="46">
        <v>0</v>
      </c>
    </row>
    <row r="2336" spans="1:11" x14ac:dyDescent="0.2">
      <c r="A2336" s="38" t="s">
        <v>7</v>
      </c>
      <c r="B2336" s="38" t="s">
        <v>9531</v>
      </c>
      <c r="C2336" s="43" t="s">
        <v>1871</v>
      </c>
      <c r="D2336" s="38" t="s">
        <v>12251</v>
      </c>
      <c r="G2336" s="44">
        <v>2</v>
      </c>
      <c r="H2336" s="45">
        <v>4.5</v>
      </c>
      <c r="J2336" s="45">
        <v>2.25</v>
      </c>
    </row>
    <row r="2337" spans="1:11" x14ac:dyDescent="0.2">
      <c r="A2337" s="38" t="s">
        <v>7</v>
      </c>
      <c r="B2337" s="38" t="s">
        <v>9532</v>
      </c>
      <c r="C2337" s="43" t="s">
        <v>9533</v>
      </c>
      <c r="D2337" s="38" t="s">
        <v>12992</v>
      </c>
      <c r="G2337" s="44">
        <v>1</v>
      </c>
      <c r="H2337" s="45">
        <v>4.4800000000000004</v>
      </c>
      <c r="J2337" s="45">
        <v>4.4800000000000004</v>
      </c>
    </row>
    <row r="2338" spans="1:11" x14ac:dyDescent="0.2">
      <c r="A2338" s="38" t="s">
        <v>7</v>
      </c>
      <c r="B2338" s="38" t="s">
        <v>9535</v>
      </c>
      <c r="C2338" s="43" t="s">
        <v>9536</v>
      </c>
      <c r="D2338" s="38" t="s">
        <v>12993</v>
      </c>
      <c r="E2338" s="44">
        <v>30</v>
      </c>
      <c r="F2338" s="45">
        <v>78</v>
      </c>
      <c r="G2338" s="44">
        <v>68</v>
      </c>
      <c r="H2338" s="45">
        <v>176.8</v>
      </c>
      <c r="I2338" s="45">
        <v>2.6</v>
      </c>
      <c r="J2338" s="45">
        <v>2.6</v>
      </c>
      <c r="K2338" s="46">
        <v>0</v>
      </c>
    </row>
    <row r="2339" spans="1:11" x14ac:dyDescent="0.2">
      <c r="A2339" s="38" t="s">
        <v>7</v>
      </c>
      <c r="B2339" s="38" t="s">
        <v>9538</v>
      </c>
      <c r="C2339" s="43" t="s">
        <v>9539</v>
      </c>
      <c r="D2339" s="38" t="s">
        <v>12992</v>
      </c>
      <c r="E2339" s="44">
        <v>45</v>
      </c>
      <c r="F2339" s="45">
        <v>146.69999999999999</v>
      </c>
      <c r="G2339" s="44">
        <v>33</v>
      </c>
      <c r="H2339" s="45">
        <v>107.58</v>
      </c>
      <c r="I2339" s="45">
        <v>3.26</v>
      </c>
      <c r="J2339" s="45">
        <v>3.26</v>
      </c>
      <c r="K2339" s="46">
        <v>0</v>
      </c>
    </row>
    <row r="2340" spans="1:11" x14ac:dyDescent="0.2">
      <c r="A2340" s="38" t="s">
        <v>7</v>
      </c>
      <c r="B2340" s="38" t="s">
        <v>9540</v>
      </c>
      <c r="C2340" s="43" t="s">
        <v>9541</v>
      </c>
      <c r="D2340" s="38" t="s">
        <v>12994</v>
      </c>
      <c r="G2340" s="44">
        <v>2</v>
      </c>
      <c r="H2340" s="45">
        <v>4</v>
      </c>
      <c r="J2340" s="45">
        <v>2</v>
      </c>
    </row>
    <row r="2341" spans="1:11" x14ac:dyDescent="0.2">
      <c r="A2341" s="38" t="s">
        <v>7</v>
      </c>
      <c r="B2341" s="38" t="s">
        <v>9542</v>
      </c>
      <c r="C2341" s="43" t="s">
        <v>9543</v>
      </c>
      <c r="D2341" s="38" t="s">
        <v>12995</v>
      </c>
      <c r="G2341" s="44">
        <v>7</v>
      </c>
      <c r="H2341" s="45">
        <v>29.61</v>
      </c>
      <c r="J2341" s="45">
        <v>4.2299999999999995</v>
      </c>
    </row>
    <row r="2342" spans="1:11" x14ac:dyDescent="0.2">
      <c r="A2342" s="38" t="s">
        <v>7</v>
      </c>
      <c r="B2342" s="38" t="s">
        <v>9544</v>
      </c>
      <c r="C2342" s="43" t="s">
        <v>9545</v>
      </c>
      <c r="D2342" s="38" t="s">
        <v>12993</v>
      </c>
      <c r="G2342" s="44">
        <v>2</v>
      </c>
      <c r="H2342" s="45">
        <v>15.08</v>
      </c>
      <c r="J2342" s="45">
        <v>7.54</v>
      </c>
    </row>
    <row r="2343" spans="1:11" x14ac:dyDescent="0.2">
      <c r="A2343" s="38" t="s">
        <v>7</v>
      </c>
      <c r="B2343" s="38" t="s">
        <v>9547</v>
      </c>
      <c r="C2343" s="43" t="s">
        <v>9548</v>
      </c>
      <c r="D2343" s="38" t="s">
        <v>12996</v>
      </c>
      <c r="E2343" s="44">
        <v>33</v>
      </c>
      <c r="F2343" s="45">
        <v>134.31</v>
      </c>
      <c r="G2343" s="44">
        <v>29</v>
      </c>
      <c r="H2343" s="45">
        <v>118.03</v>
      </c>
      <c r="I2343" s="45">
        <v>4.07</v>
      </c>
      <c r="J2343" s="45">
        <v>4.07</v>
      </c>
      <c r="K2343" s="46">
        <v>0</v>
      </c>
    </row>
    <row r="2344" spans="1:11" x14ac:dyDescent="0.2">
      <c r="A2344" s="38" t="s">
        <v>7</v>
      </c>
      <c r="B2344" s="38" t="s">
        <v>9550</v>
      </c>
      <c r="C2344" s="43" t="s">
        <v>9551</v>
      </c>
      <c r="D2344" s="38" t="s">
        <v>12997</v>
      </c>
      <c r="G2344" s="44">
        <v>1</v>
      </c>
      <c r="H2344" s="45">
        <v>11.28</v>
      </c>
      <c r="J2344" s="45">
        <v>11.28</v>
      </c>
    </row>
    <row r="2345" spans="1:11" x14ac:dyDescent="0.2">
      <c r="A2345" s="38" t="s">
        <v>7</v>
      </c>
      <c r="B2345" s="38" t="s">
        <v>9553</v>
      </c>
      <c r="C2345" s="43" t="s">
        <v>9554</v>
      </c>
      <c r="D2345" s="38" t="s">
        <v>12253</v>
      </c>
      <c r="E2345" s="44">
        <v>2</v>
      </c>
      <c r="F2345" s="45">
        <v>7.34</v>
      </c>
      <c r="G2345" s="44">
        <v>6</v>
      </c>
      <c r="H2345" s="45">
        <v>22.02</v>
      </c>
      <c r="I2345" s="45">
        <v>3.67</v>
      </c>
      <c r="J2345" s="45">
        <v>3.67</v>
      </c>
      <c r="K2345" s="46">
        <v>0</v>
      </c>
    </row>
    <row r="2346" spans="1:11" x14ac:dyDescent="0.2">
      <c r="A2346" s="38" t="s">
        <v>7</v>
      </c>
      <c r="B2346" s="38" t="s">
        <v>9555</v>
      </c>
      <c r="C2346" s="43" t="s">
        <v>9556</v>
      </c>
      <c r="D2346" s="38" t="s">
        <v>12998</v>
      </c>
      <c r="G2346" s="44">
        <v>2</v>
      </c>
      <c r="H2346" s="45">
        <v>7.34</v>
      </c>
      <c r="J2346" s="45">
        <v>3.67</v>
      </c>
    </row>
    <row r="2347" spans="1:11" x14ac:dyDescent="0.2">
      <c r="A2347" s="38" t="s">
        <v>7</v>
      </c>
      <c r="B2347" s="38" t="s">
        <v>9563</v>
      </c>
      <c r="C2347" s="43" t="s">
        <v>9564</v>
      </c>
      <c r="D2347" s="38" t="s">
        <v>12999</v>
      </c>
      <c r="E2347" s="44">
        <v>3</v>
      </c>
      <c r="F2347" s="45">
        <v>20.16</v>
      </c>
      <c r="G2347" s="44">
        <v>0</v>
      </c>
      <c r="H2347" s="45">
        <v>0</v>
      </c>
      <c r="I2347" s="45">
        <v>6.72</v>
      </c>
    </row>
    <row r="2348" spans="1:11" x14ac:dyDescent="0.2">
      <c r="A2348" s="38" t="s">
        <v>7</v>
      </c>
      <c r="B2348" s="38" t="s">
        <v>9567</v>
      </c>
      <c r="C2348" s="43" t="s">
        <v>9568</v>
      </c>
      <c r="D2348" s="38" t="s">
        <v>13000</v>
      </c>
      <c r="E2348" s="44">
        <v>4</v>
      </c>
      <c r="F2348" s="45">
        <v>16</v>
      </c>
      <c r="G2348" s="44">
        <v>1</v>
      </c>
      <c r="H2348" s="45">
        <v>4</v>
      </c>
      <c r="I2348" s="45">
        <v>4</v>
      </c>
      <c r="J2348" s="45">
        <v>4</v>
      </c>
      <c r="K2348" s="46">
        <v>0</v>
      </c>
    </row>
    <row r="2349" spans="1:11" x14ac:dyDescent="0.2">
      <c r="A2349" s="38" t="s">
        <v>7</v>
      </c>
      <c r="B2349" s="38" t="s">
        <v>9578</v>
      </c>
      <c r="C2349" s="43" t="s">
        <v>9579</v>
      </c>
      <c r="D2349" s="38" t="s">
        <v>13001</v>
      </c>
      <c r="E2349" s="44">
        <v>9</v>
      </c>
      <c r="F2349" s="45">
        <v>65.97</v>
      </c>
      <c r="G2349" s="44">
        <v>7</v>
      </c>
      <c r="H2349" s="45">
        <v>51.31</v>
      </c>
      <c r="I2349" s="45">
        <v>7.33</v>
      </c>
      <c r="J2349" s="45">
        <v>7.33</v>
      </c>
      <c r="K2349" s="46">
        <v>0</v>
      </c>
    </row>
    <row r="2350" spans="1:11" x14ac:dyDescent="0.2">
      <c r="A2350" s="38" t="s">
        <v>7</v>
      </c>
      <c r="B2350" s="38" t="s">
        <v>9581</v>
      </c>
      <c r="C2350" s="43" t="s">
        <v>9582</v>
      </c>
      <c r="D2350" s="38" t="s">
        <v>13002</v>
      </c>
      <c r="G2350" s="44">
        <v>13</v>
      </c>
      <c r="H2350" s="45">
        <v>45.5</v>
      </c>
      <c r="J2350" s="45">
        <v>3.5</v>
      </c>
    </row>
    <row r="2351" spans="1:11" x14ac:dyDescent="0.2">
      <c r="A2351" s="38" t="s">
        <v>7</v>
      </c>
      <c r="B2351" s="38" t="s">
        <v>9583</v>
      </c>
      <c r="C2351" s="43" t="s">
        <v>9584</v>
      </c>
      <c r="D2351" s="38" t="s">
        <v>13003</v>
      </c>
      <c r="E2351" s="44">
        <v>53</v>
      </c>
      <c r="F2351" s="45">
        <v>585.65</v>
      </c>
      <c r="G2351" s="44">
        <v>83</v>
      </c>
      <c r="H2351" s="45">
        <v>917.15</v>
      </c>
      <c r="I2351" s="45">
        <v>11.049999999999999</v>
      </c>
      <c r="J2351" s="45">
        <v>11.049999999999999</v>
      </c>
      <c r="K2351" s="46">
        <v>0</v>
      </c>
    </row>
    <row r="2352" spans="1:11" x14ac:dyDescent="0.2">
      <c r="A2352" s="38" t="s">
        <v>7</v>
      </c>
      <c r="B2352" s="38" t="s">
        <v>9589</v>
      </c>
      <c r="C2352" s="43" t="s">
        <v>9590</v>
      </c>
      <c r="D2352" s="38" t="s">
        <v>13004</v>
      </c>
      <c r="G2352" s="44">
        <v>2</v>
      </c>
      <c r="H2352" s="45">
        <v>9.3800000000000008</v>
      </c>
      <c r="J2352" s="45">
        <v>4.6900000000000004</v>
      </c>
    </row>
    <row r="2353" spans="1:11" x14ac:dyDescent="0.2">
      <c r="A2353" s="38" t="s">
        <v>7</v>
      </c>
      <c r="B2353" s="38" t="s">
        <v>9592</v>
      </c>
      <c r="C2353" s="43" t="s">
        <v>9593</v>
      </c>
      <c r="D2353" s="38" t="s">
        <v>13005</v>
      </c>
      <c r="G2353" s="44">
        <v>1</v>
      </c>
      <c r="H2353" s="45">
        <v>14.66</v>
      </c>
      <c r="J2353" s="45">
        <v>14.66</v>
      </c>
    </row>
    <row r="2354" spans="1:11" x14ac:dyDescent="0.2">
      <c r="A2354" s="38" t="s">
        <v>7</v>
      </c>
      <c r="B2354" s="38" t="s">
        <v>9595</v>
      </c>
      <c r="C2354" s="43" t="s">
        <v>9596</v>
      </c>
      <c r="D2354" s="38" t="s">
        <v>13006</v>
      </c>
      <c r="E2354" s="44">
        <v>1</v>
      </c>
      <c r="F2354" s="45">
        <v>32</v>
      </c>
      <c r="G2354" s="44">
        <v>2</v>
      </c>
      <c r="H2354" s="45">
        <v>64</v>
      </c>
      <c r="I2354" s="45">
        <v>32</v>
      </c>
      <c r="J2354" s="45">
        <v>32</v>
      </c>
      <c r="K2354" s="46">
        <v>0</v>
      </c>
    </row>
    <row r="2355" spans="1:11" x14ac:dyDescent="0.2">
      <c r="A2355" s="38" t="s">
        <v>7</v>
      </c>
      <c r="B2355" s="38" t="s">
        <v>9606</v>
      </c>
      <c r="C2355" s="43" t="s">
        <v>9607</v>
      </c>
      <c r="D2355" s="38" t="s">
        <v>13007</v>
      </c>
      <c r="G2355" s="44">
        <v>2</v>
      </c>
      <c r="H2355" s="45">
        <v>11.4</v>
      </c>
      <c r="J2355" s="45">
        <v>5.7</v>
      </c>
    </row>
    <row r="2356" spans="1:11" x14ac:dyDescent="0.2">
      <c r="A2356" s="38" t="s">
        <v>7</v>
      </c>
      <c r="B2356" s="38" t="s">
        <v>9608</v>
      </c>
      <c r="C2356" s="43" t="s">
        <v>9609</v>
      </c>
      <c r="D2356" s="38" t="s">
        <v>13007</v>
      </c>
      <c r="G2356" s="44">
        <v>1</v>
      </c>
      <c r="H2356" s="45">
        <v>20.48</v>
      </c>
      <c r="J2356" s="45">
        <v>20.48</v>
      </c>
    </row>
    <row r="2357" spans="1:11" x14ac:dyDescent="0.2">
      <c r="A2357" s="38" t="s">
        <v>7</v>
      </c>
      <c r="B2357" s="38" t="s">
        <v>9610</v>
      </c>
      <c r="C2357" s="43" t="s">
        <v>9611</v>
      </c>
      <c r="D2357" s="38" t="s">
        <v>12260</v>
      </c>
      <c r="E2357" s="44">
        <v>80</v>
      </c>
      <c r="F2357" s="45">
        <v>182.4</v>
      </c>
      <c r="G2357" s="44">
        <v>57</v>
      </c>
      <c r="H2357" s="45">
        <v>129.96</v>
      </c>
      <c r="I2357" s="45">
        <v>2.2800000000000002</v>
      </c>
      <c r="J2357" s="45">
        <v>2.2800000000000002</v>
      </c>
      <c r="K2357" s="46">
        <v>0</v>
      </c>
    </row>
    <row r="2358" spans="1:11" x14ac:dyDescent="0.2">
      <c r="A2358" s="38" t="s">
        <v>7</v>
      </c>
      <c r="B2358" s="38" t="s">
        <v>9613</v>
      </c>
      <c r="C2358" s="43" t="s">
        <v>9614</v>
      </c>
      <c r="D2358" s="38" t="s">
        <v>13008</v>
      </c>
      <c r="G2358" s="44">
        <v>1</v>
      </c>
      <c r="H2358" s="45">
        <v>5.2</v>
      </c>
      <c r="J2358" s="45">
        <v>5.2</v>
      </c>
    </row>
    <row r="2359" spans="1:11" x14ac:dyDescent="0.2">
      <c r="A2359" s="38" t="s">
        <v>7</v>
      </c>
      <c r="B2359" s="38" t="s">
        <v>9618</v>
      </c>
      <c r="C2359" s="43" t="s">
        <v>9619</v>
      </c>
      <c r="D2359" s="38" t="s">
        <v>13009</v>
      </c>
      <c r="E2359" s="44">
        <v>23</v>
      </c>
      <c r="F2359" s="45">
        <v>517.04</v>
      </c>
      <c r="G2359" s="44">
        <v>3</v>
      </c>
      <c r="H2359" s="45">
        <v>67.44</v>
      </c>
      <c r="I2359" s="45">
        <v>22.479999999999997</v>
      </c>
      <c r="J2359" s="45">
        <v>22.48</v>
      </c>
      <c r="K2359" s="46">
        <v>1.5803886471532481E-16</v>
      </c>
    </row>
    <row r="2360" spans="1:11" x14ac:dyDescent="0.2">
      <c r="A2360" s="38" t="s">
        <v>7</v>
      </c>
      <c r="B2360" s="38" t="s">
        <v>9625</v>
      </c>
      <c r="C2360" s="43" t="s">
        <v>9626</v>
      </c>
      <c r="D2360" s="38" t="s">
        <v>12262</v>
      </c>
      <c r="G2360" s="44">
        <v>1</v>
      </c>
      <c r="H2360" s="45">
        <v>1.65</v>
      </c>
      <c r="J2360" s="45">
        <v>1.65</v>
      </c>
    </row>
    <row r="2361" spans="1:11" x14ac:dyDescent="0.2">
      <c r="A2361" s="38" t="s">
        <v>7</v>
      </c>
      <c r="B2361" s="38" t="s">
        <v>9627</v>
      </c>
      <c r="C2361" s="43" t="s">
        <v>9628</v>
      </c>
      <c r="D2361" s="38" t="s">
        <v>12262</v>
      </c>
      <c r="E2361" s="44">
        <v>38</v>
      </c>
      <c r="F2361" s="45">
        <v>76</v>
      </c>
      <c r="G2361" s="44">
        <v>25</v>
      </c>
      <c r="H2361" s="45">
        <v>50</v>
      </c>
      <c r="I2361" s="45">
        <v>2</v>
      </c>
      <c r="J2361" s="45">
        <v>2</v>
      </c>
      <c r="K2361" s="46">
        <v>0</v>
      </c>
    </row>
    <row r="2362" spans="1:11" x14ac:dyDescent="0.2">
      <c r="A2362" s="38" t="s">
        <v>7</v>
      </c>
      <c r="B2362" s="38" t="s">
        <v>9632</v>
      </c>
      <c r="C2362" s="43" t="s">
        <v>9633</v>
      </c>
      <c r="D2362" s="38" t="s">
        <v>13010</v>
      </c>
      <c r="G2362" s="44">
        <v>2</v>
      </c>
      <c r="H2362" s="45">
        <v>24.28</v>
      </c>
      <c r="J2362" s="45">
        <v>12.14</v>
      </c>
    </row>
    <row r="2363" spans="1:11" x14ac:dyDescent="0.2">
      <c r="A2363" s="38" t="s">
        <v>7</v>
      </c>
      <c r="B2363" s="38" t="s">
        <v>9637</v>
      </c>
      <c r="C2363" s="43" t="s">
        <v>9638</v>
      </c>
      <c r="D2363" s="38" t="s">
        <v>13011</v>
      </c>
      <c r="G2363" s="44">
        <v>1</v>
      </c>
      <c r="H2363" s="45">
        <v>4.8899999999999997</v>
      </c>
      <c r="J2363" s="45">
        <v>4.8899999999999997</v>
      </c>
    </row>
    <row r="2364" spans="1:11" x14ac:dyDescent="0.2">
      <c r="A2364" s="38" t="s">
        <v>7</v>
      </c>
      <c r="B2364" s="38" t="s">
        <v>9647</v>
      </c>
      <c r="C2364" s="43" t="s">
        <v>9648</v>
      </c>
      <c r="D2364" s="38" t="s">
        <v>13012</v>
      </c>
      <c r="E2364" s="44">
        <v>27</v>
      </c>
      <c r="F2364" s="45">
        <v>197.91</v>
      </c>
      <c r="G2364" s="44">
        <v>17</v>
      </c>
      <c r="H2364" s="45">
        <v>124.61</v>
      </c>
      <c r="I2364" s="45">
        <v>7.33</v>
      </c>
      <c r="J2364" s="45">
        <v>7.33</v>
      </c>
      <c r="K2364" s="46">
        <v>0</v>
      </c>
    </row>
    <row r="2365" spans="1:11" x14ac:dyDescent="0.2">
      <c r="A2365" s="38" t="s">
        <v>7</v>
      </c>
      <c r="B2365" s="38" t="s">
        <v>9649</v>
      </c>
      <c r="C2365" s="43" t="s">
        <v>9650</v>
      </c>
      <c r="D2365" s="38" t="s">
        <v>13013</v>
      </c>
      <c r="E2365" s="44">
        <v>17</v>
      </c>
      <c r="F2365" s="45">
        <v>85</v>
      </c>
      <c r="G2365" s="44">
        <v>0</v>
      </c>
      <c r="H2365" s="45">
        <v>0</v>
      </c>
      <c r="I2365" s="45">
        <v>5</v>
      </c>
    </row>
    <row r="2366" spans="1:11" x14ac:dyDescent="0.2">
      <c r="A2366" s="38" t="s">
        <v>7</v>
      </c>
      <c r="B2366" s="38" t="s">
        <v>9651</v>
      </c>
      <c r="C2366" s="43" t="s">
        <v>9652</v>
      </c>
      <c r="D2366" s="38" t="s">
        <v>13014</v>
      </c>
      <c r="G2366" s="44">
        <v>1</v>
      </c>
      <c r="H2366" s="45">
        <v>5.7</v>
      </c>
      <c r="J2366" s="45">
        <v>5.7</v>
      </c>
    </row>
    <row r="2367" spans="1:11" x14ac:dyDescent="0.2">
      <c r="A2367" s="38" t="s">
        <v>7</v>
      </c>
      <c r="B2367" s="38" t="s">
        <v>9657</v>
      </c>
      <c r="C2367" s="43" t="s">
        <v>9658</v>
      </c>
      <c r="D2367" s="38" t="s">
        <v>13015</v>
      </c>
      <c r="E2367" s="44">
        <v>6</v>
      </c>
      <c r="F2367" s="45">
        <v>97.74</v>
      </c>
      <c r="G2367" s="44">
        <v>5</v>
      </c>
      <c r="H2367" s="45">
        <v>81.45</v>
      </c>
      <c r="I2367" s="45">
        <v>16.29</v>
      </c>
      <c r="J2367" s="45">
        <v>16.29</v>
      </c>
      <c r="K2367" s="46">
        <v>0</v>
      </c>
    </row>
    <row r="2368" spans="1:11" x14ac:dyDescent="0.2">
      <c r="A2368" s="38" t="s">
        <v>7</v>
      </c>
      <c r="B2368" s="38" t="s">
        <v>9663</v>
      </c>
      <c r="C2368" s="43" t="s">
        <v>9664</v>
      </c>
      <c r="D2368" s="38" t="s">
        <v>13016</v>
      </c>
      <c r="G2368" s="44">
        <v>1</v>
      </c>
      <c r="H2368" s="45">
        <v>4.68</v>
      </c>
      <c r="J2368" s="45">
        <v>4.68</v>
      </c>
    </row>
    <row r="2369" spans="1:11" x14ac:dyDescent="0.2">
      <c r="A2369" s="38" t="s">
        <v>7</v>
      </c>
      <c r="B2369" s="38" t="s">
        <v>9669</v>
      </c>
      <c r="C2369" s="43" t="s">
        <v>9670</v>
      </c>
      <c r="D2369" s="38" t="s">
        <v>13017</v>
      </c>
      <c r="G2369" s="44">
        <v>8</v>
      </c>
      <c r="H2369" s="45">
        <v>84.16</v>
      </c>
      <c r="J2369" s="45">
        <v>10.52</v>
      </c>
    </row>
    <row r="2370" spans="1:11" x14ac:dyDescent="0.2">
      <c r="A2370" s="38" t="s">
        <v>7</v>
      </c>
      <c r="B2370" s="38" t="s">
        <v>9672</v>
      </c>
      <c r="C2370" s="43" t="s">
        <v>9673</v>
      </c>
      <c r="D2370" s="38" t="s">
        <v>13018</v>
      </c>
      <c r="E2370" s="44">
        <v>4</v>
      </c>
      <c r="F2370" s="45">
        <v>32.6</v>
      </c>
      <c r="G2370" s="44">
        <v>4</v>
      </c>
      <c r="H2370" s="45">
        <v>32.6</v>
      </c>
      <c r="I2370" s="45">
        <v>8.15</v>
      </c>
      <c r="J2370" s="45">
        <v>8.15</v>
      </c>
      <c r="K2370" s="46">
        <v>0</v>
      </c>
    </row>
    <row r="2371" spans="1:11" x14ac:dyDescent="0.2">
      <c r="A2371" s="38" t="s">
        <v>7</v>
      </c>
      <c r="B2371" s="38" t="s">
        <v>9674</v>
      </c>
      <c r="C2371" s="43" t="s">
        <v>9675</v>
      </c>
      <c r="D2371" s="38" t="s">
        <v>13019</v>
      </c>
      <c r="G2371" s="44">
        <v>1</v>
      </c>
      <c r="H2371" s="45">
        <v>4.72</v>
      </c>
      <c r="J2371" s="45">
        <v>4.72</v>
      </c>
    </row>
    <row r="2372" spans="1:11" x14ac:dyDescent="0.2">
      <c r="A2372" s="38" t="s">
        <v>7</v>
      </c>
      <c r="B2372" s="38" t="s">
        <v>9676</v>
      </c>
      <c r="C2372" s="43" t="s">
        <v>9677</v>
      </c>
      <c r="D2372" s="38" t="s">
        <v>12269</v>
      </c>
      <c r="E2372" s="44">
        <v>47</v>
      </c>
      <c r="F2372" s="45">
        <v>105.75</v>
      </c>
      <c r="G2372" s="44">
        <v>53</v>
      </c>
      <c r="H2372" s="45">
        <v>119.25</v>
      </c>
      <c r="I2372" s="45">
        <v>2.25</v>
      </c>
      <c r="J2372" s="45">
        <v>2.25</v>
      </c>
      <c r="K2372" s="46">
        <v>0</v>
      </c>
    </row>
    <row r="2373" spans="1:11" x14ac:dyDescent="0.2">
      <c r="A2373" s="38" t="s">
        <v>7</v>
      </c>
      <c r="B2373" s="38" t="s">
        <v>9678</v>
      </c>
      <c r="C2373" s="43" t="s">
        <v>1931</v>
      </c>
      <c r="D2373" s="38" t="s">
        <v>12271</v>
      </c>
      <c r="G2373" s="44">
        <v>2</v>
      </c>
      <c r="H2373" s="45">
        <v>4</v>
      </c>
      <c r="J2373" s="45">
        <v>2</v>
      </c>
    </row>
    <row r="2374" spans="1:11" x14ac:dyDescent="0.2">
      <c r="A2374" s="38" t="s">
        <v>7</v>
      </c>
      <c r="B2374" s="38" t="s">
        <v>9683</v>
      </c>
      <c r="C2374" s="43" t="s">
        <v>9684</v>
      </c>
      <c r="D2374" s="38" t="s">
        <v>13020</v>
      </c>
      <c r="E2374" s="44">
        <v>13</v>
      </c>
      <c r="F2374" s="45">
        <v>52</v>
      </c>
      <c r="G2374" s="44">
        <v>0</v>
      </c>
      <c r="H2374" s="45">
        <v>0</v>
      </c>
      <c r="I2374" s="45">
        <v>4</v>
      </c>
    </row>
    <row r="2375" spans="1:11" x14ac:dyDescent="0.2">
      <c r="A2375" s="38" t="s">
        <v>7</v>
      </c>
      <c r="B2375" s="38" t="s">
        <v>9686</v>
      </c>
      <c r="C2375" s="43" t="s">
        <v>9687</v>
      </c>
      <c r="D2375" s="38" t="s">
        <v>13021</v>
      </c>
      <c r="E2375" s="44">
        <v>7</v>
      </c>
      <c r="F2375" s="45">
        <v>22.82</v>
      </c>
      <c r="G2375" s="44">
        <v>0</v>
      </c>
      <c r="H2375" s="45">
        <v>0</v>
      </c>
      <c r="I2375" s="45">
        <v>3.2600000000000002</v>
      </c>
    </row>
    <row r="2376" spans="1:11" x14ac:dyDescent="0.2">
      <c r="A2376" s="38" t="s">
        <v>7</v>
      </c>
      <c r="B2376" s="38" t="s">
        <v>9695</v>
      </c>
      <c r="C2376" s="43" t="s">
        <v>9696</v>
      </c>
      <c r="D2376" s="38" t="s">
        <v>13022</v>
      </c>
      <c r="E2376" s="44">
        <v>29</v>
      </c>
      <c r="F2376" s="45">
        <v>106.43</v>
      </c>
      <c r="G2376" s="44">
        <v>34</v>
      </c>
      <c r="H2376" s="45">
        <v>124.78</v>
      </c>
      <c r="I2376" s="45">
        <v>3.6700000000000004</v>
      </c>
      <c r="J2376" s="45">
        <v>3.67</v>
      </c>
      <c r="K2376" s="46">
        <v>-1.2100523429157018E-16</v>
      </c>
    </row>
    <row r="2377" spans="1:11" x14ac:dyDescent="0.2">
      <c r="A2377" s="38" t="s">
        <v>7</v>
      </c>
      <c r="B2377" s="38" t="s">
        <v>9698</v>
      </c>
      <c r="C2377" s="43" t="s">
        <v>1939</v>
      </c>
      <c r="D2377" s="38" t="s">
        <v>12274</v>
      </c>
      <c r="E2377" s="44">
        <v>1</v>
      </c>
      <c r="F2377" s="45">
        <v>5</v>
      </c>
      <c r="G2377" s="44">
        <v>3</v>
      </c>
      <c r="H2377" s="45">
        <v>15</v>
      </c>
      <c r="I2377" s="45">
        <v>5</v>
      </c>
      <c r="J2377" s="45">
        <v>5</v>
      </c>
      <c r="K2377" s="46">
        <v>0</v>
      </c>
    </row>
    <row r="2378" spans="1:11" x14ac:dyDescent="0.2">
      <c r="A2378" s="38" t="s">
        <v>7</v>
      </c>
      <c r="B2378" s="38" t="s">
        <v>9705</v>
      </c>
      <c r="C2378" s="43" t="s">
        <v>9706</v>
      </c>
      <c r="D2378" s="38" t="s">
        <v>13023</v>
      </c>
      <c r="E2378" s="44">
        <v>7</v>
      </c>
      <c r="F2378" s="45">
        <v>85.54</v>
      </c>
      <c r="G2378" s="44">
        <v>11</v>
      </c>
      <c r="H2378" s="45">
        <v>134.41999999999999</v>
      </c>
      <c r="I2378" s="45">
        <v>12.22</v>
      </c>
      <c r="J2378" s="45">
        <v>12.219999999999999</v>
      </c>
      <c r="K2378" s="46">
        <v>-1.4536471680853112E-16</v>
      </c>
    </row>
    <row r="2379" spans="1:11" x14ac:dyDescent="0.2">
      <c r="A2379" s="38" t="s">
        <v>7</v>
      </c>
      <c r="B2379" s="38" t="s">
        <v>9714</v>
      </c>
      <c r="C2379" s="43" t="s">
        <v>9715</v>
      </c>
      <c r="D2379" s="38" t="s">
        <v>13024</v>
      </c>
      <c r="E2379" s="44">
        <v>12</v>
      </c>
      <c r="F2379" s="45">
        <v>861</v>
      </c>
      <c r="G2379" s="44">
        <v>8</v>
      </c>
      <c r="H2379" s="45">
        <v>574</v>
      </c>
      <c r="I2379" s="45">
        <v>71.75</v>
      </c>
      <c r="J2379" s="45">
        <v>71.75</v>
      </c>
      <c r="K2379" s="46">
        <v>0</v>
      </c>
    </row>
    <row r="2380" spans="1:11" x14ac:dyDescent="0.2">
      <c r="A2380" s="38" t="s">
        <v>7</v>
      </c>
      <c r="B2380" s="38" t="s">
        <v>9719</v>
      </c>
      <c r="C2380" s="43" t="s">
        <v>9720</v>
      </c>
      <c r="D2380" s="38" t="s">
        <v>13025</v>
      </c>
      <c r="E2380" s="44">
        <v>10</v>
      </c>
      <c r="F2380" s="45">
        <v>40</v>
      </c>
      <c r="G2380" s="44">
        <v>9</v>
      </c>
      <c r="H2380" s="45">
        <v>36</v>
      </c>
      <c r="I2380" s="45">
        <v>4</v>
      </c>
      <c r="J2380" s="45">
        <v>4</v>
      </c>
      <c r="K2380" s="46">
        <v>0</v>
      </c>
    </row>
    <row r="2381" spans="1:11" x14ac:dyDescent="0.2">
      <c r="A2381" s="38" t="s">
        <v>7</v>
      </c>
      <c r="B2381" s="38" t="s">
        <v>9722</v>
      </c>
      <c r="C2381" s="43" t="s">
        <v>9723</v>
      </c>
      <c r="D2381" s="38" t="s">
        <v>13026</v>
      </c>
      <c r="G2381" s="44">
        <v>3</v>
      </c>
      <c r="H2381" s="45">
        <v>15.09</v>
      </c>
      <c r="J2381" s="45">
        <v>5.03</v>
      </c>
    </row>
    <row r="2382" spans="1:11" x14ac:dyDescent="0.2">
      <c r="A2382" s="38" t="s">
        <v>7</v>
      </c>
      <c r="B2382" s="38" t="s">
        <v>9724</v>
      </c>
      <c r="C2382" s="43" t="s">
        <v>9725</v>
      </c>
      <c r="D2382" s="38" t="s">
        <v>13025</v>
      </c>
      <c r="E2382" s="44">
        <v>16</v>
      </c>
      <c r="F2382" s="45">
        <v>64</v>
      </c>
      <c r="G2382" s="44">
        <v>19</v>
      </c>
      <c r="H2382" s="45">
        <v>76</v>
      </c>
      <c r="I2382" s="45">
        <v>4</v>
      </c>
      <c r="J2382" s="45">
        <v>4</v>
      </c>
      <c r="K2382" s="46">
        <v>0</v>
      </c>
    </row>
    <row r="2383" spans="1:11" x14ac:dyDescent="0.2">
      <c r="A2383" s="38" t="s">
        <v>7</v>
      </c>
      <c r="B2383" s="38" t="s">
        <v>9727</v>
      </c>
      <c r="C2383" s="43" t="s">
        <v>9728</v>
      </c>
      <c r="D2383" s="38" t="s">
        <v>13025</v>
      </c>
      <c r="E2383" s="44">
        <v>8</v>
      </c>
      <c r="F2383" s="45">
        <v>32</v>
      </c>
      <c r="G2383" s="44">
        <v>8</v>
      </c>
      <c r="H2383" s="45">
        <v>32</v>
      </c>
      <c r="I2383" s="45">
        <v>4</v>
      </c>
      <c r="J2383" s="45">
        <v>4</v>
      </c>
      <c r="K2383" s="46">
        <v>0</v>
      </c>
    </row>
    <row r="2384" spans="1:11" x14ac:dyDescent="0.2">
      <c r="A2384" s="38" t="s">
        <v>7</v>
      </c>
      <c r="B2384" s="38" t="s">
        <v>9733</v>
      </c>
      <c r="C2384" s="43" t="s">
        <v>9734</v>
      </c>
      <c r="D2384" s="38" t="s">
        <v>13027</v>
      </c>
      <c r="E2384" s="44">
        <v>11</v>
      </c>
      <c r="F2384" s="45">
        <v>65.45</v>
      </c>
      <c r="G2384" s="44">
        <v>12</v>
      </c>
      <c r="H2384" s="45">
        <v>71.400000000000006</v>
      </c>
      <c r="I2384" s="45">
        <v>5.95</v>
      </c>
      <c r="J2384" s="45">
        <v>5.95</v>
      </c>
      <c r="K2384" s="46">
        <v>0</v>
      </c>
    </row>
    <row r="2385" spans="1:11" x14ac:dyDescent="0.2">
      <c r="A2385" s="38" t="s">
        <v>7</v>
      </c>
      <c r="B2385" s="38" t="s">
        <v>9736</v>
      </c>
      <c r="C2385" s="43" t="s">
        <v>9737</v>
      </c>
      <c r="D2385" s="38" t="s">
        <v>13028</v>
      </c>
      <c r="G2385" s="44">
        <v>3</v>
      </c>
      <c r="H2385" s="45">
        <v>10.11</v>
      </c>
      <c r="J2385" s="45">
        <v>3.3699999999999997</v>
      </c>
    </row>
    <row r="2386" spans="1:11" x14ac:dyDescent="0.2">
      <c r="A2386" s="38" t="s">
        <v>7</v>
      </c>
      <c r="B2386" s="38" t="s">
        <v>9743</v>
      </c>
      <c r="C2386" s="43" t="s">
        <v>9744</v>
      </c>
      <c r="D2386" s="38" t="s">
        <v>13029</v>
      </c>
      <c r="G2386" s="44">
        <v>1</v>
      </c>
      <c r="H2386" s="45">
        <v>35.71</v>
      </c>
      <c r="J2386" s="45">
        <v>35.71</v>
      </c>
    </row>
    <row r="2387" spans="1:11" x14ac:dyDescent="0.2">
      <c r="A2387" s="38" t="s">
        <v>7</v>
      </c>
      <c r="B2387" s="38" t="s">
        <v>9748</v>
      </c>
      <c r="C2387" s="43" t="s">
        <v>1947</v>
      </c>
      <c r="D2387" s="38" t="s">
        <v>12277</v>
      </c>
      <c r="E2387" s="44">
        <v>27</v>
      </c>
      <c r="F2387" s="45">
        <v>99.09</v>
      </c>
      <c r="G2387" s="44">
        <v>20</v>
      </c>
      <c r="H2387" s="45">
        <v>73.400000000000006</v>
      </c>
      <c r="I2387" s="45">
        <v>3.67</v>
      </c>
      <c r="J2387" s="45">
        <v>3.6700000000000004</v>
      </c>
      <c r="K2387" s="46">
        <v>1.2100523429157021E-16</v>
      </c>
    </row>
    <row r="2388" spans="1:11" x14ac:dyDescent="0.2">
      <c r="A2388" s="38" t="s">
        <v>7</v>
      </c>
      <c r="B2388" s="38" t="s">
        <v>9749</v>
      </c>
      <c r="C2388" s="43" t="s">
        <v>9750</v>
      </c>
      <c r="D2388" s="38" t="s">
        <v>13030</v>
      </c>
      <c r="E2388" s="44">
        <v>2</v>
      </c>
      <c r="F2388" s="45">
        <v>12.22</v>
      </c>
      <c r="G2388" s="44">
        <v>0</v>
      </c>
      <c r="H2388" s="45">
        <v>0</v>
      </c>
      <c r="I2388" s="45">
        <v>6.11</v>
      </c>
    </row>
    <row r="2389" spans="1:11" x14ac:dyDescent="0.2">
      <c r="A2389" s="38" t="s">
        <v>7</v>
      </c>
      <c r="B2389" s="38" t="s">
        <v>9753</v>
      </c>
      <c r="C2389" s="43" t="s">
        <v>1955</v>
      </c>
      <c r="D2389" s="38" t="s">
        <v>13031</v>
      </c>
      <c r="E2389" s="44">
        <v>80</v>
      </c>
      <c r="F2389" s="45">
        <v>320</v>
      </c>
      <c r="G2389" s="44">
        <v>42</v>
      </c>
      <c r="H2389" s="45">
        <v>168</v>
      </c>
      <c r="I2389" s="45">
        <v>4</v>
      </c>
      <c r="J2389" s="45">
        <v>4</v>
      </c>
      <c r="K2389" s="46">
        <v>0</v>
      </c>
    </row>
    <row r="2390" spans="1:11" x14ac:dyDescent="0.2">
      <c r="A2390" s="38" t="s">
        <v>7</v>
      </c>
      <c r="B2390" s="38" t="s">
        <v>9754</v>
      </c>
      <c r="C2390" s="43" t="s">
        <v>9755</v>
      </c>
      <c r="D2390" s="38" t="s">
        <v>13032</v>
      </c>
      <c r="G2390" s="44">
        <v>1</v>
      </c>
      <c r="H2390" s="45">
        <v>5.29</v>
      </c>
      <c r="J2390" s="45">
        <v>5.29</v>
      </c>
    </row>
    <row r="2391" spans="1:11" x14ac:dyDescent="0.2">
      <c r="A2391" s="38" t="s">
        <v>7</v>
      </c>
      <c r="B2391" s="38" t="s">
        <v>9757</v>
      </c>
      <c r="C2391" s="43" t="s">
        <v>9758</v>
      </c>
      <c r="D2391" s="38" t="s">
        <v>13025</v>
      </c>
      <c r="E2391" s="44">
        <v>1</v>
      </c>
      <c r="F2391" s="45">
        <v>2.44</v>
      </c>
      <c r="G2391" s="44">
        <v>0</v>
      </c>
      <c r="H2391" s="45">
        <v>0</v>
      </c>
      <c r="I2391" s="45">
        <v>2.44</v>
      </c>
    </row>
    <row r="2392" spans="1:11" x14ac:dyDescent="0.2">
      <c r="A2392" s="38" t="s">
        <v>7</v>
      </c>
      <c r="B2392" s="38" t="s">
        <v>9763</v>
      </c>
      <c r="C2392" s="43" t="s">
        <v>9764</v>
      </c>
      <c r="D2392" s="38" t="s">
        <v>13033</v>
      </c>
      <c r="G2392" s="44">
        <v>2</v>
      </c>
      <c r="H2392" s="45">
        <v>20.239999999999998</v>
      </c>
      <c r="J2392" s="45">
        <v>10.119999999999999</v>
      </c>
    </row>
    <row r="2393" spans="1:11" x14ac:dyDescent="0.2">
      <c r="A2393" s="38" t="s">
        <v>7</v>
      </c>
      <c r="B2393" s="38" t="s">
        <v>9766</v>
      </c>
      <c r="C2393" s="43" t="s">
        <v>1961</v>
      </c>
      <c r="D2393" s="38" t="s">
        <v>12281</v>
      </c>
      <c r="E2393" s="44">
        <v>0</v>
      </c>
      <c r="F2393" s="45">
        <v>0</v>
      </c>
      <c r="G2393" s="44">
        <v>1</v>
      </c>
      <c r="H2393" s="45">
        <v>2</v>
      </c>
      <c r="J2393" s="45">
        <v>2</v>
      </c>
    </row>
    <row r="2394" spans="1:11" x14ac:dyDescent="0.2">
      <c r="A2394" s="38" t="s">
        <v>7</v>
      </c>
      <c r="B2394" s="38" t="s">
        <v>9767</v>
      </c>
      <c r="C2394" s="43" t="s">
        <v>9768</v>
      </c>
      <c r="D2394" s="38" t="s">
        <v>12281</v>
      </c>
      <c r="E2394" s="44">
        <v>76</v>
      </c>
      <c r="F2394" s="45">
        <v>171</v>
      </c>
      <c r="G2394" s="44">
        <v>96</v>
      </c>
      <c r="H2394" s="45">
        <v>216</v>
      </c>
      <c r="I2394" s="45">
        <v>2.25</v>
      </c>
      <c r="J2394" s="45">
        <v>2.25</v>
      </c>
      <c r="K2394" s="46">
        <v>0</v>
      </c>
    </row>
    <row r="2395" spans="1:11" x14ac:dyDescent="0.2">
      <c r="A2395" s="38" t="s">
        <v>7</v>
      </c>
      <c r="B2395" s="38" t="s">
        <v>9770</v>
      </c>
      <c r="C2395" s="43" t="s">
        <v>9771</v>
      </c>
      <c r="D2395" s="38" t="s">
        <v>13034</v>
      </c>
      <c r="G2395" s="44">
        <v>1</v>
      </c>
      <c r="H2395" s="45">
        <v>3.26</v>
      </c>
      <c r="J2395" s="45">
        <v>3.26</v>
      </c>
    </row>
    <row r="2396" spans="1:11" x14ac:dyDescent="0.2">
      <c r="A2396" s="38" t="s">
        <v>7</v>
      </c>
      <c r="B2396" s="38" t="s">
        <v>9775</v>
      </c>
      <c r="C2396" s="43" t="s">
        <v>9776</v>
      </c>
      <c r="D2396" s="38" t="s">
        <v>13035</v>
      </c>
      <c r="G2396" s="44">
        <v>1</v>
      </c>
      <c r="H2396" s="45">
        <v>8.76</v>
      </c>
      <c r="J2396" s="45">
        <v>8.76</v>
      </c>
    </row>
    <row r="2397" spans="1:11" x14ac:dyDescent="0.2">
      <c r="A2397" s="38" t="s">
        <v>7</v>
      </c>
      <c r="B2397" s="38" t="s">
        <v>9793</v>
      </c>
      <c r="C2397" s="43" t="s">
        <v>9794</v>
      </c>
      <c r="D2397" s="38" t="s">
        <v>13036</v>
      </c>
      <c r="E2397" s="44">
        <v>2</v>
      </c>
      <c r="F2397" s="45">
        <v>28</v>
      </c>
      <c r="G2397" s="44">
        <v>2</v>
      </c>
      <c r="H2397" s="45">
        <v>28</v>
      </c>
      <c r="I2397" s="45">
        <v>14</v>
      </c>
      <c r="J2397" s="45">
        <v>14</v>
      </c>
      <c r="K2397" s="46">
        <v>0</v>
      </c>
    </row>
    <row r="2398" spans="1:11" x14ac:dyDescent="0.2">
      <c r="A2398" s="38" t="s">
        <v>7</v>
      </c>
      <c r="B2398" s="38" t="s">
        <v>9800</v>
      </c>
      <c r="C2398" s="43" t="s">
        <v>9801</v>
      </c>
      <c r="D2398" s="38" t="s">
        <v>13037</v>
      </c>
      <c r="E2398" s="44">
        <v>27</v>
      </c>
      <c r="F2398" s="45">
        <v>129.6</v>
      </c>
      <c r="G2398" s="44">
        <v>25</v>
      </c>
      <c r="H2398" s="45">
        <v>120</v>
      </c>
      <c r="I2398" s="45">
        <v>4.8</v>
      </c>
      <c r="J2398" s="45">
        <v>4.8</v>
      </c>
      <c r="K2398" s="46">
        <v>0</v>
      </c>
    </row>
    <row r="2399" spans="1:11" x14ac:dyDescent="0.2">
      <c r="A2399" s="38" t="s">
        <v>7</v>
      </c>
      <c r="B2399" s="38" t="s">
        <v>9803</v>
      </c>
      <c r="C2399" s="43" t="s">
        <v>9804</v>
      </c>
      <c r="D2399" s="38" t="s">
        <v>13038</v>
      </c>
      <c r="G2399" s="44">
        <v>1</v>
      </c>
      <c r="H2399" s="45">
        <v>28.61</v>
      </c>
      <c r="J2399" s="45">
        <v>28.61</v>
      </c>
    </row>
    <row r="2400" spans="1:11" x14ac:dyDescent="0.2">
      <c r="A2400" s="38" t="s">
        <v>7</v>
      </c>
      <c r="B2400" s="38" t="s">
        <v>9806</v>
      </c>
      <c r="C2400" s="43" t="s">
        <v>9807</v>
      </c>
      <c r="D2400" s="38" t="s">
        <v>13039</v>
      </c>
      <c r="E2400" s="44">
        <v>88</v>
      </c>
      <c r="F2400" s="45">
        <v>430.32</v>
      </c>
      <c r="G2400" s="44">
        <v>112</v>
      </c>
      <c r="H2400" s="45">
        <v>547.67999999999995</v>
      </c>
      <c r="I2400" s="45">
        <v>4.8899999999999997</v>
      </c>
      <c r="J2400" s="45">
        <v>4.8899999999999997</v>
      </c>
      <c r="K2400" s="46">
        <v>0</v>
      </c>
    </row>
    <row r="2401" spans="1:11" x14ac:dyDescent="0.2">
      <c r="A2401" s="38" t="s">
        <v>7</v>
      </c>
      <c r="B2401" s="38" t="s">
        <v>9809</v>
      </c>
      <c r="C2401" s="43" t="s">
        <v>9810</v>
      </c>
      <c r="D2401" s="38" t="s">
        <v>13040</v>
      </c>
      <c r="E2401" s="44">
        <v>5</v>
      </c>
      <c r="F2401" s="45">
        <v>370</v>
      </c>
      <c r="G2401" s="44">
        <v>0</v>
      </c>
      <c r="H2401" s="45">
        <v>0</v>
      </c>
      <c r="I2401" s="45">
        <v>74</v>
      </c>
    </row>
    <row r="2402" spans="1:11" x14ac:dyDescent="0.2">
      <c r="A2402" s="38" t="s">
        <v>7</v>
      </c>
      <c r="B2402" s="38" t="s">
        <v>9811</v>
      </c>
      <c r="C2402" s="43" t="s">
        <v>9812</v>
      </c>
      <c r="D2402" s="38" t="s">
        <v>13040</v>
      </c>
      <c r="G2402" s="44">
        <v>2</v>
      </c>
      <c r="H2402" s="45">
        <v>130.32</v>
      </c>
      <c r="J2402" s="45">
        <v>65.16</v>
      </c>
    </row>
    <row r="2403" spans="1:11" x14ac:dyDescent="0.2">
      <c r="A2403" s="38" t="s">
        <v>7</v>
      </c>
      <c r="B2403" s="38" t="s">
        <v>9813</v>
      </c>
      <c r="C2403" s="43" t="s">
        <v>9814</v>
      </c>
      <c r="D2403" s="38" t="s">
        <v>13041</v>
      </c>
      <c r="E2403" s="44">
        <v>139</v>
      </c>
      <c r="F2403" s="45">
        <v>707.51</v>
      </c>
      <c r="G2403" s="44">
        <v>160</v>
      </c>
      <c r="H2403" s="45">
        <v>814.4</v>
      </c>
      <c r="I2403" s="45">
        <v>5.09</v>
      </c>
      <c r="J2403" s="45">
        <v>5.09</v>
      </c>
      <c r="K2403" s="46">
        <v>0</v>
      </c>
    </row>
    <row r="2404" spans="1:11" x14ac:dyDescent="0.2">
      <c r="A2404" s="38" t="s">
        <v>7</v>
      </c>
      <c r="B2404" s="38" t="s">
        <v>9816</v>
      </c>
      <c r="C2404" s="43" t="s">
        <v>9817</v>
      </c>
      <c r="D2404" s="38" t="s">
        <v>13042</v>
      </c>
      <c r="G2404" s="44">
        <v>3</v>
      </c>
      <c r="H2404" s="45">
        <v>10.95</v>
      </c>
      <c r="J2404" s="45">
        <v>3.65</v>
      </c>
    </row>
    <row r="2405" spans="1:11" x14ac:dyDescent="0.2">
      <c r="A2405" s="38" t="s">
        <v>7</v>
      </c>
      <c r="B2405" s="38" t="s">
        <v>9828</v>
      </c>
      <c r="C2405" s="43" t="s">
        <v>9829</v>
      </c>
      <c r="D2405" s="38" t="s">
        <v>13043</v>
      </c>
      <c r="E2405" s="44">
        <v>14</v>
      </c>
      <c r="F2405" s="45">
        <v>47.18</v>
      </c>
      <c r="G2405" s="44">
        <v>2</v>
      </c>
      <c r="H2405" s="45">
        <v>6.74</v>
      </c>
      <c r="I2405" s="45">
        <v>3.37</v>
      </c>
      <c r="J2405" s="45">
        <v>3.37</v>
      </c>
      <c r="K2405" s="46">
        <v>0</v>
      </c>
    </row>
    <row r="2406" spans="1:11" x14ac:dyDescent="0.2">
      <c r="A2406" s="38" t="s">
        <v>7</v>
      </c>
      <c r="B2406" s="38" t="s">
        <v>9830</v>
      </c>
      <c r="C2406" s="43" t="s">
        <v>9831</v>
      </c>
      <c r="D2406" s="38" t="s">
        <v>13044</v>
      </c>
      <c r="E2406" s="44">
        <v>6</v>
      </c>
      <c r="F2406" s="45">
        <v>19.559999999999999</v>
      </c>
      <c r="G2406" s="44">
        <v>1</v>
      </c>
      <c r="H2406" s="45">
        <v>3.26</v>
      </c>
      <c r="I2406" s="45">
        <v>3.26</v>
      </c>
      <c r="J2406" s="45">
        <v>3.26</v>
      </c>
      <c r="K2406" s="46">
        <v>0</v>
      </c>
    </row>
    <row r="2407" spans="1:11" x14ac:dyDescent="0.2">
      <c r="A2407" s="38" t="s">
        <v>7</v>
      </c>
      <c r="B2407" s="38" t="s">
        <v>9832</v>
      </c>
      <c r="C2407" s="43" t="s">
        <v>9833</v>
      </c>
      <c r="D2407" s="38" t="s">
        <v>12291</v>
      </c>
      <c r="G2407" s="44">
        <v>1</v>
      </c>
      <c r="H2407" s="45">
        <v>2.25</v>
      </c>
      <c r="J2407" s="45">
        <v>2.25</v>
      </c>
    </row>
    <row r="2408" spans="1:11" x14ac:dyDescent="0.2">
      <c r="A2408" s="38" t="s">
        <v>7</v>
      </c>
      <c r="B2408" s="38" t="s">
        <v>9834</v>
      </c>
      <c r="C2408" s="43" t="s">
        <v>1979</v>
      </c>
      <c r="D2408" s="38" t="s">
        <v>12289</v>
      </c>
      <c r="E2408" s="44">
        <v>19</v>
      </c>
      <c r="F2408" s="45">
        <v>54.15</v>
      </c>
      <c r="G2408" s="44">
        <v>22</v>
      </c>
      <c r="H2408" s="45">
        <v>62.7</v>
      </c>
      <c r="I2408" s="45">
        <v>2.85</v>
      </c>
      <c r="J2408" s="45">
        <v>2.85</v>
      </c>
      <c r="K2408" s="46">
        <v>0</v>
      </c>
    </row>
    <row r="2409" spans="1:11" x14ac:dyDescent="0.2">
      <c r="A2409" s="38" t="s">
        <v>7</v>
      </c>
      <c r="B2409" s="38" t="s">
        <v>9836</v>
      </c>
      <c r="C2409" s="43" t="s">
        <v>9837</v>
      </c>
      <c r="D2409" s="38" t="s">
        <v>12290</v>
      </c>
      <c r="E2409" s="44">
        <v>4</v>
      </c>
      <c r="F2409" s="45">
        <v>9</v>
      </c>
      <c r="G2409" s="44">
        <v>0</v>
      </c>
      <c r="H2409" s="45">
        <v>0</v>
      </c>
      <c r="I2409" s="45">
        <v>2.25</v>
      </c>
    </row>
    <row r="2410" spans="1:11" x14ac:dyDescent="0.2">
      <c r="A2410" s="38" t="s">
        <v>7</v>
      </c>
      <c r="B2410" s="38" t="s">
        <v>9839</v>
      </c>
      <c r="C2410" s="43" t="s">
        <v>1985</v>
      </c>
      <c r="D2410" s="38" t="s">
        <v>12291</v>
      </c>
      <c r="E2410" s="44">
        <v>91</v>
      </c>
      <c r="F2410" s="45">
        <v>204.75</v>
      </c>
      <c r="G2410" s="44">
        <v>108</v>
      </c>
      <c r="H2410" s="45">
        <v>243</v>
      </c>
      <c r="I2410" s="45">
        <v>2.25</v>
      </c>
      <c r="J2410" s="45">
        <v>2.25</v>
      </c>
      <c r="K2410" s="46">
        <v>0</v>
      </c>
    </row>
    <row r="2411" spans="1:11" x14ac:dyDescent="0.2">
      <c r="A2411" s="38" t="s">
        <v>7</v>
      </c>
      <c r="B2411" s="38" t="s">
        <v>9840</v>
      </c>
      <c r="C2411" s="43" t="s">
        <v>9841</v>
      </c>
      <c r="D2411" s="38" t="s">
        <v>13045</v>
      </c>
      <c r="E2411" s="44">
        <v>19</v>
      </c>
      <c r="F2411" s="45">
        <v>46.36</v>
      </c>
      <c r="G2411" s="44">
        <v>21</v>
      </c>
      <c r="H2411" s="45">
        <v>51.24</v>
      </c>
      <c r="I2411" s="45">
        <v>2.44</v>
      </c>
      <c r="J2411" s="45">
        <v>2.44</v>
      </c>
      <c r="K2411" s="46">
        <v>0</v>
      </c>
    </row>
    <row r="2412" spans="1:11" x14ac:dyDescent="0.2">
      <c r="A2412" s="38" t="s">
        <v>7</v>
      </c>
      <c r="B2412" s="38" t="s">
        <v>9843</v>
      </c>
      <c r="C2412" s="43" t="s">
        <v>9844</v>
      </c>
      <c r="D2412" s="38" t="s">
        <v>13046</v>
      </c>
      <c r="G2412" s="44">
        <v>10</v>
      </c>
      <c r="H2412" s="45">
        <v>40</v>
      </c>
      <c r="J2412" s="45">
        <v>4</v>
      </c>
    </row>
    <row r="2413" spans="1:11" x14ac:dyDescent="0.2">
      <c r="A2413" s="38" t="s">
        <v>7</v>
      </c>
      <c r="B2413" s="38" t="s">
        <v>9857</v>
      </c>
      <c r="C2413" s="43" t="s">
        <v>9858</v>
      </c>
      <c r="D2413" s="38" t="s">
        <v>13047</v>
      </c>
      <c r="E2413" s="44">
        <v>62</v>
      </c>
      <c r="F2413" s="45">
        <v>454.46</v>
      </c>
      <c r="G2413" s="44">
        <v>36</v>
      </c>
      <c r="H2413" s="45">
        <v>263.88</v>
      </c>
      <c r="I2413" s="45">
        <v>7.33</v>
      </c>
      <c r="J2413" s="45">
        <v>7.33</v>
      </c>
      <c r="K2413" s="46">
        <v>0</v>
      </c>
    </row>
    <row r="2414" spans="1:11" x14ac:dyDescent="0.2">
      <c r="A2414" s="38" t="s">
        <v>7</v>
      </c>
      <c r="B2414" s="38" t="s">
        <v>9859</v>
      </c>
      <c r="C2414" s="43" t="s">
        <v>9860</v>
      </c>
      <c r="D2414" s="38" t="s">
        <v>13048</v>
      </c>
      <c r="G2414" s="44">
        <v>2</v>
      </c>
      <c r="H2414" s="45">
        <v>14.5</v>
      </c>
      <c r="J2414" s="45">
        <v>7.25</v>
      </c>
    </row>
    <row r="2415" spans="1:11" x14ac:dyDescent="0.2">
      <c r="A2415" s="38" t="s">
        <v>7</v>
      </c>
      <c r="B2415" s="38" t="s">
        <v>9871</v>
      </c>
      <c r="C2415" s="43" t="s">
        <v>9872</v>
      </c>
      <c r="D2415" s="38" t="s">
        <v>13049</v>
      </c>
      <c r="E2415" s="44">
        <v>19</v>
      </c>
      <c r="F2415" s="45">
        <v>61.94</v>
      </c>
      <c r="G2415" s="44">
        <v>5</v>
      </c>
      <c r="H2415" s="45">
        <v>16.3</v>
      </c>
      <c r="I2415" s="45">
        <v>3.26</v>
      </c>
      <c r="J2415" s="45">
        <v>3.2600000000000002</v>
      </c>
      <c r="K2415" s="46">
        <v>1.3622368400308669E-16</v>
      </c>
    </row>
    <row r="2416" spans="1:11" x14ac:dyDescent="0.2">
      <c r="A2416" s="38" t="s">
        <v>7</v>
      </c>
      <c r="B2416" s="38" t="s">
        <v>9874</v>
      </c>
      <c r="C2416" s="43" t="s">
        <v>9875</v>
      </c>
      <c r="D2416" s="38" t="s">
        <v>13050</v>
      </c>
      <c r="E2416" s="44">
        <v>18</v>
      </c>
      <c r="F2416" s="45">
        <v>58.68</v>
      </c>
      <c r="G2416" s="44">
        <v>3</v>
      </c>
      <c r="H2416" s="45">
        <v>9.7799999999999994</v>
      </c>
      <c r="I2416" s="45">
        <v>3.26</v>
      </c>
      <c r="J2416" s="45">
        <v>3.26</v>
      </c>
      <c r="K2416" s="46">
        <v>0</v>
      </c>
    </row>
    <row r="2417" spans="1:11" x14ac:dyDescent="0.2">
      <c r="A2417" s="38" t="s">
        <v>7</v>
      </c>
      <c r="B2417" s="38" t="s">
        <v>9880</v>
      </c>
      <c r="C2417" s="43" t="s">
        <v>9881</v>
      </c>
      <c r="D2417" s="38" t="s">
        <v>13051</v>
      </c>
      <c r="E2417" s="44">
        <v>6</v>
      </c>
      <c r="F2417" s="45">
        <v>72.84</v>
      </c>
      <c r="G2417" s="44">
        <v>9</v>
      </c>
      <c r="H2417" s="45">
        <v>109.26</v>
      </c>
      <c r="I2417" s="45">
        <v>12.14</v>
      </c>
      <c r="J2417" s="45">
        <v>12.14</v>
      </c>
      <c r="K2417" s="46">
        <v>0</v>
      </c>
    </row>
    <row r="2418" spans="1:11" x14ac:dyDescent="0.2">
      <c r="A2418" s="38" t="s">
        <v>7</v>
      </c>
      <c r="B2418" s="38" t="s">
        <v>9888</v>
      </c>
      <c r="C2418" s="43" t="s">
        <v>9889</v>
      </c>
      <c r="D2418" s="38" t="s">
        <v>13052</v>
      </c>
      <c r="G2418" s="44">
        <v>1</v>
      </c>
      <c r="H2418" s="45">
        <v>11.4</v>
      </c>
      <c r="J2418" s="45">
        <v>11.4</v>
      </c>
    </row>
    <row r="2419" spans="1:11" x14ac:dyDescent="0.2">
      <c r="A2419" s="38" t="s">
        <v>7</v>
      </c>
      <c r="B2419" s="38" t="s">
        <v>9891</v>
      </c>
      <c r="C2419" s="43" t="s">
        <v>9892</v>
      </c>
      <c r="D2419" s="38" t="s">
        <v>13053</v>
      </c>
      <c r="E2419" s="44">
        <v>17</v>
      </c>
      <c r="F2419" s="45">
        <v>41.48</v>
      </c>
      <c r="G2419" s="44">
        <v>30</v>
      </c>
      <c r="H2419" s="45">
        <v>73.2</v>
      </c>
      <c r="I2419" s="45">
        <v>2.44</v>
      </c>
      <c r="J2419" s="45">
        <v>2.44</v>
      </c>
      <c r="K2419" s="46">
        <v>0</v>
      </c>
    </row>
    <row r="2420" spans="1:11" x14ac:dyDescent="0.2">
      <c r="A2420" s="38" t="s">
        <v>7</v>
      </c>
      <c r="B2420" s="38" t="s">
        <v>9893</v>
      </c>
      <c r="C2420" s="43" t="s">
        <v>9894</v>
      </c>
      <c r="D2420" s="38" t="s">
        <v>13054</v>
      </c>
      <c r="G2420" s="44">
        <v>2</v>
      </c>
      <c r="H2420" s="45">
        <v>19.54</v>
      </c>
      <c r="J2420" s="45">
        <v>9.77</v>
      </c>
    </row>
    <row r="2421" spans="1:11" x14ac:dyDescent="0.2">
      <c r="A2421" s="38" t="s">
        <v>7</v>
      </c>
      <c r="B2421" s="38" t="s">
        <v>9895</v>
      </c>
      <c r="C2421" s="43" t="s">
        <v>9896</v>
      </c>
      <c r="D2421" s="38" t="s">
        <v>12297</v>
      </c>
      <c r="G2421" s="44">
        <v>1</v>
      </c>
      <c r="H2421" s="45">
        <v>2</v>
      </c>
      <c r="J2421" s="45">
        <v>2</v>
      </c>
    </row>
    <row r="2422" spans="1:11" x14ac:dyDescent="0.2">
      <c r="A2422" s="38" t="s">
        <v>7</v>
      </c>
      <c r="B2422" s="38" t="s">
        <v>9904</v>
      </c>
      <c r="C2422" s="43" t="s">
        <v>9905</v>
      </c>
      <c r="D2422" s="38" t="s">
        <v>13055</v>
      </c>
      <c r="G2422" s="44">
        <v>3</v>
      </c>
      <c r="H2422" s="45">
        <v>29.31</v>
      </c>
      <c r="J2422" s="45">
        <v>9.77</v>
      </c>
    </row>
    <row r="2423" spans="1:11" x14ac:dyDescent="0.2">
      <c r="A2423" s="38" t="s">
        <v>7</v>
      </c>
      <c r="B2423" s="38" t="s">
        <v>9907</v>
      </c>
      <c r="C2423" s="43" t="s">
        <v>9908</v>
      </c>
      <c r="D2423" s="38" t="s">
        <v>13056</v>
      </c>
      <c r="E2423" s="44">
        <v>83</v>
      </c>
      <c r="F2423" s="45">
        <v>659.85</v>
      </c>
      <c r="G2423" s="44">
        <v>33</v>
      </c>
      <c r="H2423" s="45">
        <v>262.35000000000002</v>
      </c>
      <c r="I2423" s="45">
        <v>7.95</v>
      </c>
      <c r="J2423" s="45">
        <v>7.9500000000000011</v>
      </c>
      <c r="K2423" s="46">
        <v>1.1172055593712267E-16</v>
      </c>
    </row>
    <row r="2424" spans="1:11" x14ac:dyDescent="0.2">
      <c r="A2424" s="38" t="s">
        <v>7</v>
      </c>
      <c r="B2424" s="38" t="s">
        <v>9914</v>
      </c>
      <c r="C2424" s="43" t="s">
        <v>9915</v>
      </c>
      <c r="D2424" s="38" t="s">
        <v>13057</v>
      </c>
      <c r="E2424" s="44">
        <v>28</v>
      </c>
      <c r="F2424" s="45">
        <v>112</v>
      </c>
      <c r="G2424" s="44">
        <v>29</v>
      </c>
      <c r="H2424" s="45">
        <v>116</v>
      </c>
      <c r="I2424" s="45">
        <v>4</v>
      </c>
      <c r="J2424" s="45">
        <v>4</v>
      </c>
      <c r="K2424" s="46">
        <v>0</v>
      </c>
    </row>
    <row r="2425" spans="1:11" x14ac:dyDescent="0.2">
      <c r="A2425" s="38" t="s">
        <v>7</v>
      </c>
      <c r="B2425" s="38" t="s">
        <v>9917</v>
      </c>
      <c r="C2425" s="43" t="s">
        <v>9918</v>
      </c>
      <c r="D2425" s="38" t="s">
        <v>13058</v>
      </c>
      <c r="E2425" s="44">
        <v>1</v>
      </c>
      <c r="F2425" s="45">
        <v>5.7</v>
      </c>
      <c r="G2425" s="44">
        <v>1</v>
      </c>
      <c r="H2425" s="45">
        <v>5.7</v>
      </c>
      <c r="I2425" s="45">
        <v>5.7</v>
      </c>
      <c r="J2425" s="45">
        <v>5.7</v>
      </c>
      <c r="K2425" s="46">
        <v>0</v>
      </c>
    </row>
    <row r="2426" spans="1:11" x14ac:dyDescent="0.2">
      <c r="A2426" s="38" t="s">
        <v>7</v>
      </c>
      <c r="B2426" s="38" t="s">
        <v>9919</v>
      </c>
      <c r="C2426" s="43" t="s">
        <v>9920</v>
      </c>
      <c r="D2426" s="38" t="s">
        <v>13059</v>
      </c>
      <c r="G2426" s="44">
        <v>7</v>
      </c>
      <c r="H2426" s="45">
        <v>81.27</v>
      </c>
      <c r="J2426" s="45">
        <v>11.61</v>
      </c>
    </row>
    <row r="2427" spans="1:11" x14ac:dyDescent="0.2">
      <c r="A2427" s="38" t="s">
        <v>7</v>
      </c>
      <c r="B2427" s="38" t="s">
        <v>9924</v>
      </c>
      <c r="C2427" s="43" t="s">
        <v>9925</v>
      </c>
      <c r="D2427" s="38" t="s">
        <v>13060</v>
      </c>
      <c r="E2427" s="44">
        <v>165</v>
      </c>
      <c r="F2427" s="45">
        <v>495</v>
      </c>
      <c r="G2427" s="44">
        <v>118</v>
      </c>
      <c r="H2427" s="45">
        <v>354</v>
      </c>
      <c r="I2427" s="45">
        <v>3</v>
      </c>
      <c r="J2427" s="45">
        <v>3</v>
      </c>
      <c r="K2427" s="46">
        <v>0</v>
      </c>
    </row>
    <row r="2428" spans="1:11" x14ac:dyDescent="0.2">
      <c r="A2428" s="38" t="s">
        <v>7</v>
      </c>
      <c r="B2428" s="38" t="s">
        <v>9927</v>
      </c>
      <c r="C2428" s="43" t="s">
        <v>9928</v>
      </c>
      <c r="D2428" s="38" t="s">
        <v>13061</v>
      </c>
      <c r="E2428" s="44">
        <v>5</v>
      </c>
      <c r="F2428" s="45">
        <v>61.1</v>
      </c>
      <c r="G2428" s="44">
        <v>4</v>
      </c>
      <c r="H2428" s="45">
        <v>48.88</v>
      </c>
      <c r="I2428" s="45">
        <v>12.22</v>
      </c>
      <c r="J2428" s="45">
        <v>12.22</v>
      </c>
      <c r="K2428" s="46">
        <v>0</v>
      </c>
    </row>
    <row r="2429" spans="1:11" x14ac:dyDescent="0.2">
      <c r="A2429" s="38" t="s">
        <v>7</v>
      </c>
      <c r="B2429" s="38" t="s">
        <v>9953</v>
      </c>
      <c r="C2429" s="43" t="s">
        <v>9954</v>
      </c>
      <c r="D2429" s="38" t="s">
        <v>13062</v>
      </c>
      <c r="E2429" s="44">
        <v>3</v>
      </c>
      <c r="F2429" s="45">
        <v>42.3</v>
      </c>
      <c r="G2429" s="44">
        <v>8</v>
      </c>
      <c r="H2429" s="45">
        <v>112.8</v>
      </c>
      <c r="I2429" s="45">
        <v>14.1</v>
      </c>
      <c r="J2429" s="45">
        <v>14.1</v>
      </c>
      <c r="K2429" s="46">
        <v>0</v>
      </c>
    </row>
    <row r="2430" spans="1:11" x14ac:dyDescent="0.2">
      <c r="A2430" s="38" t="s">
        <v>7</v>
      </c>
      <c r="B2430" s="38" t="s">
        <v>9955</v>
      </c>
      <c r="C2430" s="43" t="s">
        <v>9956</v>
      </c>
      <c r="D2430" s="38" t="s">
        <v>13063</v>
      </c>
      <c r="E2430" s="44">
        <v>1</v>
      </c>
      <c r="F2430" s="45">
        <v>16</v>
      </c>
      <c r="G2430" s="44">
        <v>3</v>
      </c>
      <c r="H2430" s="45">
        <v>48</v>
      </c>
      <c r="I2430" s="45">
        <v>16</v>
      </c>
      <c r="J2430" s="45">
        <v>16</v>
      </c>
      <c r="K2430" s="46">
        <v>0</v>
      </c>
    </row>
    <row r="2431" spans="1:11" x14ac:dyDescent="0.2">
      <c r="A2431" s="38" t="s">
        <v>7</v>
      </c>
      <c r="B2431" s="38" t="s">
        <v>9960</v>
      </c>
      <c r="C2431" s="43" t="s">
        <v>9961</v>
      </c>
      <c r="D2431" s="38" t="s">
        <v>13064</v>
      </c>
      <c r="E2431" s="44">
        <v>4</v>
      </c>
      <c r="F2431" s="45">
        <v>48.88</v>
      </c>
      <c r="G2431" s="44">
        <v>6</v>
      </c>
      <c r="H2431" s="45">
        <v>73.319999999999993</v>
      </c>
      <c r="I2431" s="45">
        <v>12.22</v>
      </c>
      <c r="J2431" s="45">
        <v>12.219999999999999</v>
      </c>
      <c r="K2431" s="46">
        <v>-1.4536471680853112E-16</v>
      </c>
    </row>
    <row r="2432" spans="1:11" x14ac:dyDescent="0.2">
      <c r="A2432" s="38" t="s">
        <v>7</v>
      </c>
      <c r="B2432" s="38" t="s">
        <v>9963</v>
      </c>
      <c r="C2432" s="43" t="s">
        <v>9964</v>
      </c>
      <c r="D2432" s="38" t="s">
        <v>13065</v>
      </c>
      <c r="E2432" s="44">
        <v>5</v>
      </c>
      <c r="F2432" s="45">
        <v>72.5</v>
      </c>
      <c r="G2432" s="44">
        <v>9</v>
      </c>
      <c r="H2432" s="45">
        <v>130.5</v>
      </c>
      <c r="I2432" s="45">
        <v>14.5</v>
      </c>
      <c r="J2432" s="45">
        <v>14.5</v>
      </c>
      <c r="K2432" s="46">
        <v>0</v>
      </c>
    </row>
    <row r="2433" spans="1:11" x14ac:dyDescent="0.2">
      <c r="A2433" s="38" t="s">
        <v>7</v>
      </c>
      <c r="B2433" s="38" t="s">
        <v>9966</v>
      </c>
      <c r="C2433" s="43" t="s">
        <v>9967</v>
      </c>
      <c r="D2433" s="38" t="s">
        <v>13066</v>
      </c>
      <c r="G2433" s="44">
        <v>1</v>
      </c>
      <c r="H2433" s="45">
        <v>195</v>
      </c>
      <c r="J2433" s="45">
        <v>195</v>
      </c>
    </row>
    <row r="2434" spans="1:11" x14ac:dyDescent="0.2">
      <c r="A2434" s="38" t="s">
        <v>7</v>
      </c>
      <c r="B2434" s="38" t="s">
        <v>9975</v>
      </c>
      <c r="C2434" s="43" t="s">
        <v>9976</v>
      </c>
      <c r="D2434" s="38" t="s">
        <v>13067</v>
      </c>
      <c r="E2434" s="44">
        <v>6</v>
      </c>
      <c r="F2434" s="45">
        <v>142.97999999999999</v>
      </c>
      <c r="G2434" s="44">
        <v>5</v>
      </c>
      <c r="H2434" s="45">
        <v>119.15</v>
      </c>
      <c r="I2434" s="45">
        <v>23.83</v>
      </c>
      <c r="J2434" s="45">
        <v>23.830000000000002</v>
      </c>
      <c r="K2434" s="46">
        <v>1.4908576075537144E-16</v>
      </c>
    </row>
    <row r="2435" spans="1:11" x14ac:dyDescent="0.2">
      <c r="A2435" s="38" t="s">
        <v>7</v>
      </c>
      <c r="B2435" s="38" t="s">
        <v>9978</v>
      </c>
      <c r="C2435" s="43" t="s">
        <v>9979</v>
      </c>
      <c r="D2435" s="38" t="s">
        <v>13068</v>
      </c>
      <c r="G2435" s="44">
        <v>1</v>
      </c>
      <c r="H2435" s="45">
        <v>10</v>
      </c>
      <c r="J2435" s="45">
        <v>10</v>
      </c>
    </row>
    <row r="2436" spans="1:11" x14ac:dyDescent="0.2">
      <c r="A2436" s="38" t="s">
        <v>7</v>
      </c>
      <c r="B2436" s="38" t="s">
        <v>9980</v>
      </c>
      <c r="C2436" s="43" t="s">
        <v>2036</v>
      </c>
      <c r="D2436" s="38" t="s">
        <v>12085</v>
      </c>
      <c r="G2436" s="44">
        <v>1</v>
      </c>
      <c r="H2436" s="45">
        <v>3.03</v>
      </c>
      <c r="J2436" s="45">
        <v>3.03</v>
      </c>
    </row>
    <row r="2437" spans="1:11" x14ac:dyDescent="0.2">
      <c r="A2437" s="38" t="s">
        <v>7</v>
      </c>
      <c r="B2437" s="38" t="s">
        <v>9981</v>
      </c>
      <c r="C2437" s="43" t="s">
        <v>9982</v>
      </c>
      <c r="D2437" s="38" t="s">
        <v>13069</v>
      </c>
      <c r="E2437" s="44">
        <v>5</v>
      </c>
      <c r="F2437" s="45">
        <v>23.55</v>
      </c>
      <c r="G2437" s="44">
        <v>8</v>
      </c>
      <c r="H2437" s="45">
        <v>37.68</v>
      </c>
      <c r="I2437" s="45">
        <v>4.71</v>
      </c>
      <c r="J2437" s="45">
        <v>4.71</v>
      </c>
      <c r="K2437" s="46">
        <v>0</v>
      </c>
    </row>
    <row r="2438" spans="1:11" x14ac:dyDescent="0.2">
      <c r="A2438" s="38" t="s">
        <v>7</v>
      </c>
      <c r="B2438" s="38" t="s">
        <v>9987</v>
      </c>
      <c r="C2438" s="43" t="s">
        <v>9988</v>
      </c>
      <c r="D2438" s="38" t="s">
        <v>13069</v>
      </c>
      <c r="E2438" s="44">
        <v>7</v>
      </c>
      <c r="F2438" s="45">
        <v>114.03</v>
      </c>
      <c r="G2438" s="44">
        <v>9</v>
      </c>
      <c r="H2438" s="45">
        <v>146.61000000000001</v>
      </c>
      <c r="I2438" s="45">
        <v>16.29</v>
      </c>
      <c r="J2438" s="45">
        <v>16.290000000000003</v>
      </c>
      <c r="K2438" s="46">
        <v>2.1809169298959491E-16</v>
      </c>
    </row>
    <row r="2439" spans="1:11" x14ac:dyDescent="0.2">
      <c r="A2439" s="38" t="s">
        <v>7</v>
      </c>
      <c r="B2439" s="38" t="s">
        <v>9989</v>
      </c>
      <c r="C2439" s="43" t="s">
        <v>9990</v>
      </c>
      <c r="D2439" s="38" t="s">
        <v>13070</v>
      </c>
      <c r="E2439" s="44">
        <v>11</v>
      </c>
      <c r="F2439" s="45">
        <v>179.19</v>
      </c>
      <c r="G2439" s="44">
        <v>13</v>
      </c>
      <c r="H2439" s="45">
        <v>211.77</v>
      </c>
      <c r="I2439" s="45">
        <v>16.29</v>
      </c>
      <c r="J2439" s="45">
        <v>16.29</v>
      </c>
      <c r="K2439" s="46">
        <v>0</v>
      </c>
    </row>
    <row r="2440" spans="1:11" x14ac:dyDescent="0.2">
      <c r="A2440" s="38" t="s">
        <v>7</v>
      </c>
      <c r="B2440" s="38" t="s">
        <v>9992</v>
      </c>
      <c r="C2440" s="43" t="s">
        <v>9993</v>
      </c>
      <c r="D2440" s="38" t="s">
        <v>13015</v>
      </c>
      <c r="E2440" s="44">
        <v>10</v>
      </c>
      <c r="F2440" s="45">
        <v>162.9</v>
      </c>
      <c r="G2440" s="44">
        <v>13</v>
      </c>
      <c r="H2440" s="45">
        <v>211.77</v>
      </c>
      <c r="I2440" s="45">
        <v>16.29</v>
      </c>
      <c r="J2440" s="45">
        <v>16.29</v>
      </c>
      <c r="K2440" s="46">
        <v>0</v>
      </c>
    </row>
    <row r="2441" spans="1:11" x14ac:dyDescent="0.2">
      <c r="A2441" s="38" t="s">
        <v>7</v>
      </c>
      <c r="B2441" s="38" t="s">
        <v>9996</v>
      </c>
      <c r="C2441" s="43" t="s">
        <v>9997</v>
      </c>
      <c r="D2441" s="38" t="s">
        <v>13071</v>
      </c>
      <c r="E2441" s="44">
        <v>19</v>
      </c>
      <c r="F2441" s="45">
        <v>146.49</v>
      </c>
      <c r="G2441" s="44">
        <v>26</v>
      </c>
      <c r="H2441" s="45">
        <v>200.46</v>
      </c>
      <c r="I2441" s="45">
        <v>7.7100000000000009</v>
      </c>
      <c r="J2441" s="45">
        <v>7.71</v>
      </c>
      <c r="K2441" s="46">
        <v>-1.1519823861220819E-16</v>
      </c>
    </row>
    <row r="2442" spans="1:11" x14ac:dyDescent="0.2">
      <c r="A2442" s="38" t="s">
        <v>7</v>
      </c>
      <c r="B2442" s="38" t="s">
        <v>10001</v>
      </c>
      <c r="C2442" s="43" t="s">
        <v>10002</v>
      </c>
      <c r="D2442" s="38" t="s">
        <v>13015</v>
      </c>
      <c r="E2442" s="44">
        <v>2</v>
      </c>
      <c r="F2442" s="45">
        <v>59.9</v>
      </c>
      <c r="G2442" s="44">
        <v>3</v>
      </c>
      <c r="H2442" s="45">
        <v>89.85</v>
      </c>
      <c r="I2442" s="45">
        <v>29.95</v>
      </c>
      <c r="J2442" s="45">
        <v>29.95</v>
      </c>
      <c r="K2442" s="46">
        <v>0</v>
      </c>
    </row>
    <row r="2443" spans="1:11" x14ac:dyDescent="0.2">
      <c r="A2443" s="38" t="s">
        <v>7</v>
      </c>
      <c r="B2443" s="38" t="s">
        <v>10011</v>
      </c>
      <c r="C2443" s="43" t="s">
        <v>2254</v>
      </c>
      <c r="D2443" s="38" t="s">
        <v>12341</v>
      </c>
      <c r="E2443" s="44">
        <v>55</v>
      </c>
      <c r="F2443" s="45">
        <v>174.9</v>
      </c>
      <c r="G2443" s="44">
        <v>52</v>
      </c>
      <c r="H2443" s="45">
        <v>165.36</v>
      </c>
      <c r="I2443" s="45">
        <v>3.18</v>
      </c>
      <c r="J2443" s="45">
        <v>3.18</v>
      </c>
      <c r="K2443" s="46">
        <v>0</v>
      </c>
    </row>
    <row r="2444" spans="1:11" x14ac:dyDescent="0.2">
      <c r="A2444" s="38" t="s">
        <v>7</v>
      </c>
      <c r="B2444" s="38" t="s">
        <v>10012</v>
      </c>
      <c r="C2444" s="43" t="s">
        <v>10013</v>
      </c>
      <c r="D2444" s="38" t="s">
        <v>13072</v>
      </c>
      <c r="G2444" s="44">
        <v>7</v>
      </c>
      <c r="H2444" s="45">
        <v>74.62</v>
      </c>
      <c r="J2444" s="45">
        <v>10.66</v>
      </c>
    </row>
    <row r="2445" spans="1:11" x14ac:dyDescent="0.2">
      <c r="A2445" s="38" t="s">
        <v>7</v>
      </c>
      <c r="B2445" s="38" t="s">
        <v>10014</v>
      </c>
      <c r="C2445" s="43" t="s">
        <v>10015</v>
      </c>
      <c r="D2445" s="38" t="s">
        <v>13073</v>
      </c>
      <c r="E2445" s="44">
        <v>40</v>
      </c>
      <c r="F2445" s="45">
        <v>97.6</v>
      </c>
      <c r="G2445" s="44">
        <v>28</v>
      </c>
      <c r="H2445" s="45">
        <v>68.319999999999993</v>
      </c>
      <c r="I2445" s="45">
        <v>2.44</v>
      </c>
      <c r="J2445" s="45">
        <v>2.44</v>
      </c>
      <c r="K2445" s="46">
        <v>0</v>
      </c>
    </row>
    <row r="2446" spans="1:11" x14ac:dyDescent="0.2">
      <c r="A2446" s="38" t="s">
        <v>7</v>
      </c>
      <c r="B2446" s="38" t="s">
        <v>10017</v>
      </c>
      <c r="C2446" s="43" t="s">
        <v>10018</v>
      </c>
      <c r="D2446" s="38" t="s">
        <v>13074</v>
      </c>
      <c r="G2446" s="44">
        <v>1</v>
      </c>
      <c r="H2446" s="45">
        <v>3.26</v>
      </c>
      <c r="J2446" s="45">
        <v>3.26</v>
      </c>
    </row>
    <row r="2447" spans="1:11" x14ac:dyDescent="0.2">
      <c r="A2447" s="38" t="s">
        <v>7</v>
      </c>
      <c r="B2447" s="38" t="s">
        <v>10020</v>
      </c>
      <c r="C2447" s="43" t="s">
        <v>10021</v>
      </c>
      <c r="D2447" s="38" t="s">
        <v>13075</v>
      </c>
      <c r="E2447" s="44">
        <v>2</v>
      </c>
      <c r="F2447" s="45">
        <v>7.34</v>
      </c>
      <c r="G2447" s="44">
        <v>0</v>
      </c>
      <c r="H2447" s="45">
        <v>0</v>
      </c>
      <c r="I2447" s="45">
        <v>3.67</v>
      </c>
    </row>
    <row r="2448" spans="1:11" x14ac:dyDescent="0.2">
      <c r="A2448" s="38" t="s">
        <v>7</v>
      </c>
      <c r="B2448" s="38" t="s">
        <v>10026</v>
      </c>
      <c r="C2448" s="43" t="s">
        <v>10027</v>
      </c>
      <c r="D2448" s="38" t="s">
        <v>13076</v>
      </c>
      <c r="G2448" s="44">
        <v>11</v>
      </c>
      <c r="H2448" s="45">
        <v>49.5</v>
      </c>
      <c r="J2448" s="45">
        <v>4.5</v>
      </c>
    </row>
    <row r="2449" spans="1:11" x14ac:dyDescent="0.2">
      <c r="A2449" s="38" t="s">
        <v>7</v>
      </c>
      <c r="B2449" s="38" t="s">
        <v>10032</v>
      </c>
      <c r="C2449" s="43" t="s">
        <v>10033</v>
      </c>
      <c r="D2449" s="38" t="s">
        <v>13077</v>
      </c>
      <c r="G2449" s="44">
        <v>7</v>
      </c>
      <c r="H2449" s="45">
        <v>28.49</v>
      </c>
      <c r="J2449" s="45">
        <v>4.0699999999999994</v>
      </c>
    </row>
    <row r="2450" spans="1:11" x14ac:dyDescent="0.2">
      <c r="A2450" s="38" t="s">
        <v>7</v>
      </c>
      <c r="B2450" s="38" t="s">
        <v>10035</v>
      </c>
      <c r="C2450" s="43" t="s">
        <v>10036</v>
      </c>
      <c r="D2450" s="38" t="s">
        <v>13077</v>
      </c>
      <c r="G2450" s="44">
        <v>1</v>
      </c>
      <c r="H2450" s="45">
        <v>4.07</v>
      </c>
      <c r="J2450" s="45">
        <v>4.07</v>
      </c>
    </row>
    <row r="2451" spans="1:11" x14ac:dyDescent="0.2">
      <c r="A2451" s="38" t="s">
        <v>7</v>
      </c>
      <c r="B2451" s="38" t="s">
        <v>10037</v>
      </c>
      <c r="C2451" s="43" t="s">
        <v>10038</v>
      </c>
      <c r="D2451" s="38" t="s">
        <v>13078</v>
      </c>
      <c r="G2451" s="44">
        <v>1</v>
      </c>
      <c r="H2451" s="45">
        <v>8.5500000000000007</v>
      </c>
      <c r="J2451" s="45">
        <v>8.5500000000000007</v>
      </c>
    </row>
    <row r="2452" spans="1:11" x14ac:dyDescent="0.2">
      <c r="A2452" s="38" t="s">
        <v>7</v>
      </c>
      <c r="B2452" s="38" t="s">
        <v>10040</v>
      </c>
      <c r="C2452" s="43" t="s">
        <v>10041</v>
      </c>
      <c r="D2452" s="38" t="s">
        <v>13077</v>
      </c>
      <c r="G2452" s="44">
        <v>7</v>
      </c>
      <c r="H2452" s="45">
        <v>28.49</v>
      </c>
      <c r="J2452" s="45">
        <v>4.0699999999999994</v>
      </c>
    </row>
    <row r="2453" spans="1:11" x14ac:dyDescent="0.2">
      <c r="A2453" s="38" t="s">
        <v>7</v>
      </c>
      <c r="B2453" s="38" t="s">
        <v>10042</v>
      </c>
      <c r="C2453" s="43" t="s">
        <v>10043</v>
      </c>
      <c r="D2453" s="38" t="s">
        <v>13079</v>
      </c>
      <c r="E2453" s="44">
        <v>54</v>
      </c>
      <c r="F2453" s="45">
        <v>213.84</v>
      </c>
      <c r="G2453" s="44">
        <v>49</v>
      </c>
      <c r="H2453" s="45">
        <v>194.04</v>
      </c>
      <c r="I2453" s="45">
        <v>3.96</v>
      </c>
      <c r="J2453" s="45">
        <v>3.96</v>
      </c>
      <c r="K2453" s="46">
        <v>0</v>
      </c>
    </row>
    <row r="2454" spans="1:11" x14ac:dyDescent="0.2">
      <c r="A2454" s="38" t="s">
        <v>7</v>
      </c>
      <c r="B2454" s="38" t="s">
        <v>10050</v>
      </c>
      <c r="C2454" s="43" t="s">
        <v>10051</v>
      </c>
      <c r="D2454" s="38" t="s">
        <v>13080</v>
      </c>
      <c r="G2454" s="44">
        <v>1</v>
      </c>
      <c r="H2454" s="45">
        <v>6.74</v>
      </c>
      <c r="J2454" s="45">
        <v>6.74</v>
      </c>
    </row>
    <row r="2455" spans="1:11" x14ac:dyDescent="0.2">
      <c r="A2455" s="38" t="s">
        <v>7</v>
      </c>
      <c r="B2455" s="38" t="s">
        <v>10056</v>
      </c>
      <c r="C2455" s="43" t="s">
        <v>10057</v>
      </c>
      <c r="D2455" s="38" t="s">
        <v>13081</v>
      </c>
      <c r="E2455" s="44">
        <v>2</v>
      </c>
      <c r="F2455" s="45">
        <v>24.44</v>
      </c>
      <c r="G2455" s="44">
        <v>0</v>
      </c>
      <c r="H2455" s="45">
        <v>0</v>
      </c>
      <c r="I2455" s="45">
        <v>12.22</v>
      </c>
    </row>
    <row r="2456" spans="1:11" x14ac:dyDescent="0.2">
      <c r="A2456" s="38" t="s">
        <v>7</v>
      </c>
      <c r="B2456" s="38" t="s">
        <v>10066</v>
      </c>
      <c r="C2456" s="43" t="s">
        <v>10067</v>
      </c>
      <c r="D2456" s="38" t="s">
        <v>13082</v>
      </c>
      <c r="E2456" s="44">
        <v>14</v>
      </c>
      <c r="F2456" s="45">
        <v>79.8</v>
      </c>
      <c r="G2456" s="44">
        <v>10</v>
      </c>
      <c r="H2456" s="45">
        <v>57</v>
      </c>
      <c r="I2456" s="45">
        <v>5.7</v>
      </c>
      <c r="J2456" s="45">
        <v>5.7</v>
      </c>
      <c r="K2456" s="46">
        <v>0</v>
      </c>
    </row>
    <row r="2457" spans="1:11" x14ac:dyDescent="0.2">
      <c r="A2457" s="38" t="s">
        <v>7</v>
      </c>
      <c r="B2457" s="38" t="s">
        <v>10069</v>
      </c>
      <c r="C2457" s="43" t="s">
        <v>10070</v>
      </c>
      <c r="D2457" s="38" t="s">
        <v>13083</v>
      </c>
      <c r="G2457" s="44">
        <v>4</v>
      </c>
      <c r="H2457" s="45">
        <v>32</v>
      </c>
      <c r="J2457" s="45">
        <v>8</v>
      </c>
    </row>
    <row r="2458" spans="1:11" x14ac:dyDescent="0.2">
      <c r="A2458" s="38" t="s">
        <v>7</v>
      </c>
      <c r="B2458" s="38" t="s">
        <v>10078</v>
      </c>
      <c r="C2458" s="43" t="s">
        <v>10079</v>
      </c>
      <c r="D2458" s="38" t="s">
        <v>13084</v>
      </c>
      <c r="G2458" s="44">
        <v>1</v>
      </c>
      <c r="H2458" s="45">
        <v>11.4</v>
      </c>
      <c r="J2458" s="45">
        <v>11.4</v>
      </c>
    </row>
    <row r="2459" spans="1:11" x14ac:dyDescent="0.2">
      <c r="A2459" s="38" t="s">
        <v>7</v>
      </c>
      <c r="B2459" s="38" t="s">
        <v>10085</v>
      </c>
      <c r="C2459" s="43" t="s">
        <v>10086</v>
      </c>
      <c r="D2459" s="38" t="s">
        <v>13085</v>
      </c>
      <c r="E2459" s="44">
        <v>1</v>
      </c>
      <c r="F2459" s="45">
        <v>25.81</v>
      </c>
      <c r="G2459" s="44">
        <v>0</v>
      </c>
      <c r="H2459" s="45">
        <v>0</v>
      </c>
      <c r="I2459" s="45">
        <v>25.81</v>
      </c>
    </row>
    <row r="2460" spans="1:11" x14ac:dyDescent="0.2">
      <c r="A2460" s="38" t="s">
        <v>7</v>
      </c>
      <c r="B2460" s="38" t="s">
        <v>10088</v>
      </c>
      <c r="C2460" s="43" t="s">
        <v>10089</v>
      </c>
      <c r="D2460" s="38" t="s">
        <v>13083</v>
      </c>
      <c r="G2460" s="44">
        <v>1</v>
      </c>
      <c r="H2460" s="45">
        <v>4.7699999999999996</v>
      </c>
      <c r="J2460" s="45">
        <v>4.7699999999999996</v>
      </c>
    </row>
    <row r="2461" spans="1:11" x14ac:dyDescent="0.2">
      <c r="A2461" s="38" t="s">
        <v>7</v>
      </c>
      <c r="B2461" s="38" t="s">
        <v>10090</v>
      </c>
      <c r="C2461" s="43" t="s">
        <v>10091</v>
      </c>
      <c r="D2461" s="38" t="s">
        <v>13085</v>
      </c>
      <c r="G2461" s="44">
        <v>2</v>
      </c>
      <c r="H2461" s="45">
        <v>26.98</v>
      </c>
      <c r="J2461" s="45">
        <v>13.49</v>
      </c>
    </row>
    <row r="2462" spans="1:11" x14ac:dyDescent="0.2">
      <c r="A2462" s="38" t="s">
        <v>7</v>
      </c>
      <c r="B2462" s="38" t="s">
        <v>10092</v>
      </c>
      <c r="C2462" s="43" t="s">
        <v>10093</v>
      </c>
      <c r="D2462" s="38" t="s">
        <v>13083</v>
      </c>
      <c r="G2462" s="44">
        <v>1</v>
      </c>
      <c r="H2462" s="45">
        <v>4.7699999999999996</v>
      </c>
      <c r="J2462" s="45">
        <v>4.7699999999999996</v>
      </c>
    </row>
    <row r="2463" spans="1:11" x14ac:dyDescent="0.2">
      <c r="A2463" s="38" t="s">
        <v>7</v>
      </c>
      <c r="B2463" s="38" t="s">
        <v>10094</v>
      </c>
      <c r="C2463" s="43" t="s">
        <v>2080</v>
      </c>
      <c r="D2463" s="38" t="s">
        <v>12319</v>
      </c>
      <c r="E2463" s="44">
        <v>3</v>
      </c>
      <c r="F2463" s="45">
        <v>7.05</v>
      </c>
      <c r="G2463" s="44">
        <v>0</v>
      </c>
      <c r="H2463" s="45">
        <v>0</v>
      </c>
      <c r="I2463" s="45">
        <v>2.35</v>
      </c>
    </row>
    <row r="2464" spans="1:11" x14ac:dyDescent="0.2">
      <c r="A2464" s="38" t="s">
        <v>7</v>
      </c>
      <c r="B2464" s="38" t="s">
        <v>10095</v>
      </c>
      <c r="C2464" s="43" t="s">
        <v>10096</v>
      </c>
      <c r="D2464" s="38" t="s">
        <v>13086</v>
      </c>
      <c r="E2464" s="44">
        <v>9</v>
      </c>
      <c r="F2464" s="45">
        <v>45</v>
      </c>
      <c r="G2464" s="44">
        <v>7</v>
      </c>
      <c r="H2464" s="45">
        <v>35</v>
      </c>
      <c r="I2464" s="45">
        <v>5</v>
      </c>
      <c r="J2464" s="45">
        <v>5</v>
      </c>
      <c r="K2464" s="46">
        <v>0</v>
      </c>
    </row>
    <row r="2465" spans="1:11" x14ac:dyDescent="0.2">
      <c r="A2465" s="38" t="s">
        <v>7</v>
      </c>
      <c r="B2465" s="38" t="s">
        <v>10098</v>
      </c>
      <c r="C2465" s="43" t="s">
        <v>10099</v>
      </c>
      <c r="D2465" s="38" t="s">
        <v>13087</v>
      </c>
      <c r="E2465" s="44">
        <v>6</v>
      </c>
      <c r="F2465" s="45">
        <v>14.1</v>
      </c>
      <c r="G2465" s="44">
        <v>7</v>
      </c>
      <c r="H2465" s="45">
        <v>16.45</v>
      </c>
      <c r="I2465" s="45">
        <v>2.35</v>
      </c>
      <c r="J2465" s="45">
        <v>2.35</v>
      </c>
      <c r="K2465" s="46">
        <v>0</v>
      </c>
    </row>
    <row r="2466" spans="1:11" x14ac:dyDescent="0.2">
      <c r="A2466" s="38" t="s">
        <v>7</v>
      </c>
      <c r="B2466" s="38" t="s">
        <v>10101</v>
      </c>
      <c r="C2466" s="43" t="s">
        <v>10102</v>
      </c>
      <c r="D2466" s="38" t="s">
        <v>13088</v>
      </c>
      <c r="E2466" s="44">
        <v>13</v>
      </c>
      <c r="F2466" s="45">
        <v>45.5</v>
      </c>
      <c r="G2466" s="44">
        <v>10</v>
      </c>
      <c r="H2466" s="45">
        <v>35</v>
      </c>
      <c r="I2466" s="45">
        <v>3.5</v>
      </c>
      <c r="J2466" s="45">
        <v>3.5</v>
      </c>
      <c r="K2466" s="46">
        <v>0</v>
      </c>
    </row>
    <row r="2467" spans="1:11" x14ac:dyDescent="0.2">
      <c r="A2467" s="38" t="s">
        <v>7</v>
      </c>
      <c r="B2467" s="38" t="s">
        <v>10104</v>
      </c>
      <c r="C2467" s="43" t="s">
        <v>10105</v>
      </c>
      <c r="D2467" s="38" t="s">
        <v>13089</v>
      </c>
      <c r="E2467" s="44">
        <v>7</v>
      </c>
      <c r="F2467" s="45">
        <v>19.739999999999998</v>
      </c>
      <c r="G2467" s="44">
        <v>4</v>
      </c>
      <c r="H2467" s="45">
        <v>11.28</v>
      </c>
      <c r="I2467" s="45">
        <v>2.82</v>
      </c>
      <c r="J2467" s="45">
        <v>2.82</v>
      </c>
      <c r="K2467" s="46">
        <v>0</v>
      </c>
    </row>
    <row r="2468" spans="1:11" x14ac:dyDescent="0.2">
      <c r="A2468" s="38" t="s">
        <v>7</v>
      </c>
      <c r="B2468" s="38" t="s">
        <v>10107</v>
      </c>
      <c r="C2468" s="43" t="s">
        <v>10108</v>
      </c>
      <c r="D2468" s="38" t="s">
        <v>13090</v>
      </c>
      <c r="G2468" s="44">
        <v>1</v>
      </c>
      <c r="H2468" s="45">
        <v>12.01</v>
      </c>
      <c r="J2468" s="45">
        <v>12.01</v>
      </c>
    </row>
    <row r="2469" spans="1:11" x14ac:dyDescent="0.2">
      <c r="A2469" s="38" t="s">
        <v>7</v>
      </c>
      <c r="B2469" s="38" t="s">
        <v>10113</v>
      </c>
      <c r="C2469" s="43" t="s">
        <v>10114</v>
      </c>
      <c r="D2469" s="38" t="s">
        <v>13091</v>
      </c>
      <c r="E2469" s="44">
        <v>11</v>
      </c>
      <c r="F2469" s="45">
        <v>51.7</v>
      </c>
      <c r="G2469" s="44">
        <v>30</v>
      </c>
      <c r="H2469" s="45">
        <v>141</v>
      </c>
      <c r="I2469" s="45">
        <v>4.7</v>
      </c>
      <c r="J2469" s="45">
        <v>4.7</v>
      </c>
      <c r="K2469" s="46">
        <v>0</v>
      </c>
    </row>
    <row r="2470" spans="1:11" x14ac:dyDescent="0.2">
      <c r="A2470" s="38" t="s">
        <v>7</v>
      </c>
      <c r="B2470" s="38" t="s">
        <v>10116</v>
      </c>
      <c r="C2470" s="43" t="s">
        <v>9427</v>
      </c>
      <c r="D2470" s="38" t="s">
        <v>13092</v>
      </c>
      <c r="E2470" s="44">
        <v>44</v>
      </c>
      <c r="F2470" s="45">
        <v>228.36</v>
      </c>
      <c r="G2470" s="44">
        <v>29</v>
      </c>
      <c r="H2470" s="45">
        <v>150.51</v>
      </c>
      <c r="I2470" s="45">
        <v>5.19</v>
      </c>
      <c r="J2470" s="45">
        <v>5.1899999999999995</v>
      </c>
      <c r="K2470" s="46">
        <v>-1.7113264348750003E-16</v>
      </c>
    </row>
    <row r="2471" spans="1:11" x14ac:dyDescent="0.2">
      <c r="A2471" s="38" t="s">
        <v>7</v>
      </c>
      <c r="B2471" s="38" t="s">
        <v>10120</v>
      </c>
      <c r="C2471" s="43" t="s">
        <v>10121</v>
      </c>
      <c r="D2471" s="38" t="s">
        <v>13093</v>
      </c>
      <c r="E2471" s="44">
        <v>61</v>
      </c>
      <c r="F2471" s="45">
        <v>148.84</v>
      </c>
      <c r="G2471" s="44">
        <v>36</v>
      </c>
      <c r="H2471" s="45">
        <v>87.84</v>
      </c>
      <c r="I2471" s="45">
        <v>2.44</v>
      </c>
      <c r="J2471" s="45">
        <v>2.44</v>
      </c>
      <c r="K2471" s="46">
        <v>0</v>
      </c>
    </row>
    <row r="2472" spans="1:11" x14ac:dyDescent="0.2">
      <c r="A2472" s="38" t="s">
        <v>7</v>
      </c>
      <c r="B2472" s="38" t="s">
        <v>10125</v>
      </c>
      <c r="C2472" s="43" t="s">
        <v>10126</v>
      </c>
      <c r="D2472" s="38" t="s">
        <v>13094</v>
      </c>
      <c r="E2472" s="44">
        <v>130</v>
      </c>
      <c r="F2472" s="45">
        <v>366.6</v>
      </c>
      <c r="G2472" s="44">
        <v>73</v>
      </c>
      <c r="H2472" s="45">
        <v>205.86</v>
      </c>
      <c r="I2472" s="45">
        <v>2.8200000000000003</v>
      </c>
      <c r="J2472" s="45">
        <v>2.8200000000000003</v>
      </c>
      <c r="K2472" s="46">
        <v>0</v>
      </c>
    </row>
    <row r="2473" spans="1:11" x14ac:dyDescent="0.2">
      <c r="A2473" s="38" t="s">
        <v>7</v>
      </c>
      <c r="B2473" s="38" t="s">
        <v>10129</v>
      </c>
      <c r="C2473" s="43" t="s">
        <v>10130</v>
      </c>
      <c r="D2473" s="38" t="s">
        <v>13078</v>
      </c>
      <c r="E2473" s="44">
        <v>15</v>
      </c>
      <c r="F2473" s="45">
        <v>42.75</v>
      </c>
      <c r="G2473" s="44">
        <v>22</v>
      </c>
      <c r="H2473" s="45">
        <v>62.7</v>
      </c>
      <c r="I2473" s="45">
        <v>2.85</v>
      </c>
      <c r="J2473" s="45">
        <v>2.85</v>
      </c>
      <c r="K2473" s="46">
        <v>0</v>
      </c>
    </row>
    <row r="2474" spans="1:11" x14ac:dyDescent="0.2">
      <c r="A2474" s="38" t="s">
        <v>7</v>
      </c>
      <c r="B2474" s="38" t="s">
        <v>10131</v>
      </c>
      <c r="C2474" s="43" t="s">
        <v>10132</v>
      </c>
      <c r="D2474" s="38" t="s">
        <v>13078</v>
      </c>
      <c r="E2474" s="44">
        <v>15</v>
      </c>
      <c r="F2474" s="45">
        <v>42.75</v>
      </c>
      <c r="G2474" s="44">
        <v>22</v>
      </c>
      <c r="H2474" s="45">
        <v>62.7</v>
      </c>
      <c r="I2474" s="45">
        <v>2.85</v>
      </c>
      <c r="J2474" s="45">
        <v>2.85</v>
      </c>
      <c r="K2474" s="46">
        <v>0</v>
      </c>
    </row>
    <row r="2475" spans="1:11" x14ac:dyDescent="0.2">
      <c r="A2475" s="38" t="s">
        <v>7</v>
      </c>
      <c r="B2475" s="38" t="s">
        <v>10133</v>
      </c>
      <c r="C2475" s="43" t="s">
        <v>10134</v>
      </c>
      <c r="D2475" s="38" t="s">
        <v>13016</v>
      </c>
      <c r="E2475" s="44">
        <v>3</v>
      </c>
      <c r="F2475" s="45">
        <v>4.68</v>
      </c>
      <c r="G2475" s="44">
        <v>1</v>
      </c>
      <c r="H2475" s="45">
        <v>1.56</v>
      </c>
      <c r="I2475" s="45">
        <v>1.5599999999999998</v>
      </c>
      <c r="J2475" s="45">
        <v>1.56</v>
      </c>
      <c r="K2475" s="46">
        <v>1.4233628520835341E-16</v>
      </c>
    </row>
    <row r="2476" spans="1:11" x14ac:dyDescent="0.2">
      <c r="A2476" s="38" t="s">
        <v>7</v>
      </c>
      <c r="B2476" s="38" t="s">
        <v>10139</v>
      </c>
      <c r="C2476" s="43" t="s">
        <v>10140</v>
      </c>
      <c r="D2476" s="38" t="s">
        <v>13095</v>
      </c>
      <c r="E2476" s="44">
        <v>5</v>
      </c>
      <c r="F2476" s="45">
        <v>80.900000000000006</v>
      </c>
      <c r="G2476" s="44">
        <v>2</v>
      </c>
      <c r="H2476" s="45">
        <v>32.36</v>
      </c>
      <c r="I2476" s="45">
        <v>16.18</v>
      </c>
      <c r="J2476" s="45">
        <v>16.18</v>
      </c>
      <c r="K2476" s="46">
        <v>0</v>
      </c>
    </row>
    <row r="2477" spans="1:11" x14ac:dyDescent="0.2">
      <c r="A2477" s="38" t="s">
        <v>7</v>
      </c>
      <c r="B2477" s="38" t="s">
        <v>10145</v>
      </c>
      <c r="C2477" s="43" t="s">
        <v>10146</v>
      </c>
      <c r="D2477" s="38" t="s">
        <v>13096</v>
      </c>
      <c r="G2477" s="44">
        <v>6</v>
      </c>
      <c r="H2477" s="45">
        <v>145.32</v>
      </c>
      <c r="J2477" s="45">
        <v>24.22</v>
      </c>
    </row>
    <row r="2478" spans="1:11" x14ac:dyDescent="0.2">
      <c r="A2478" s="38" t="s">
        <v>7</v>
      </c>
      <c r="B2478" s="38" t="s">
        <v>10153</v>
      </c>
      <c r="C2478" s="43" t="s">
        <v>10154</v>
      </c>
      <c r="D2478" s="38" t="s">
        <v>13097</v>
      </c>
      <c r="G2478" s="44">
        <v>1</v>
      </c>
      <c r="H2478" s="45">
        <v>12.49</v>
      </c>
      <c r="J2478" s="45">
        <v>12.49</v>
      </c>
    </row>
    <row r="2479" spans="1:11" x14ac:dyDescent="0.2">
      <c r="A2479" s="38" t="s">
        <v>7</v>
      </c>
      <c r="B2479" s="38" t="s">
        <v>10155</v>
      </c>
      <c r="C2479" s="43" t="s">
        <v>10156</v>
      </c>
      <c r="D2479" s="38" t="s">
        <v>13098</v>
      </c>
      <c r="G2479" s="44">
        <v>12</v>
      </c>
      <c r="H2479" s="45">
        <v>33.840000000000003</v>
      </c>
      <c r="J2479" s="45">
        <v>2.8200000000000003</v>
      </c>
    </row>
    <row r="2480" spans="1:11" x14ac:dyDescent="0.2">
      <c r="A2480" s="38" t="s">
        <v>7</v>
      </c>
      <c r="B2480" s="38" t="s">
        <v>10158</v>
      </c>
      <c r="C2480" s="43" t="s">
        <v>10159</v>
      </c>
      <c r="D2480" s="38" t="s">
        <v>13098</v>
      </c>
      <c r="E2480" s="44">
        <v>2</v>
      </c>
      <c r="F2480" s="45">
        <v>5.64</v>
      </c>
      <c r="G2480" s="44">
        <v>2</v>
      </c>
      <c r="H2480" s="45">
        <v>5.64</v>
      </c>
      <c r="I2480" s="45">
        <v>2.82</v>
      </c>
      <c r="J2480" s="45">
        <v>2.82</v>
      </c>
      <c r="K2480" s="46">
        <v>0</v>
      </c>
    </row>
    <row r="2481" spans="1:11" x14ac:dyDescent="0.2">
      <c r="A2481" s="38" t="s">
        <v>7</v>
      </c>
      <c r="B2481" s="38" t="s">
        <v>10160</v>
      </c>
      <c r="C2481" s="43" t="s">
        <v>10161</v>
      </c>
      <c r="D2481" s="38" t="s">
        <v>13098</v>
      </c>
      <c r="G2481" s="44">
        <v>9</v>
      </c>
      <c r="H2481" s="45">
        <v>25.38</v>
      </c>
      <c r="J2481" s="45">
        <v>2.82</v>
      </c>
    </row>
    <row r="2482" spans="1:11" x14ac:dyDescent="0.2">
      <c r="A2482" s="38" t="s">
        <v>7</v>
      </c>
      <c r="B2482" s="38" t="s">
        <v>10162</v>
      </c>
      <c r="C2482" s="43" t="s">
        <v>10163</v>
      </c>
      <c r="D2482" s="38" t="s">
        <v>13099</v>
      </c>
      <c r="G2482" s="44">
        <v>13</v>
      </c>
      <c r="H2482" s="45">
        <v>39</v>
      </c>
      <c r="J2482" s="45">
        <v>3</v>
      </c>
    </row>
    <row r="2483" spans="1:11" x14ac:dyDescent="0.2">
      <c r="A2483" s="38" t="s">
        <v>7</v>
      </c>
      <c r="B2483" s="38" t="s">
        <v>10169</v>
      </c>
      <c r="C2483" s="43" t="s">
        <v>10170</v>
      </c>
      <c r="D2483" s="38" t="s">
        <v>13100</v>
      </c>
      <c r="G2483" s="44">
        <v>35</v>
      </c>
      <c r="H2483" s="45">
        <v>57.05</v>
      </c>
      <c r="J2483" s="45">
        <v>1.63</v>
      </c>
    </row>
    <row r="2484" spans="1:11" x14ac:dyDescent="0.2">
      <c r="A2484" s="38" t="s">
        <v>7</v>
      </c>
      <c r="B2484" s="38" t="s">
        <v>10182</v>
      </c>
      <c r="C2484" s="43" t="s">
        <v>10183</v>
      </c>
      <c r="D2484" s="38" t="s">
        <v>13101</v>
      </c>
      <c r="G2484" s="44">
        <v>1</v>
      </c>
      <c r="H2484" s="45">
        <v>4.28</v>
      </c>
      <c r="J2484" s="45">
        <v>4.28</v>
      </c>
    </row>
    <row r="2485" spans="1:11" x14ac:dyDescent="0.2">
      <c r="A2485" s="38" t="s">
        <v>7</v>
      </c>
      <c r="B2485" s="38" t="s">
        <v>10187</v>
      </c>
      <c r="C2485" s="43" t="s">
        <v>10188</v>
      </c>
      <c r="D2485" s="38" t="s">
        <v>13102</v>
      </c>
      <c r="G2485" s="44">
        <v>2</v>
      </c>
      <c r="H2485" s="45">
        <v>9.7799999999999994</v>
      </c>
      <c r="J2485" s="45">
        <v>4.8899999999999997</v>
      </c>
    </row>
    <row r="2486" spans="1:11" x14ac:dyDescent="0.2">
      <c r="A2486" s="38" t="s">
        <v>7</v>
      </c>
      <c r="B2486" s="38" t="s">
        <v>10190</v>
      </c>
      <c r="C2486" s="43" t="s">
        <v>10191</v>
      </c>
      <c r="D2486" s="38" t="s">
        <v>13103</v>
      </c>
      <c r="G2486" s="44">
        <v>1</v>
      </c>
      <c r="H2486" s="45">
        <v>11.54</v>
      </c>
      <c r="J2486" s="45">
        <v>11.54</v>
      </c>
    </row>
    <row r="2487" spans="1:11" x14ac:dyDescent="0.2">
      <c r="A2487" s="38" t="s">
        <v>7</v>
      </c>
      <c r="B2487" s="38" t="s">
        <v>10204</v>
      </c>
      <c r="C2487" s="43" t="s">
        <v>10205</v>
      </c>
      <c r="D2487" s="38" t="s">
        <v>13104</v>
      </c>
      <c r="G2487" s="44">
        <v>3</v>
      </c>
      <c r="H2487" s="45">
        <v>70.23</v>
      </c>
      <c r="J2487" s="45">
        <v>23.41</v>
      </c>
    </row>
    <row r="2488" spans="1:11" x14ac:dyDescent="0.2">
      <c r="A2488" s="38" t="s">
        <v>7</v>
      </c>
      <c r="B2488" s="38" t="s">
        <v>10206</v>
      </c>
      <c r="C2488" s="43" t="s">
        <v>10207</v>
      </c>
      <c r="D2488" s="38" t="s">
        <v>13105</v>
      </c>
      <c r="G2488" s="44">
        <v>3</v>
      </c>
      <c r="H2488" s="45">
        <v>26.88</v>
      </c>
      <c r="J2488" s="45">
        <v>8.9599999999999991</v>
      </c>
    </row>
    <row r="2489" spans="1:11" x14ac:dyDescent="0.2">
      <c r="A2489" s="38" t="s">
        <v>7</v>
      </c>
      <c r="B2489" s="38" t="s">
        <v>10209</v>
      </c>
      <c r="C2489" s="43" t="s">
        <v>10210</v>
      </c>
      <c r="D2489" s="38" t="s">
        <v>13106</v>
      </c>
      <c r="E2489" s="44">
        <v>31</v>
      </c>
      <c r="F2489" s="45">
        <v>155</v>
      </c>
      <c r="G2489" s="44">
        <v>23</v>
      </c>
      <c r="H2489" s="45">
        <v>115</v>
      </c>
      <c r="I2489" s="45">
        <v>5</v>
      </c>
      <c r="J2489" s="45">
        <v>5</v>
      </c>
      <c r="K2489" s="46">
        <v>0</v>
      </c>
    </row>
    <row r="2490" spans="1:11" x14ac:dyDescent="0.2">
      <c r="A2490" s="38" t="s">
        <v>7</v>
      </c>
      <c r="B2490" s="38" t="s">
        <v>10215</v>
      </c>
      <c r="C2490" s="43" t="s">
        <v>10216</v>
      </c>
      <c r="D2490" s="38" t="s">
        <v>13107</v>
      </c>
      <c r="E2490" s="44">
        <v>1</v>
      </c>
      <c r="F2490" s="45">
        <v>7.34</v>
      </c>
      <c r="G2490" s="44">
        <v>0</v>
      </c>
      <c r="H2490" s="45">
        <v>0</v>
      </c>
      <c r="I2490" s="45">
        <v>7.34</v>
      </c>
    </row>
    <row r="2491" spans="1:11" x14ac:dyDescent="0.2">
      <c r="A2491" s="38" t="s">
        <v>7</v>
      </c>
      <c r="B2491" s="38" t="s">
        <v>10217</v>
      </c>
      <c r="C2491" s="43" t="s">
        <v>10218</v>
      </c>
      <c r="D2491" s="38" t="s">
        <v>13108</v>
      </c>
      <c r="E2491" s="44">
        <v>1</v>
      </c>
      <c r="F2491" s="45">
        <v>2.85</v>
      </c>
      <c r="G2491" s="44">
        <v>0</v>
      </c>
      <c r="H2491" s="45">
        <v>0</v>
      </c>
      <c r="I2491" s="45">
        <v>2.85</v>
      </c>
    </row>
    <row r="2492" spans="1:11" x14ac:dyDescent="0.2">
      <c r="A2492" s="38" t="s">
        <v>7</v>
      </c>
      <c r="B2492" s="38" t="s">
        <v>10219</v>
      </c>
      <c r="C2492" s="43" t="s">
        <v>10220</v>
      </c>
      <c r="D2492" s="38" t="s">
        <v>13109</v>
      </c>
      <c r="G2492" s="44">
        <v>1</v>
      </c>
      <c r="H2492" s="45">
        <v>20.25</v>
      </c>
      <c r="J2492" s="45">
        <v>20.25</v>
      </c>
    </row>
    <row r="2493" spans="1:11" x14ac:dyDescent="0.2">
      <c r="A2493" s="38" t="s">
        <v>7</v>
      </c>
      <c r="B2493" s="38" t="s">
        <v>10221</v>
      </c>
      <c r="C2493" s="43" t="s">
        <v>10222</v>
      </c>
      <c r="D2493" s="38" t="s">
        <v>13109</v>
      </c>
      <c r="G2493" s="44">
        <v>1</v>
      </c>
      <c r="H2493" s="45">
        <v>20.25</v>
      </c>
      <c r="J2493" s="45">
        <v>20.25</v>
      </c>
    </row>
    <row r="2494" spans="1:11" x14ac:dyDescent="0.2">
      <c r="A2494" s="38" t="s">
        <v>7</v>
      </c>
      <c r="B2494" s="38" t="s">
        <v>10223</v>
      </c>
      <c r="C2494" s="43" t="s">
        <v>10224</v>
      </c>
      <c r="D2494" s="38" t="s">
        <v>13107</v>
      </c>
      <c r="E2494" s="44">
        <v>1</v>
      </c>
      <c r="F2494" s="45">
        <v>13.5</v>
      </c>
      <c r="G2494" s="44">
        <v>0</v>
      </c>
      <c r="H2494" s="45">
        <v>0</v>
      </c>
      <c r="I2494" s="45">
        <v>13.5</v>
      </c>
    </row>
    <row r="2495" spans="1:11" x14ac:dyDescent="0.2">
      <c r="A2495" s="38" t="s">
        <v>7</v>
      </c>
      <c r="B2495" s="38" t="s">
        <v>10225</v>
      </c>
      <c r="C2495" s="43" t="s">
        <v>10226</v>
      </c>
      <c r="D2495" s="38" t="s">
        <v>13107</v>
      </c>
      <c r="G2495" s="44">
        <v>1</v>
      </c>
      <c r="H2495" s="45">
        <v>2.44</v>
      </c>
      <c r="J2495" s="45">
        <v>2.44</v>
      </c>
    </row>
    <row r="2496" spans="1:11" x14ac:dyDescent="0.2">
      <c r="A2496" s="38" t="s">
        <v>7</v>
      </c>
      <c r="B2496" s="38" t="s">
        <v>10227</v>
      </c>
      <c r="C2496" s="43" t="s">
        <v>10228</v>
      </c>
      <c r="D2496" s="38" t="s">
        <v>13110</v>
      </c>
      <c r="G2496" s="44">
        <v>6</v>
      </c>
      <c r="H2496" s="45">
        <v>34.200000000000003</v>
      </c>
      <c r="J2496" s="45">
        <v>5.7</v>
      </c>
    </row>
    <row r="2497" spans="1:11" x14ac:dyDescent="0.2">
      <c r="A2497" s="38" t="s">
        <v>7</v>
      </c>
      <c r="B2497" s="38" t="s">
        <v>10231</v>
      </c>
      <c r="C2497" s="43" t="s">
        <v>10232</v>
      </c>
      <c r="D2497" s="38" t="s">
        <v>13084</v>
      </c>
      <c r="G2497" s="44">
        <v>1</v>
      </c>
      <c r="H2497" s="45">
        <v>11.4</v>
      </c>
      <c r="J2497" s="45">
        <v>11.4</v>
      </c>
    </row>
    <row r="2498" spans="1:11" x14ac:dyDescent="0.2">
      <c r="A2498" s="38" t="s">
        <v>7</v>
      </c>
      <c r="B2498" s="38" t="s">
        <v>10235</v>
      </c>
      <c r="C2498" s="43" t="s">
        <v>10236</v>
      </c>
      <c r="D2498" s="38" t="s">
        <v>13108</v>
      </c>
      <c r="E2498" s="44">
        <v>1</v>
      </c>
      <c r="F2498" s="45">
        <v>25.3</v>
      </c>
      <c r="G2498" s="44">
        <v>0</v>
      </c>
      <c r="H2498" s="45">
        <v>0</v>
      </c>
      <c r="I2498" s="45">
        <v>25.3</v>
      </c>
    </row>
    <row r="2499" spans="1:11" x14ac:dyDescent="0.2">
      <c r="A2499" s="38" t="s">
        <v>7</v>
      </c>
      <c r="B2499" s="38" t="s">
        <v>10239</v>
      </c>
      <c r="C2499" s="43" t="s">
        <v>10240</v>
      </c>
      <c r="D2499" s="38" t="s">
        <v>13111</v>
      </c>
      <c r="E2499" s="44">
        <v>1</v>
      </c>
      <c r="F2499" s="45">
        <v>19</v>
      </c>
      <c r="G2499" s="44">
        <v>1</v>
      </c>
      <c r="H2499" s="45">
        <v>19</v>
      </c>
      <c r="I2499" s="45">
        <v>19</v>
      </c>
      <c r="J2499" s="45">
        <v>19</v>
      </c>
      <c r="K2499" s="46">
        <v>0</v>
      </c>
    </row>
    <row r="2500" spans="1:11" x14ac:dyDescent="0.2">
      <c r="A2500" s="38" t="s">
        <v>7</v>
      </c>
      <c r="B2500" s="38" t="s">
        <v>10242</v>
      </c>
      <c r="C2500" s="43" t="s">
        <v>10243</v>
      </c>
      <c r="D2500" s="38" t="s">
        <v>13112</v>
      </c>
      <c r="E2500" s="44">
        <v>9</v>
      </c>
      <c r="F2500" s="45">
        <v>171</v>
      </c>
      <c r="G2500" s="44">
        <v>7</v>
      </c>
      <c r="H2500" s="45">
        <v>133</v>
      </c>
      <c r="I2500" s="45">
        <v>19</v>
      </c>
      <c r="J2500" s="45">
        <v>19</v>
      </c>
      <c r="K2500" s="46">
        <v>0</v>
      </c>
    </row>
    <row r="2501" spans="1:11" x14ac:dyDescent="0.2">
      <c r="A2501" s="38" t="s">
        <v>7</v>
      </c>
      <c r="B2501" s="38" t="s">
        <v>10245</v>
      </c>
      <c r="C2501" s="43" t="s">
        <v>10246</v>
      </c>
      <c r="D2501" s="38" t="s">
        <v>13112</v>
      </c>
      <c r="E2501" s="44">
        <v>1</v>
      </c>
      <c r="F2501" s="45">
        <v>19</v>
      </c>
      <c r="G2501" s="44">
        <v>1</v>
      </c>
      <c r="H2501" s="45">
        <v>19</v>
      </c>
      <c r="I2501" s="45">
        <v>19</v>
      </c>
      <c r="J2501" s="45">
        <v>19</v>
      </c>
      <c r="K2501" s="46">
        <v>0</v>
      </c>
    </row>
    <row r="2502" spans="1:11" x14ac:dyDescent="0.2">
      <c r="A2502" s="38" t="s">
        <v>7</v>
      </c>
      <c r="B2502" s="38" t="s">
        <v>10250</v>
      </c>
      <c r="C2502" s="43" t="s">
        <v>10251</v>
      </c>
      <c r="D2502" s="38" t="s">
        <v>13085</v>
      </c>
      <c r="E2502" s="44">
        <v>1</v>
      </c>
      <c r="F2502" s="45">
        <v>25.8</v>
      </c>
      <c r="G2502" s="44">
        <v>0</v>
      </c>
      <c r="H2502" s="45">
        <v>0</v>
      </c>
      <c r="I2502" s="45">
        <v>25.8</v>
      </c>
    </row>
    <row r="2503" spans="1:11" x14ac:dyDescent="0.2">
      <c r="A2503" s="38" t="s">
        <v>7</v>
      </c>
      <c r="B2503" s="38" t="s">
        <v>10252</v>
      </c>
      <c r="C2503" s="43" t="s">
        <v>10253</v>
      </c>
      <c r="D2503" s="38" t="s">
        <v>13111</v>
      </c>
      <c r="E2503" s="44">
        <v>9</v>
      </c>
      <c r="F2503" s="45">
        <v>171</v>
      </c>
      <c r="G2503" s="44">
        <v>7</v>
      </c>
      <c r="H2503" s="45">
        <v>133</v>
      </c>
      <c r="I2503" s="45">
        <v>19</v>
      </c>
      <c r="J2503" s="45">
        <v>19</v>
      </c>
      <c r="K2503" s="46">
        <v>0</v>
      </c>
    </row>
    <row r="2504" spans="1:11" x14ac:dyDescent="0.2">
      <c r="A2504" s="38" t="s">
        <v>7</v>
      </c>
      <c r="B2504" s="38" t="s">
        <v>10257</v>
      </c>
      <c r="C2504" s="43" t="s">
        <v>10258</v>
      </c>
      <c r="D2504" s="38" t="s">
        <v>13064</v>
      </c>
      <c r="E2504" s="44">
        <v>1</v>
      </c>
      <c r="F2504" s="45">
        <v>18.5</v>
      </c>
      <c r="G2504" s="44">
        <v>3</v>
      </c>
      <c r="H2504" s="45">
        <v>55.5</v>
      </c>
      <c r="I2504" s="45">
        <v>18.5</v>
      </c>
      <c r="J2504" s="45">
        <v>18.5</v>
      </c>
      <c r="K2504" s="46">
        <v>0</v>
      </c>
    </row>
    <row r="2505" spans="1:11" x14ac:dyDescent="0.2">
      <c r="A2505" s="38" t="s">
        <v>7</v>
      </c>
      <c r="B2505" s="38" t="s">
        <v>10259</v>
      </c>
      <c r="C2505" s="43" t="s">
        <v>10260</v>
      </c>
      <c r="D2505" s="38" t="s">
        <v>13113</v>
      </c>
      <c r="E2505" s="44">
        <v>14</v>
      </c>
      <c r="F2505" s="45">
        <v>65.8</v>
      </c>
      <c r="G2505" s="44">
        <v>23</v>
      </c>
      <c r="H2505" s="45">
        <v>108.1</v>
      </c>
      <c r="I2505" s="45">
        <v>4.7</v>
      </c>
      <c r="J2505" s="45">
        <v>4.7</v>
      </c>
      <c r="K2505" s="46">
        <v>0</v>
      </c>
    </row>
    <row r="2506" spans="1:11" x14ac:dyDescent="0.2">
      <c r="A2506" s="38" t="s">
        <v>7</v>
      </c>
      <c r="B2506" s="38" t="s">
        <v>10276</v>
      </c>
      <c r="C2506" s="43" t="s">
        <v>10277</v>
      </c>
      <c r="D2506" s="38" t="s">
        <v>13114</v>
      </c>
      <c r="G2506" s="44">
        <v>2</v>
      </c>
      <c r="H2506" s="45">
        <v>25.48</v>
      </c>
      <c r="J2506" s="45">
        <v>12.74</v>
      </c>
    </row>
    <row r="2507" spans="1:11" x14ac:dyDescent="0.2">
      <c r="A2507" s="38" t="s">
        <v>7</v>
      </c>
      <c r="B2507" s="38" t="s">
        <v>10292</v>
      </c>
      <c r="C2507" s="43" t="s">
        <v>10293</v>
      </c>
      <c r="D2507" s="38" t="s">
        <v>13115</v>
      </c>
      <c r="E2507" s="44">
        <v>244</v>
      </c>
      <c r="F2507" s="45">
        <v>2291.16</v>
      </c>
      <c r="G2507" s="44">
        <v>225</v>
      </c>
      <c r="H2507" s="45">
        <v>2112.75</v>
      </c>
      <c r="I2507" s="45">
        <v>9.3899999999999988</v>
      </c>
      <c r="J2507" s="45">
        <v>9.39</v>
      </c>
      <c r="K2507" s="46">
        <v>1.8917538225774769E-16</v>
      </c>
    </row>
    <row r="2508" spans="1:11" x14ac:dyDescent="0.2">
      <c r="A2508" s="38" t="s">
        <v>7</v>
      </c>
      <c r="B2508" s="38" t="s">
        <v>10301</v>
      </c>
      <c r="C2508" s="43" t="s">
        <v>10302</v>
      </c>
      <c r="D2508" s="38" t="s">
        <v>13116</v>
      </c>
      <c r="E2508" s="44">
        <v>85</v>
      </c>
      <c r="F2508" s="45">
        <v>1317.5</v>
      </c>
      <c r="G2508" s="44">
        <v>61</v>
      </c>
      <c r="H2508" s="45">
        <v>945.5</v>
      </c>
      <c r="I2508" s="45">
        <v>15.5</v>
      </c>
      <c r="J2508" s="45">
        <v>15.5</v>
      </c>
      <c r="K2508" s="46">
        <v>0</v>
      </c>
    </row>
    <row r="2509" spans="1:11" x14ac:dyDescent="0.2">
      <c r="A2509" s="38" t="s">
        <v>7</v>
      </c>
      <c r="B2509" s="38" t="s">
        <v>10307</v>
      </c>
      <c r="C2509" s="43" t="s">
        <v>10308</v>
      </c>
      <c r="D2509" s="38" t="s">
        <v>13117</v>
      </c>
      <c r="E2509" s="44">
        <v>78</v>
      </c>
      <c r="F2509" s="45">
        <v>409.5</v>
      </c>
      <c r="G2509" s="44">
        <v>65</v>
      </c>
      <c r="H2509" s="45">
        <v>341.25</v>
      </c>
      <c r="I2509" s="45">
        <v>5.25</v>
      </c>
      <c r="J2509" s="45">
        <v>5.25</v>
      </c>
      <c r="K2509" s="46">
        <v>0</v>
      </c>
    </row>
    <row r="2510" spans="1:11" x14ac:dyDescent="0.2">
      <c r="A2510" s="38" t="s">
        <v>7</v>
      </c>
      <c r="B2510" s="38" t="s">
        <v>10310</v>
      </c>
      <c r="C2510" s="43" t="s">
        <v>10311</v>
      </c>
      <c r="D2510" s="38" t="s">
        <v>13118</v>
      </c>
      <c r="G2510" s="44">
        <v>1</v>
      </c>
      <c r="H2510" s="45">
        <v>10.49</v>
      </c>
      <c r="J2510" s="45">
        <v>10.49</v>
      </c>
    </row>
    <row r="2511" spans="1:11" x14ac:dyDescent="0.2">
      <c r="A2511" s="38" t="s">
        <v>7</v>
      </c>
      <c r="B2511" s="38" t="s">
        <v>10312</v>
      </c>
      <c r="C2511" s="43" t="s">
        <v>10313</v>
      </c>
      <c r="D2511" s="38" t="s">
        <v>13119</v>
      </c>
      <c r="E2511" s="44">
        <v>84</v>
      </c>
      <c r="F2511" s="45">
        <v>148.68</v>
      </c>
      <c r="G2511" s="44">
        <v>60</v>
      </c>
      <c r="H2511" s="45">
        <v>106.2</v>
      </c>
      <c r="I2511" s="45">
        <v>1.77</v>
      </c>
      <c r="J2511" s="45">
        <v>1.77</v>
      </c>
      <c r="K2511" s="46">
        <v>0</v>
      </c>
    </row>
    <row r="2512" spans="1:11" x14ac:dyDescent="0.2">
      <c r="A2512" s="38" t="s">
        <v>7</v>
      </c>
      <c r="B2512" s="38" t="s">
        <v>10324</v>
      </c>
      <c r="C2512" s="43" t="s">
        <v>10325</v>
      </c>
      <c r="D2512" s="38" t="s">
        <v>13120</v>
      </c>
      <c r="G2512" s="44">
        <v>2</v>
      </c>
      <c r="H2512" s="45">
        <v>28</v>
      </c>
      <c r="J2512" s="45">
        <v>14</v>
      </c>
    </row>
    <row r="2513" spans="1:11" x14ac:dyDescent="0.2">
      <c r="A2513" s="38" t="s">
        <v>7</v>
      </c>
      <c r="B2513" s="38" t="s">
        <v>10340</v>
      </c>
      <c r="C2513" s="43" t="s">
        <v>10341</v>
      </c>
      <c r="D2513" s="38" t="s">
        <v>13121</v>
      </c>
      <c r="E2513" s="44">
        <v>75</v>
      </c>
      <c r="F2513" s="45">
        <v>521.25</v>
      </c>
      <c r="G2513" s="44">
        <v>63</v>
      </c>
      <c r="H2513" s="45">
        <v>437.85</v>
      </c>
      <c r="I2513" s="45">
        <v>6.95</v>
      </c>
      <c r="J2513" s="45">
        <v>6.95</v>
      </c>
      <c r="K2513" s="46">
        <v>0</v>
      </c>
    </row>
    <row r="2514" spans="1:11" x14ac:dyDescent="0.2">
      <c r="A2514" s="38" t="s">
        <v>7</v>
      </c>
      <c r="B2514" s="38" t="s">
        <v>10348</v>
      </c>
      <c r="C2514" s="43" t="s">
        <v>10349</v>
      </c>
      <c r="D2514" s="38" t="s">
        <v>13122</v>
      </c>
      <c r="E2514" s="44">
        <v>174</v>
      </c>
      <c r="F2514" s="45">
        <v>2088</v>
      </c>
      <c r="G2514" s="44">
        <v>161</v>
      </c>
      <c r="H2514" s="45">
        <v>1932</v>
      </c>
      <c r="I2514" s="45">
        <v>12</v>
      </c>
      <c r="J2514" s="45">
        <v>12</v>
      </c>
      <c r="K2514" s="46">
        <v>0</v>
      </c>
    </row>
    <row r="2515" spans="1:11" x14ac:dyDescent="0.2">
      <c r="A2515" s="38" t="s">
        <v>7</v>
      </c>
      <c r="B2515" s="38" t="s">
        <v>10353</v>
      </c>
      <c r="C2515" s="43" t="s">
        <v>10354</v>
      </c>
      <c r="D2515" s="38" t="s">
        <v>13123</v>
      </c>
      <c r="G2515" s="44">
        <v>1</v>
      </c>
      <c r="H2515" s="45">
        <v>83.08</v>
      </c>
      <c r="J2515" s="45">
        <v>83.08</v>
      </c>
    </row>
    <row r="2516" spans="1:11" x14ac:dyDescent="0.2">
      <c r="A2516" s="38" t="s">
        <v>7</v>
      </c>
      <c r="B2516" s="38" t="s">
        <v>10355</v>
      </c>
      <c r="C2516" s="43" t="s">
        <v>10356</v>
      </c>
      <c r="D2516" s="38" t="s">
        <v>13124</v>
      </c>
      <c r="G2516" s="44">
        <v>8</v>
      </c>
      <c r="H2516" s="45">
        <v>552</v>
      </c>
      <c r="J2516" s="45">
        <v>69</v>
      </c>
    </row>
    <row r="2517" spans="1:11" x14ac:dyDescent="0.2">
      <c r="A2517" s="38" t="s">
        <v>7</v>
      </c>
      <c r="B2517" s="38" t="s">
        <v>10358</v>
      </c>
      <c r="C2517" s="43" t="s">
        <v>10359</v>
      </c>
      <c r="D2517" s="38" t="s">
        <v>13125</v>
      </c>
      <c r="G2517" s="44">
        <v>1</v>
      </c>
      <c r="H2517" s="45">
        <v>79</v>
      </c>
      <c r="J2517" s="45">
        <v>79</v>
      </c>
    </row>
    <row r="2518" spans="1:11" x14ac:dyDescent="0.2">
      <c r="A2518" s="38" t="s">
        <v>7</v>
      </c>
      <c r="B2518" s="38" t="s">
        <v>10360</v>
      </c>
      <c r="C2518" s="43" t="s">
        <v>10361</v>
      </c>
      <c r="D2518" s="38" t="s">
        <v>13126</v>
      </c>
      <c r="E2518" s="44">
        <v>12</v>
      </c>
      <c r="F2518" s="45">
        <v>195.48</v>
      </c>
      <c r="G2518" s="44">
        <v>6</v>
      </c>
      <c r="H2518" s="45">
        <v>97.74</v>
      </c>
      <c r="I2518" s="45">
        <v>16.29</v>
      </c>
      <c r="J2518" s="45">
        <v>16.29</v>
      </c>
      <c r="K2518" s="46">
        <v>0</v>
      </c>
    </row>
    <row r="2519" spans="1:11" x14ac:dyDescent="0.2">
      <c r="A2519" s="38" t="s">
        <v>7</v>
      </c>
      <c r="B2519" s="38" t="s">
        <v>10368</v>
      </c>
      <c r="C2519" s="43" t="s">
        <v>10369</v>
      </c>
      <c r="D2519" s="38" t="s">
        <v>13127</v>
      </c>
      <c r="G2519" s="44">
        <v>1</v>
      </c>
      <c r="H2519" s="45">
        <v>74.930000000000007</v>
      </c>
      <c r="J2519" s="45">
        <v>74.930000000000007</v>
      </c>
    </row>
    <row r="2520" spans="1:11" x14ac:dyDescent="0.2">
      <c r="A2520" s="38" t="s">
        <v>7</v>
      </c>
      <c r="B2520" s="38" t="s">
        <v>10374</v>
      </c>
      <c r="C2520" s="43" t="s">
        <v>10375</v>
      </c>
      <c r="D2520" s="38" t="s">
        <v>13128</v>
      </c>
      <c r="G2520" s="44">
        <v>3</v>
      </c>
      <c r="H2520" s="45">
        <v>112.2</v>
      </c>
      <c r="J2520" s="45">
        <v>37.4</v>
      </c>
    </row>
    <row r="2521" spans="1:11" x14ac:dyDescent="0.2">
      <c r="A2521" s="38" t="s">
        <v>7</v>
      </c>
      <c r="B2521" s="38" t="s">
        <v>10377</v>
      </c>
      <c r="C2521" s="43" t="s">
        <v>10378</v>
      </c>
      <c r="D2521" s="38" t="s">
        <v>13129</v>
      </c>
      <c r="E2521" s="44">
        <v>175</v>
      </c>
      <c r="F2521" s="45">
        <v>1750</v>
      </c>
      <c r="G2521" s="44">
        <v>164</v>
      </c>
      <c r="H2521" s="45">
        <v>1640</v>
      </c>
      <c r="I2521" s="45">
        <v>10</v>
      </c>
      <c r="J2521" s="45">
        <v>10</v>
      </c>
      <c r="K2521" s="46">
        <v>0</v>
      </c>
    </row>
    <row r="2522" spans="1:11" x14ac:dyDescent="0.2">
      <c r="A2522" s="38" t="s">
        <v>7</v>
      </c>
      <c r="B2522" s="38" t="s">
        <v>10385</v>
      </c>
      <c r="C2522" s="43" t="s">
        <v>10386</v>
      </c>
      <c r="D2522" s="38" t="s">
        <v>13130</v>
      </c>
      <c r="G2522" s="44">
        <v>1</v>
      </c>
      <c r="H2522" s="45">
        <v>36.65</v>
      </c>
      <c r="J2522" s="45">
        <v>36.65</v>
      </c>
    </row>
    <row r="2523" spans="1:11" x14ac:dyDescent="0.2">
      <c r="A2523" s="38" t="s">
        <v>7</v>
      </c>
      <c r="B2523" s="38" t="s">
        <v>10390</v>
      </c>
      <c r="C2523" s="43" t="s">
        <v>10391</v>
      </c>
      <c r="D2523" s="38" t="s">
        <v>13131</v>
      </c>
      <c r="G2523" s="44">
        <v>2</v>
      </c>
      <c r="H2523" s="45">
        <v>90</v>
      </c>
      <c r="J2523" s="45">
        <v>45</v>
      </c>
    </row>
    <row r="2524" spans="1:11" x14ac:dyDescent="0.2">
      <c r="A2524" s="38" t="s">
        <v>7</v>
      </c>
      <c r="B2524" s="38" t="s">
        <v>10392</v>
      </c>
      <c r="C2524" s="43" t="s">
        <v>10393</v>
      </c>
      <c r="D2524" s="38" t="s">
        <v>13132</v>
      </c>
      <c r="E2524" s="44">
        <v>17</v>
      </c>
      <c r="F2524" s="45">
        <v>314.5</v>
      </c>
      <c r="G2524" s="44">
        <v>14</v>
      </c>
      <c r="H2524" s="45">
        <v>259</v>
      </c>
      <c r="I2524" s="45">
        <v>18.5</v>
      </c>
      <c r="J2524" s="45">
        <v>18.5</v>
      </c>
      <c r="K2524" s="46">
        <v>0</v>
      </c>
    </row>
    <row r="2525" spans="1:11" x14ac:dyDescent="0.2">
      <c r="A2525" s="38" t="s">
        <v>7</v>
      </c>
      <c r="B2525" s="38" t="s">
        <v>10409</v>
      </c>
      <c r="C2525" s="43" t="s">
        <v>10410</v>
      </c>
      <c r="D2525" s="38" t="s">
        <v>12333</v>
      </c>
      <c r="E2525" s="44">
        <v>35</v>
      </c>
      <c r="F2525" s="45">
        <v>513.1</v>
      </c>
      <c r="G2525" s="44">
        <v>26</v>
      </c>
      <c r="H2525" s="45">
        <v>381.16</v>
      </c>
      <c r="I2525" s="45">
        <v>14.66</v>
      </c>
      <c r="J2525" s="45">
        <v>14.66</v>
      </c>
      <c r="K2525" s="46">
        <v>0</v>
      </c>
    </row>
    <row r="2526" spans="1:11" x14ac:dyDescent="0.2">
      <c r="A2526" s="38" t="s">
        <v>7</v>
      </c>
      <c r="B2526" s="38" t="s">
        <v>10412</v>
      </c>
      <c r="C2526" s="43" t="s">
        <v>10413</v>
      </c>
      <c r="D2526" s="38" t="s">
        <v>13132</v>
      </c>
      <c r="E2526" s="44">
        <v>20</v>
      </c>
      <c r="F2526" s="45">
        <v>245</v>
      </c>
      <c r="G2526" s="44">
        <v>13</v>
      </c>
      <c r="H2526" s="45">
        <v>159.25</v>
      </c>
      <c r="I2526" s="45">
        <v>12.25</v>
      </c>
      <c r="J2526" s="45">
        <v>12.25</v>
      </c>
      <c r="K2526" s="46">
        <v>0</v>
      </c>
    </row>
    <row r="2527" spans="1:11" x14ac:dyDescent="0.2">
      <c r="A2527" s="38" t="s">
        <v>7</v>
      </c>
      <c r="B2527" s="38" t="s">
        <v>10415</v>
      </c>
      <c r="C2527" s="43" t="s">
        <v>10416</v>
      </c>
      <c r="D2527" s="38" t="s">
        <v>13133</v>
      </c>
      <c r="E2527" s="44">
        <v>4</v>
      </c>
      <c r="F2527" s="45">
        <v>360</v>
      </c>
      <c r="G2527" s="44">
        <v>4</v>
      </c>
      <c r="H2527" s="45">
        <v>360</v>
      </c>
      <c r="I2527" s="45">
        <v>90</v>
      </c>
      <c r="J2527" s="45">
        <v>90</v>
      </c>
      <c r="K2527" s="46">
        <v>0</v>
      </c>
    </row>
    <row r="2528" spans="1:11" x14ac:dyDescent="0.2">
      <c r="A2528" s="38" t="s">
        <v>7</v>
      </c>
      <c r="B2528" s="38" t="s">
        <v>10438</v>
      </c>
      <c r="C2528" s="43" t="s">
        <v>10439</v>
      </c>
      <c r="D2528" s="38" t="s">
        <v>12262</v>
      </c>
      <c r="G2528" s="44">
        <v>2</v>
      </c>
      <c r="H2528" s="45">
        <v>7.34</v>
      </c>
      <c r="J2528" s="45">
        <v>3.67</v>
      </c>
    </row>
    <row r="2529" spans="1:11" x14ac:dyDescent="0.2">
      <c r="A2529" s="38" t="s">
        <v>7</v>
      </c>
      <c r="B2529" s="38" t="s">
        <v>10440</v>
      </c>
      <c r="C2529" s="43" t="s">
        <v>10441</v>
      </c>
      <c r="D2529" s="38" t="s">
        <v>13025</v>
      </c>
      <c r="G2529" s="44">
        <v>3</v>
      </c>
      <c r="H2529" s="45">
        <v>4.5</v>
      </c>
      <c r="J2529" s="45">
        <v>1.5</v>
      </c>
    </row>
    <row r="2530" spans="1:11" x14ac:dyDescent="0.2">
      <c r="A2530" s="38" t="s">
        <v>7</v>
      </c>
      <c r="B2530" s="38" t="s">
        <v>10448</v>
      </c>
      <c r="C2530" s="43" t="s">
        <v>10449</v>
      </c>
      <c r="D2530" s="38" t="s">
        <v>13134</v>
      </c>
      <c r="E2530" s="44">
        <v>81</v>
      </c>
      <c r="F2530" s="45">
        <v>162</v>
      </c>
      <c r="G2530" s="44">
        <v>65</v>
      </c>
      <c r="H2530" s="45">
        <v>130</v>
      </c>
      <c r="I2530" s="45">
        <v>2</v>
      </c>
      <c r="J2530" s="45">
        <v>2</v>
      </c>
      <c r="K2530" s="46">
        <v>0</v>
      </c>
    </row>
    <row r="2531" spans="1:11" x14ac:dyDescent="0.2">
      <c r="A2531" s="38" t="s">
        <v>7</v>
      </c>
      <c r="B2531" s="38" t="s">
        <v>10453</v>
      </c>
      <c r="C2531" s="43" t="s">
        <v>10454</v>
      </c>
      <c r="D2531" s="38" t="s">
        <v>13135</v>
      </c>
      <c r="E2531" s="44">
        <v>79</v>
      </c>
      <c r="F2531" s="45">
        <v>6596.5</v>
      </c>
      <c r="G2531" s="44">
        <v>95</v>
      </c>
      <c r="H2531" s="45">
        <v>7932.5</v>
      </c>
      <c r="I2531" s="45">
        <v>83.5</v>
      </c>
      <c r="J2531" s="45">
        <v>83.5</v>
      </c>
      <c r="K2531" s="46">
        <v>0</v>
      </c>
    </row>
    <row r="2532" spans="1:11" x14ac:dyDescent="0.2">
      <c r="A2532" s="38" t="s">
        <v>7</v>
      </c>
      <c r="B2532" s="38" t="s">
        <v>10457</v>
      </c>
      <c r="C2532" s="43" t="s">
        <v>10458</v>
      </c>
      <c r="D2532" s="38" t="s">
        <v>13029</v>
      </c>
      <c r="E2532" s="44">
        <v>30</v>
      </c>
      <c r="F2532" s="45">
        <v>201.6</v>
      </c>
      <c r="G2532" s="44">
        <v>12</v>
      </c>
      <c r="H2532" s="45">
        <v>80.64</v>
      </c>
      <c r="I2532" s="45">
        <v>6.72</v>
      </c>
      <c r="J2532" s="45">
        <v>6.72</v>
      </c>
      <c r="K2532" s="46">
        <v>0</v>
      </c>
    </row>
    <row r="2533" spans="1:11" x14ac:dyDescent="0.2">
      <c r="A2533" s="38" t="s">
        <v>7</v>
      </c>
      <c r="B2533" s="38" t="s">
        <v>10460</v>
      </c>
      <c r="C2533" s="43" t="s">
        <v>10461</v>
      </c>
      <c r="D2533" s="38" t="s">
        <v>13136</v>
      </c>
      <c r="G2533" s="44">
        <v>3</v>
      </c>
      <c r="H2533" s="45">
        <v>80.13</v>
      </c>
      <c r="J2533" s="45">
        <v>26.709999999999997</v>
      </c>
    </row>
    <row r="2534" spans="1:11" x14ac:dyDescent="0.2">
      <c r="A2534" s="38" t="s">
        <v>7</v>
      </c>
      <c r="B2534" s="38" t="s">
        <v>10463</v>
      </c>
      <c r="C2534" s="43" t="s">
        <v>10464</v>
      </c>
      <c r="D2534" s="38" t="s">
        <v>13137</v>
      </c>
      <c r="G2534" s="44">
        <v>8</v>
      </c>
      <c r="H2534" s="45">
        <v>40</v>
      </c>
      <c r="J2534" s="45">
        <v>5</v>
      </c>
    </row>
    <row r="2535" spans="1:11" x14ac:dyDescent="0.2">
      <c r="A2535" s="38" t="s">
        <v>7</v>
      </c>
      <c r="B2535" s="38" t="s">
        <v>10465</v>
      </c>
      <c r="C2535" s="43" t="s">
        <v>10466</v>
      </c>
      <c r="D2535" s="38" t="s">
        <v>12297</v>
      </c>
      <c r="E2535" s="44">
        <v>8</v>
      </c>
      <c r="F2535" s="45">
        <v>16</v>
      </c>
      <c r="G2535" s="44">
        <v>10</v>
      </c>
      <c r="H2535" s="45">
        <v>20</v>
      </c>
      <c r="I2535" s="45">
        <v>2</v>
      </c>
      <c r="J2535" s="45">
        <v>2</v>
      </c>
      <c r="K2535" s="46">
        <v>0</v>
      </c>
    </row>
    <row r="2536" spans="1:11" x14ac:dyDescent="0.2">
      <c r="A2536" s="38" t="s">
        <v>7</v>
      </c>
      <c r="B2536" s="38" t="s">
        <v>10468</v>
      </c>
      <c r="C2536" s="43" t="s">
        <v>10469</v>
      </c>
      <c r="D2536" s="38" t="s">
        <v>13138</v>
      </c>
      <c r="G2536" s="44">
        <v>2</v>
      </c>
      <c r="H2536" s="45">
        <v>250</v>
      </c>
      <c r="J2536" s="45">
        <v>125</v>
      </c>
    </row>
    <row r="2537" spans="1:11" x14ac:dyDescent="0.2">
      <c r="A2537" s="38" t="s">
        <v>7</v>
      </c>
      <c r="B2537" s="38" t="s">
        <v>10473</v>
      </c>
      <c r="C2537" s="43" t="s">
        <v>10474</v>
      </c>
      <c r="D2537" s="38" t="s">
        <v>13139</v>
      </c>
      <c r="G2537" s="44">
        <v>2</v>
      </c>
      <c r="H2537" s="45">
        <v>61.38</v>
      </c>
      <c r="J2537" s="45">
        <v>30.69</v>
      </c>
    </row>
    <row r="2538" spans="1:11" x14ac:dyDescent="0.2">
      <c r="A2538" s="38" t="s">
        <v>7</v>
      </c>
      <c r="B2538" s="38" t="s">
        <v>10481</v>
      </c>
      <c r="C2538" s="43" t="s">
        <v>10482</v>
      </c>
      <c r="D2538" s="38" t="s">
        <v>13140</v>
      </c>
      <c r="G2538" s="44">
        <v>5</v>
      </c>
      <c r="H2538" s="45">
        <v>220</v>
      </c>
      <c r="J2538" s="45">
        <v>44</v>
      </c>
    </row>
    <row r="2539" spans="1:11" x14ac:dyDescent="0.2">
      <c r="A2539" s="38" t="s">
        <v>7</v>
      </c>
      <c r="B2539" s="38" t="s">
        <v>10487</v>
      </c>
      <c r="C2539" s="43" t="s">
        <v>10488</v>
      </c>
      <c r="D2539" s="38" t="s">
        <v>13141</v>
      </c>
      <c r="G2539" s="44">
        <v>5</v>
      </c>
      <c r="H2539" s="45">
        <v>180</v>
      </c>
      <c r="J2539" s="45">
        <v>36</v>
      </c>
    </row>
    <row r="2540" spans="1:11" x14ac:dyDescent="0.2">
      <c r="A2540" s="38" t="s">
        <v>7</v>
      </c>
      <c r="B2540" s="38" t="s">
        <v>10496</v>
      </c>
      <c r="C2540" s="43" t="s">
        <v>10497</v>
      </c>
      <c r="D2540" s="38" t="s">
        <v>13142</v>
      </c>
      <c r="E2540" s="44">
        <v>45</v>
      </c>
      <c r="F2540" s="45">
        <v>302.85000000000002</v>
      </c>
      <c r="G2540" s="44">
        <v>18</v>
      </c>
      <c r="H2540" s="45">
        <v>121.14</v>
      </c>
      <c r="I2540" s="45">
        <v>6.73</v>
      </c>
      <c r="J2540" s="45">
        <v>6.73</v>
      </c>
      <c r="K2540" s="46">
        <v>0</v>
      </c>
    </row>
    <row r="2541" spans="1:11" x14ac:dyDescent="0.2">
      <c r="A2541" s="38" t="s">
        <v>7</v>
      </c>
      <c r="B2541" s="38" t="s">
        <v>10498</v>
      </c>
      <c r="C2541" s="43" t="s">
        <v>10499</v>
      </c>
      <c r="D2541" s="38" t="s">
        <v>13143</v>
      </c>
      <c r="E2541" s="44">
        <v>14</v>
      </c>
      <c r="F2541" s="45">
        <v>560</v>
      </c>
      <c r="G2541" s="44">
        <v>16</v>
      </c>
      <c r="H2541" s="45">
        <v>640</v>
      </c>
      <c r="I2541" s="45">
        <v>40</v>
      </c>
      <c r="J2541" s="45">
        <v>40</v>
      </c>
      <c r="K2541" s="46">
        <v>0</v>
      </c>
    </row>
    <row r="2542" spans="1:11" x14ac:dyDescent="0.2">
      <c r="A2542" s="38" t="s">
        <v>7</v>
      </c>
      <c r="B2542" s="38" t="s">
        <v>10508</v>
      </c>
      <c r="C2542" s="43" t="s">
        <v>10509</v>
      </c>
      <c r="D2542" s="38" t="s">
        <v>13144</v>
      </c>
      <c r="G2542" s="44">
        <v>2</v>
      </c>
      <c r="H2542" s="45">
        <v>146.62</v>
      </c>
      <c r="J2542" s="45">
        <v>73.31</v>
      </c>
    </row>
    <row r="2543" spans="1:11" x14ac:dyDescent="0.2">
      <c r="A2543" s="38" t="s">
        <v>7</v>
      </c>
      <c r="B2543" s="38" t="s">
        <v>10514</v>
      </c>
      <c r="C2543" s="43" t="s">
        <v>10515</v>
      </c>
      <c r="D2543" s="38" t="s">
        <v>13145</v>
      </c>
      <c r="G2543" s="44">
        <v>2</v>
      </c>
      <c r="H2543" s="45">
        <v>25.82</v>
      </c>
      <c r="J2543" s="45">
        <v>12.91</v>
      </c>
    </row>
    <row r="2544" spans="1:11" x14ac:dyDescent="0.2">
      <c r="A2544" s="38" t="s">
        <v>7</v>
      </c>
      <c r="B2544" s="38" t="s">
        <v>10519</v>
      </c>
      <c r="C2544" s="43" t="s">
        <v>10520</v>
      </c>
      <c r="D2544" s="38" t="s">
        <v>13109</v>
      </c>
      <c r="E2544" s="44">
        <v>11</v>
      </c>
      <c r="F2544" s="45">
        <v>198</v>
      </c>
      <c r="G2544" s="44">
        <v>14</v>
      </c>
      <c r="H2544" s="45">
        <v>252</v>
      </c>
      <c r="I2544" s="45">
        <v>18</v>
      </c>
      <c r="J2544" s="45">
        <v>18</v>
      </c>
      <c r="K2544" s="46">
        <v>0</v>
      </c>
    </row>
    <row r="2545" spans="1:11" x14ac:dyDescent="0.2">
      <c r="A2545" s="38" t="s">
        <v>7</v>
      </c>
      <c r="B2545" s="38" t="s">
        <v>10525</v>
      </c>
      <c r="C2545" s="43" t="s">
        <v>10526</v>
      </c>
      <c r="D2545" s="38" t="s">
        <v>13146</v>
      </c>
      <c r="E2545" s="44">
        <v>1</v>
      </c>
      <c r="F2545" s="45">
        <v>18</v>
      </c>
      <c r="G2545" s="44">
        <v>0</v>
      </c>
      <c r="H2545" s="45">
        <v>0</v>
      </c>
      <c r="I2545" s="45">
        <v>18</v>
      </c>
    </row>
    <row r="2546" spans="1:11" x14ac:dyDescent="0.2">
      <c r="A2546" s="38" t="s">
        <v>7</v>
      </c>
      <c r="B2546" s="38" t="s">
        <v>10534</v>
      </c>
      <c r="C2546" s="43" t="s">
        <v>10535</v>
      </c>
      <c r="D2546" s="38" t="s">
        <v>13146</v>
      </c>
      <c r="E2546" s="44">
        <v>1</v>
      </c>
      <c r="F2546" s="45">
        <v>18</v>
      </c>
      <c r="G2546" s="44">
        <v>0</v>
      </c>
      <c r="H2546" s="45">
        <v>0</v>
      </c>
      <c r="I2546" s="45">
        <v>18</v>
      </c>
    </row>
    <row r="2547" spans="1:11" x14ac:dyDescent="0.2">
      <c r="A2547" s="38" t="s">
        <v>7</v>
      </c>
      <c r="B2547" s="38" t="s">
        <v>10557</v>
      </c>
      <c r="C2547" s="43" t="s">
        <v>10558</v>
      </c>
      <c r="D2547" s="38" t="s">
        <v>13147</v>
      </c>
      <c r="E2547" s="44">
        <v>3</v>
      </c>
      <c r="F2547" s="45">
        <v>244.35</v>
      </c>
      <c r="G2547" s="44">
        <v>3</v>
      </c>
      <c r="H2547" s="45">
        <v>244.35</v>
      </c>
      <c r="I2547" s="45">
        <v>81.45</v>
      </c>
      <c r="J2547" s="45">
        <v>81.45</v>
      </c>
      <c r="K2547" s="46">
        <v>0</v>
      </c>
    </row>
    <row r="2548" spans="1:11" x14ac:dyDescent="0.2">
      <c r="A2548" s="38" t="s">
        <v>7</v>
      </c>
      <c r="B2548" s="38" t="s">
        <v>10560</v>
      </c>
      <c r="C2548" s="43" t="s">
        <v>10561</v>
      </c>
      <c r="D2548" s="38" t="s">
        <v>13148</v>
      </c>
      <c r="E2548" s="44">
        <v>3</v>
      </c>
      <c r="F2548" s="45">
        <v>244.35</v>
      </c>
      <c r="G2548" s="44">
        <v>3</v>
      </c>
      <c r="H2548" s="45">
        <v>244.35</v>
      </c>
      <c r="I2548" s="45">
        <v>81.45</v>
      </c>
      <c r="J2548" s="45">
        <v>81.45</v>
      </c>
      <c r="K2548" s="46">
        <v>0</v>
      </c>
    </row>
    <row r="2549" spans="1:11" x14ac:dyDescent="0.2">
      <c r="A2549" s="38" t="s">
        <v>7</v>
      </c>
      <c r="B2549" s="38" t="s">
        <v>10566</v>
      </c>
      <c r="C2549" s="43" t="s">
        <v>10567</v>
      </c>
      <c r="D2549" s="38" t="s">
        <v>13149</v>
      </c>
      <c r="G2549" s="44">
        <v>10</v>
      </c>
      <c r="H2549" s="45">
        <v>342.8</v>
      </c>
      <c r="J2549" s="45">
        <v>34.28</v>
      </c>
    </row>
    <row r="2550" spans="1:11" x14ac:dyDescent="0.2">
      <c r="A2550" s="38" t="s">
        <v>7</v>
      </c>
      <c r="B2550" s="38" t="s">
        <v>10569</v>
      </c>
      <c r="C2550" s="43" t="s">
        <v>10570</v>
      </c>
      <c r="D2550" s="38" t="s">
        <v>13150</v>
      </c>
      <c r="G2550" s="44">
        <v>3</v>
      </c>
      <c r="H2550" s="45">
        <v>82.53</v>
      </c>
      <c r="J2550" s="45">
        <v>27.51</v>
      </c>
    </row>
    <row r="2551" spans="1:11" x14ac:dyDescent="0.2">
      <c r="A2551" s="38" t="s">
        <v>7</v>
      </c>
      <c r="B2551" s="38" t="s">
        <v>10572</v>
      </c>
      <c r="C2551" s="43" t="s">
        <v>10573</v>
      </c>
      <c r="D2551" s="38" t="s">
        <v>13151</v>
      </c>
      <c r="G2551" s="44">
        <v>6</v>
      </c>
      <c r="H2551" s="45">
        <v>342.12</v>
      </c>
      <c r="J2551" s="45">
        <v>57.02</v>
      </c>
    </row>
    <row r="2552" spans="1:11" x14ac:dyDescent="0.2">
      <c r="A2552" s="38" t="s">
        <v>7</v>
      </c>
      <c r="B2552" s="38" t="s">
        <v>10578</v>
      </c>
      <c r="C2552" s="43" t="s">
        <v>10579</v>
      </c>
      <c r="D2552" s="38" t="s">
        <v>13152</v>
      </c>
      <c r="E2552" s="44">
        <v>2</v>
      </c>
      <c r="F2552" s="45">
        <v>215.84</v>
      </c>
      <c r="G2552" s="44">
        <v>1</v>
      </c>
      <c r="H2552" s="45">
        <v>107.92</v>
      </c>
      <c r="I2552" s="45">
        <v>107.92</v>
      </c>
      <c r="J2552" s="45">
        <v>107.92</v>
      </c>
      <c r="K2552" s="46">
        <v>0</v>
      </c>
    </row>
    <row r="2553" spans="1:11" x14ac:dyDescent="0.2">
      <c r="A2553" s="38" t="s">
        <v>7</v>
      </c>
      <c r="B2553" s="38" t="s">
        <v>10583</v>
      </c>
      <c r="C2553" s="43" t="s">
        <v>10584</v>
      </c>
      <c r="D2553" s="38" t="s">
        <v>13152</v>
      </c>
      <c r="G2553" s="44">
        <v>1</v>
      </c>
      <c r="H2553" s="45">
        <v>107.92</v>
      </c>
      <c r="J2553" s="45">
        <v>107.92</v>
      </c>
    </row>
    <row r="2554" spans="1:11" x14ac:dyDescent="0.2">
      <c r="A2554" s="38" t="s">
        <v>7</v>
      </c>
      <c r="B2554" s="38" t="s">
        <v>10585</v>
      </c>
      <c r="C2554" s="43" t="s">
        <v>2182</v>
      </c>
      <c r="D2554" s="38" t="s">
        <v>12339</v>
      </c>
      <c r="E2554" s="44">
        <v>7</v>
      </c>
      <c r="F2554" s="45">
        <v>57.05</v>
      </c>
      <c r="G2554" s="44">
        <v>6</v>
      </c>
      <c r="H2554" s="45">
        <v>48.9</v>
      </c>
      <c r="I2554" s="45">
        <v>8.15</v>
      </c>
      <c r="J2554" s="45">
        <v>8.15</v>
      </c>
      <c r="K2554" s="46">
        <v>0</v>
      </c>
    </row>
    <row r="2555" spans="1:11" x14ac:dyDescent="0.2">
      <c r="A2555" s="38" t="s">
        <v>7</v>
      </c>
      <c r="B2555" s="38" t="s">
        <v>10586</v>
      </c>
      <c r="C2555" s="43" t="s">
        <v>10587</v>
      </c>
      <c r="D2555" s="38" t="s">
        <v>13136</v>
      </c>
      <c r="G2555" s="44">
        <v>2</v>
      </c>
      <c r="H2555" s="45">
        <v>29.32</v>
      </c>
      <c r="J2555" s="45">
        <v>14.66</v>
      </c>
    </row>
    <row r="2556" spans="1:11" x14ac:dyDescent="0.2">
      <c r="A2556" s="38" t="s">
        <v>7</v>
      </c>
      <c r="B2556" s="38" t="s">
        <v>10588</v>
      </c>
      <c r="C2556" s="43" t="s">
        <v>10589</v>
      </c>
      <c r="D2556" s="38" t="s">
        <v>13153</v>
      </c>
      <c r="G2556" s="44">
        <v>1</v>
      </c>
      <c r="H2556" s="45">
        <v>5.83</v>
      </c>
      <c r="J2556" s="45">
        <v>5.83</v>
      </c>
    </row>
    <row r="2557" spans="1:11" x14ac:dyDescent="0.2">
      <c r="A2557" s="38" t="s">
        <v>7</v>
      </c>
      <c r="B2557" s="38" t="s">
        <v>10603</v>
      </c>
      <c r="C2557" s="43" t="s">
        <v>10604</v>
      </c>
      <c r="D2557" s="38" t="s">
        <v>12213</v>
      </c>
      <c r="G2557" s="44">
        <v>5</v>
      </c>
      <c r="H2557" s="45">
        <v>14186</v>
      </c>
      <c r="J2557" s="45">
        <v>2837.2</v>
      </c>
    </row>
    <row r="2558" spans="1:11" x14ac:dyDescent="0.2">
      <c r="A2558" s="38" t="s">
        <v>7</v>
      </c>
      <c r="B2558" s="38" t="s">
        <v>10606</v>
      </c>
      <c r="C2558" s="43" t="s">
        <v>10607</v>
      </c>
      <c r="D2558" s="38" t="s">
        <v>12213</v>
      </c>
      <c r="E2558" s="44">
        <v>22</v>
      </c>
      <c r="F2558" s="45">
        <v>59398.75</v>
      </c>
      <c r="G2558" s="44">
        <v>10</v>
      </c>
      <c r="H2558" s="45">
        <v>32949.49</v>
      </c>
      <c r="I2558" s="45">
        <v>2699.943181818182</v>
      </c>
      <c r="J2558" s="45">
        <v>3294.9489999999996</v>
      </c>
      <c r="K2558" s="46">
        <v>0.22037716281908268</v>
      </c>
    </row>
    <row r="2559" spans="1:11" x14ac:dyDescent="0.2">
      <c r="A2559" s="38" t="s">
        <v>7</v>
      </c>
      <c r="B2559" s="38" t="s">
        <v>10612</v>
      </c>
      <c r="C2559" s="43" t="s">
        <v>10613</v>
      </c>
      <c r="D2559" s="38" t="s">
        <v>12213</v>
      </c>
      <c r="E2559" s="44">
        <v>16</v>
      </c>
      <c r="F2559" s="45">
        <v>82254.25</v>
      </c>
      <c r="G2559" s="44">
        <v>15</v>
      </c>
      <c r="H2559" s="45">
        <v>103867.72</v>
      </c>
      <c r="I2559" s="45">
        <v>5140.890625</v>
      </c>
      <c r="J2559" s="45">
        <v>6924.5146666666669</v>
      </c>
      <c r="K2559" s="46">
        <v>0.34694845149845355</v>
      </c>
    </row>
    <row r="2560" spans="1:11" x14ac:dyDescent="0.2">
      <c r="A2560" s="38" t="s">
        <v>7</v>
      </c>
      <c r="B2560" s="38" t="s">
        <v>10617</v>
      </c>
      <c r="C2560" s="43" t="s">
        <v>10618</v>
      </c>
      <c r="D2560" s="38" t="s">
        <v>12216</v>
      </c>
      <c r="G2560" s="44">
        <v>1</v>
      </c>
      <c r="H2560" s="45">
        <v>1969</v>
      </c>
      <c r="J2560" s="45">
        <v>1969</v>
      </c>
    </row>
    <row r="2561" spans="1:11" x14ac:dyDescent="0.2">
      <c r="A2561" s="38" t="s">
        <v>7</v>
      </c>
      <c r="B2561" s="38" t="s">
        <v>10630</v>
      </c>
      <c r="C2561" s="43" t="s">
        <v>10631</v>
      </c>
      <c r="D2561" s="38" t="s">
        <v>13154</v>
      </c>
      <c r="G2561" s="44">
        <v>1</v>
      </c>
      <c r="H2561" s="45">
        <v>739</v>
      </c>
      <c r="J2561" s="45">
        <v>739</v>
      </c>
    </row>
    <row r="2562" spans="1:11" x14ac:dyDescent="0.2">
      <c r="A2562" s="38" t="s">
        <v>7</v>
      </c>
      <c r="B2562" s="38" t="s">
        <v>10632</v>
      </c>
      <c r="C2562" s="43" t="s">
        <v>10633</v>
      </c>
      <c r="D2562" s="38" t="s">
        <v>12213</v>
      </c>
      <c r="G2562" s="44">
        <v>4</v>
      </c>
      <c r="H2562" s="45">
        <v>11159.5</v>
      </c>
      <c r="J2562" s="45">
        <v>2789.875</v>
      </c>
    </row>
    <row r="2563" spans="1:11" x14ac:dyDescent="0.2">
      <c r="A2563" s="38" t="s">
        <v>7</v>
      </c>
      <c r="B2563" s="38" t="s">
        <v>10643</v>
      </c>
      <c r="C2563" s="43" t="s">
        <v>10644</v>
      </c>
      <c r="D2563" s="38" t="s">
        <v>12240</v>
      </c>
      <c r="E2563" s="44">
        <v>47</v>
      </c>
      <c r="F2563" s="45">
        <v>78119</v>
      </c>
      <c r="G2563" s="44">
        <v>36</v>
      </c>
      <c r="H2563" s="45">
        <v>55100</v>
      </c>
      <c r="I2563" s="45">
        <v>1662.1063829787233</v>
      </c>
      <c r="J2563" s="45">
        <v>1530.5555555555557</v>
      </c>
      <c r="K2563" s="46">
        <v>-7.9147056271699337E-2</v>
      </c>
    </row>
    <row r="2564" spans="1:11" x14ac:dyDescent="0.2">
      <c r="A2564" s="38" t="s">
        <v>7</v>
      </c>
      <c r="B2564" s="38" t="s">
        <v>10646</v>
      </c>
      <c r="C2564" s="43" t="s">
        <v>10647</v>
      </c>
      <c r="D2564" s="38" t="s">
        <v>12213</v>
      </c>
      <c r="E2564" s="44">
        <v>20</v>
      </c>
      <c r="F2564" s="45">
        <v>21069.5</v>
      </c>
      <c r="G2564" s="44">
        <v>9</v>
      </c>
      <c r="H2564" s="45">
        <v>12021.5</v>
      </c>
      <c r="I2564" s="45">
        <v>1053.4749999999999</v>
      </c>
      <c r="J2564" s="45">
        <v>1335.7222222222222</v>
      </c>
      <c r="K2564" s="46">
        <v>0.26792019005882656</v>
      </c>
    </row>
    <row r="2565" spans="1:11" x14ac:dyDescent="0.2">
      <c r="A2565" s="38" t="s">
        <v>7</v>
      </c>
      <c r="B2565" s="38" t="s">
        <v>10649</v>
      </c>
      <c r="C2565" s="43" t="s">
        <v>10650</v>
      </c>
      <c r="D2565" s="38" t="s">
        <v>12237</v>
      </c>
      <c r="G2565" s="44">
        <v>1</v>
      </c>
      <c r="H2565" s="45">
        <v>100</v>
      </c>
      <c r="J2565" s="45">
        <v>100</v>
      </c>
    </row>
    <row r="2566" spans="1:11" x14ac:dyDescent="0.2">
      <c r="A2566" s="38" t="s">
        <v>7</v>
      </c>
      <c r="B2566" s="38" t="s">
        <v>10652</v>
      </c>
      <c r="C2566" s="43" t="s">
        <v>10653</v>
      </c>
      <c r="D2566" s="38" t="s">
        <v>12241</v>
      </c>
      <c r="E2566" s="44">
        <v>55</v>
      </c>
      <c r="F2566" s="45">
        <v>22432</v>
      </c>
      <c r="G2566" s="44">
        <v>62</v>
      </c>
      <c r="H2566" s="45">
        <v>30041</v>
      </c>
      <c r="I2566" s="45">
        <v>407.85454545454547</v>
      </c>
      <c r="J2566" s="45">
        <v>484.53225806451616</v>
      </c>
      <c r="K2566" s="46">
        <v>0.18800259422023838</v>
      </c>
    </row>
    <row r="2567" spans="1:11" x14ac:dyDescent="0.2">
      <c r="A2567" s="38" t="s">
        <v>7</v>
      </c>
      <c r="B2567" s="38" t="s">
        <v>10655</v>
      </c>
      <c r="C2567" s="43" t="s">
        <v>10656</v>
      </c>
      <c r="D2567" s="38" t="s">
        <v>13155</v>
      </c>
      <c r="E2567" s="44">
        <v>114</v>
      </c>
      <c r="F2567" s="45">
        <v>7081</v>
      </c>
      <c r="G2567" s="44">
        <v>158</v>
      </c>
      <c r="H2567" s="45">
        <v>11464</v>
      </c>
      <c r="I2567" s="45">
        <v>62.114035087719301</v>
      </c>
      <c r="J2567" s="45">
        <v>72.556962025316452</v>
      </c>
      <c r="K2567" s="46">
        <v>0.16812507709166433</v>
      </c>
    </row>
    <row r="2568" spans="1:11" x14ac:dyDescent="0.2">
      <c r="A2568" s="38" t="s">
        <v>7</v>
      </c>
      <c r="B2568" s="38" t="s">
        <v>10657</v>
      </c>
      <c r="C2568" s="43" t="s">
        <v>10658</v>
      </c>
      <c r="D2568" s="38" t="s">
        <v>13155</v>
      </c>
      <c r="G2568" s="44">
        <v>5</v>
      </c>
      <c r="H2568" s="45">
        <v>350</v>
      </c>
      <c r="J2568" s="45">
        <v>70</v>
      </c>
    </row>
    <row r="2569" spans="1:11" x14ac:dyDescent="0.2">
      <c r="A2569" s="38" t="s">
        <v>7</v>
      </c>
      <c r="B2569" s="38" t="s">
        <v>10659</v>
      </c>
      <c r="C2569" s="43" t="s">
        <v>10660</v>
      </c>
      <c r="D2569" s="38" t="s">
        <v>12241</v>
      </c>
      <c r="E2569" s="44">
        <v>22</v>
      </c>
      <c r="F2569" s="45">
        <v>3190</v>
      </c>
      <c r="G2569" s="44">
        <v>16</v>
      </c>
      <c r="H2569" s="45">
        <v>2998</v>
      </c>
      <c r="I2569" s="45">
        <v>145</v>
      </c>
      <c r="J2569" s="45">
        <v>187.375</v>
      </c>
      <c r="K2569" s="46">
        <v>0.29224137931034483</v>
      </c>
    </row>
    <row r="2570" spans="1:11" x14ac:dyDescent="0.2">
      <c r="A2570" s="38" t="s">
        <v>7</v>
      </c>
      <c r="B2570" s="38" t="s">
        <v>10662</v>
      </c>
      <c r="C2570" s="43" t="s">
        <v>10663</v>
      </c>
      <c r="D2570" s="38" t="s">
        <v>13156</v>
      </c>
      <c r="G2570" s="44">
        <v>1</v>
      </c>
      <c r="H2570" s="45">
        <v>20233</v>
      </c>
      <c r="J2570" s="45">
        <v>20233</v>
      </c>
    </row>
    <row r="2571" spans="1:11" x14ac:dyDescent="0.2">
      <c r="A2571" s="38" t="s">
        <v>7</v>
      </c>
      <c r="B2571" s="38" t="s">
        <v>10665</v>
      </c>
      <c r="C2571" s="43" t="s">
        <v>10666</v>
      </c>
      <c r="D2571" s="38" t="s">
        <v>12238</v>
      </c>
      <c r="G2571" s="44">
        <v>2</v>
      </c>
      <c r="H2571" s="45">
        <v>206233.76</v>
      </c>
      <c r="J2571" s="45">
        <v>103116.88</v>
      </c>
    </row>
    <row r="2572" spans="1:11" x14ac:dyDescent="0.2">
      <c r="A2572" s="38" t="s">
        <v>7</v>
      </c>
      <c r="B2572" s="38" t="s">
        <v>10668</v>
      </c>
      <c r="C2572" s="43" t="s">
        <v>10669</v>
      </c>
      <c r="D2572" s="38" t="s">
        <v>12221</v>
      </c>
      <c r="G2572" s="44">
        <v>1</v>
      </c>
      <c r="H2572" s="45">
        <v>2121</v>
      </c>
      <c r="J2572" s="45">
        <v>2121</v>
      </c>
    </row>
    <row r="2573" spans="1:11" x14ac:dyDescent="0.2">
      <c r="A2573" s="38" t="s">
        <v>7</v>
      </c>
      <c r="B2573" s="38" t="s">
        <v>10670</v>
      </c>
      <c r="C2573" s="43" t="s">
        <v>10671</v>
      </c>
      <c r="D2573" s="38" t="s">
        <v>12221</v>
      </c>
      <c r="G2573" s="44">
        <v>1</v>
      </c>
      <c r="H2573" s="45">
        <v>3527</v>
      </c>
      <c r="J2573" s="45">
        <v>3527</v>
      </c>
    </row>
    <row r="2574" spans="1:11" x14ac:dyDescent="0.2">
      <c r="A2574" s="38" t="s">
        <v>7</v>
      </c>
      <c r="B2574" s="38" t="s">
        <v>10679</v>
      </c>
      <c r="C2574" s="43" t="s">
        <v>10680</v>
      </c>
      <c r="D2574" s="38" t="s">
        <v>12242</v>
      </c>
      <c r="E2574" s="44">
        <v>43</v>
      </c>
      <c r="F2574" s="45">
        <v>5373</v>
      </c>
      <c r="G2574" s="44">
        <v>32</v>
      </c>
      <c r="H2574" s="45">
        <v>6148</v>
      </c>
      <c r="I2574" s="45">
        <v>124.95348837209302</v>
      </c>
      <c r="J2574" s="45">
        <v>192.125</v>
      </c>
      <c r="K2574" s="46">
        <v>0.53757211985855202</v>
      </c>
    </row>
    <row r="2575" spans="1:11" x14ac:dyDescent="0.2">
      <c r="A2575" s="38" t="s">
        <v>7</v>
      </c>
      <c r="B2575" s="38" t="s">
        <v>10684</v>
      </c>
      <c r="C2575" s="43" t="s">
        <v>10685</v>
      </c>
      <c r="D2575" s="38" t="s">
        <v>12238</v>
      </c>
      <c r="G2575" s="44">
        <v>1</v>
      </c>
      <c r="H2575" s="45">
        <v>4337.3500000000004</v>
      </c>
      <c r="J2575" s="45">
        <v>4337.3500000000004</v>
      </c>
    </row>
    <row r="2576" spans="1:11" x14ac:dyDescent="0.2">
      <c r="A2576" s="38" t="s">
        <v>7</v>
      </c>
      <c r="B2576" s="38" t="s">
        <v>10687</v>
      </c>
      <c r="C2576" s="43" t="s">
        <v>10688</v>
      </c>
      <c r="D2576" s="38" t="s">
        <v>12221</v>
      </c>
      <c r="E2576" s="44">
        <v>50</v>
      </c>
      <c r="F2576" s="45">
        <v>157010</v>
      </c>
      <c r="G2576" s="44">
        <v>27</v>
      </c>
      <c r="H2576" s="45">
        <v>80526</v>
      </c>
      <c r="I2576" s="45">
        <v>3140.2</v>
      </c>
      <c r="J2576" s="45">
        <v>2982.4444444444443</v>
      </c>
      <c r="K2576" s="46">
        <v>-5.0237422952536616E-2</v>
      </c>
    </row>
    <row r="2577" spans="1:11" x14ac:dyDescent="0.2">
      <c r="A2577" s="38" t="s">
        <v>7</v>
      </c>
      <c r="B2577" s="38" t="s">
        <v>10690</v>
      </c>
      <c r="C2577" s="43" t="s">
        <v>10691</v>
      </c>
      <c r="D2577" s="38" t="s">
        <v>12221</v>
      </c>
      <c r="E2577" s="44">
        <v>11</v>
      </c>
      <c r="F2577" s="45">
        <v>10351</v>
      </c>
      <c r="G2577" s="44">
        <v>6</v>
      </c>
      <c r="H2577" s="45">
        <v>5646</v>
      </c>
      <c r="I2577" s="45">
        <v>941</v>
      </c>
      <c r="J2577" s="45">
        <v>941</v>
      </c>
      <c r="K2577" s="46">
        <v>0</v>
      </c>
    </row>
    <row r="2578" spans="1:11" x14ac:dyDescent="0.2">
      <c r="A2578" s="38" t="s">
        <v>7</v>
      </c>
      <c r="B2578" s="38" t="s">
        <v>10693</v>
      </c>
      <c r="C2578" s="43" t="s">
        <v>10694</v>
      </c>
      <c r="D2578" s="38" t="s">
        <v>12221</v>
      </c>
      <c r="E2578" s="44">
        <v>6</v>
      </c>
      <c r="F2578" s="45">
        <v>5646</v>
      </c>
      <c r="G2578" s="44">
        <v>7</v>
      </c>
      <c r="H2578" s="45">
        <v>6533</v>
      </c>
      <c r="I2578" s="45">
        <v>941</v>
      </c>
      <c r="J2578" s="45">
        <v>933.28571428571433</v>
      </c>
      <c r="K2578" s="46">
        <v>-8.1979656899953939E-3</v>
      </c>
    </row>
    <row r="2579" spans="1:11" x14ac:dyDescent="0.2">
      <c r="A2579" s="38" t="s">
        <v>7</v>
      </c>
      <c r="B2579" s="38" t="s">
        <v>10696</v>
      </c>
      <c r="C2579" s="43" t="s">
        <v>10697</v>
      </c>
      <c r="D2579" s="38" t="s">
        <v>12221</v>
      </c>
      <c r="G2579" s="44">
        <v>5</v>
      </c>
      <c r="H2579" s="45">
        <v>13961.05</v>
      </c>
      <c r="J2579" s="45">
        <v>2792.21</v>
      </c>
    </row>
    <row r="2580" spans="1:11" x14ac:dyDescent="0.2">
      <c r="A2580" s="38" t="s">
        <v>7</v>
      </c>
      <c r="B2580" s="38" t="s">
        <v>10699</v>
      </c>
      <c r="C2580" s="43" t="s">
        <v>10700</v>
      </c>
      <c r="D2580" s="38" t="s">
        <v>12238</v>
      </c>
      <c r="E2580" s="44">
        <v>13</v>
      </c>
      <c r="F2580" s="45">
        <v>2275</v>
      </c>
      <c r="G2580" s="44">
        <v>7</v>
      </c>
      <c r="H2580" s="45">
        <v>1260</v>
      </c>
      <c r="I2580" s="45">
        <v>175</v>
      </c>
      <c r="J2580" s="45">
        <v>180</v>
      </c>
      <c r="K2580" s="46">
        <v>2.8571428571428571E-2</v>
      </c>
    </row>
    <row r="2581" spans="1:11" x14ac:dyDescent="0.2">
      <c r="A2581" s="38" t="s">
        <v>7</v>
      </c>
      <c r="B2581" s="38" t="s">
        <v>10702</v>
      </c>
      <c r="C2581" s="43" t="s">
        <v>10703</v>
      </c>
      <c r="D2581" s="38" t="s">
        <v>12238</v>
      </c>
      <c r="G2581" s="44">
        <v>6</v>
      </c>
      <c r="H2581" s="45">
        <v>374358</v>
      </c>
      <c r="J2581" s="45">
        <v>62393</v>
      </c>
    </row>
    <row r="2582" spans="1:11" x14ac:dyDescent="0.2">
      <c r="A2582" s="38" t="s">
        <v>7</v>
      </c>
      <c r="B2582" s="38" t="s">
        <v>10708</v>
      </c>
      <c r="C2582" s="43" t="s">
        <v>10709</v>
      </c>
      <c r="D2582" s="38" t="s">
        <v>12238</v>
      </c>
      <c r="G2582" s="44">
        <v>1</v>
      </c>
      <c r="H2582" s="45">
        <v>673</v>
      </c>
      <c r="J2582" s="45">
        <v>673</v>
      </c>
    </row>
    <row r="2583" spans="1:11" x14ac:dyDescent="0.2">
      <c r="A2583" s="38" t="s">
        <v>7</v>
      </c>
      <c r="B2583" s="38" t="s">
        <v>10714</v>
      </c>
      <c r="C2583" s="43" t="s">
        <v>10715</v>
      </c>
      <c r="D2583" s="38" t="s">
        <v>12242</v>
      </c>
      <c r="E2583" s="44">
        <v>31</v>
      </c>
      <c r="F2583" s="45">
        <v>14196</v>
      </c>
      <c r="G2583" s="44">
        <v>22</v>
      </c>
      <c r="H2583" s="45">
        <v>10472</v>
      </c>
      <c r="I2583" s="45">
        <v>457.93548387096774</v>
      </c>
      <c r="J2583" s="45">
        <v>476</v>
      </c>
      <c r="K2583" s="46">
        <v>3.9447731755424056E-2</v>
      </c>
    </row>
    <row r="2584" spans="1:11" x14ac:dyDescent="0.2">
      <c r="A2584" s="38" t="s">
        <v>7</v>
      </c>
      <c r="B2584" s="38" t="s">
        <v>10722</v>
      </c>
      <c r="C2584" s="43" t="s">
        <v>10723</v>
      </c>
      <c r="D2584" s="38" t="s">
        <v>12242</v>
      </c>
      <c r="E2584" s="44">
        <v>4</v>
      </c>
      <c r="F2584" s="45">
        <v>14916</v>
      </c>
      <c r="G2584" s="44">
        <v>5</v>
      </c>
      <c r="H2584" s="45">
        <v>15699</v>
      </c>
      <c r="I2584" s="45">
        <v>3729</v>
      </c>
      <c r="J2584" s="45">
        <v>3139.8</v>
      </c>
      <c r="K2584" s="46">
        <v>-0.15800482703137567</v>
      </c>
    </row>
    <row r="2585" spans="1:11" x14ac:dyDescent="0.2">
      <c r="A2585" s="38" t="s">
        <v>7</v>
      </c>
      <c r="B2585" s="38" t="s">
        <v>10728</v>
      </c>
      <c r="C2585" s="43" t="s">
        <v>10729</v>
      </c>
      <c r="D2585" s="38" t="s">
        <v>13157</v>
      </c>
      <c r="G2585" s="44">
        <v>1</v>
      </c>
      <c r="H2585" s="45">
        <v>3172</v>
      </c>
      <c r="J2585" s="45">
        <v>3172</v>
      </c>
    </row>
    <row r="2586" spans="1:11" x14ac:dyDescent="0.2">
      <c r="A2586" s="38" t="s">
        <v>7</v>
      </c>
      <c r="B2586" s="38" t="s">
        <v>10731</v>
      </c>
      <c r="C2586" s="43" t="s">
        <v>10732</v>
      </c>
      <c r="D2586" s="38" t="s">
        <v>13157</v>
      </c>
      <c r="E2586" s="44">
        <v>23</v>
      </c>
      <c r="F2586" s="45">
        <v>198132.58</v>
      </c>
      <c r="G2586" s="44">
        <v>21</v>
      </c>
      <c r="H2586" s="45">
        <v>180903.66</v>
      </c>
      <c r="I2586" s="45">
        <v>8614.4599999999991</v>
      </c>
      <c r="J2586" s="45">
        <v>8614.4600000000009</v>
      </c>
      <c r="K2586" s="46">
        <v>2.1115536012075704E-16</v>
      </c>
    </row>
    <row r="2587" spans="1:11" x14ac:dyDescent="0.2">
      <c r="A2587" s="38" t="s">
        <v>7</v>
      </c>
      <c r="B2587" s="38" t="s">
        <v>10734</v>
      </c>
      <c r="C2587" s="43" t="s">
        <v>10735</v>
      </c>
      <c r="D2587" s="38" t="s">
        <v>12242</v>
      </c>
      <c r="E2587" s="44">
        <v>9</v>
      </c>
      <c r="F2587" s="45">
        <v>39801</v>
      </c>
      <c r="G2587" s="44">
        <v>6</v>
      </c>
      <c r="H2587" s="45">
        <v>27438</v>
      </c>
      <c r="I2587" s="45">
        <v>4422.333333333333</v>
      </c>
      <c r="J2587" s="45">
        <v>4573</v>
      </c>
      <c r="K2587" s="46">
        <v>3.4069495741313106E-2</v>
      </c>
    </row>
    <row r="2588" spans="1:11" x14ac:dyDescent="0.2">
      <c r="A2588" s="38" t="s">
        <v>7</v>
      </c>
      <c r="B2588" s="38" t="s">
        <v>10740</v>
      </c>
      <c r="C2588" s="43" t="s">
        <v>10741</v>
      </c>
      <c r="D2588" s="38" t="s">
        <v>12237</v>
      </c>
      <c r="E2588" s="44">
        <v>37</v>
      </c>
      <c r="F2588" s="45">
        <v>13584</v>
      </c>
      <c r="G2588" s="44">
        <v>46</v>
      </c>
      <c r="H2588" s="45">
        <v>15240</v>
      </c>
      <c r="I2588" s="45">
        <v>367.13513513513516</v>
      </c>
      <c r="J2588" s="45">
        <v>331.30434782608694</v>
      </c>
      <c r="K2588" s="46">
        <v>-9.7595636810570083E-2</v>
      </c>
    </row>
    <row r="2589" spans="1:11" x14ac:dyDescent="0.2">
      <c r="A2589" s="38" t="s">
        <v>7</v>
      </c>
      <c r="B2589" s="38" t="s">
        <v>10743</v>
      </c>
      <c r="C2589" s="43" t="s">
        <v>10744</v>
      </c>
      <c r="D2589" s="38" t="s">
        <v>12221</v>
      </c>
      <c r="E2589" s="44">
        <v>54</v>
      </c>
      <c r="F2589" s="45">
        <v>64644</v>
      </c>
      <c r="G2589" s="44">
        <v>43</v>
      </c>
      <c r="H2589" s="45">
        <v>50642</v>
      </c>
      <c r="I2589" s="45">
        <v>1197.1111111111111</v>
      </c>
      <c r="J2589" s="45">
        <v>1177.7209302325582</v>
      </c>
      <c r="K2589" s="46">
        <v>-1.6197477993964725E-2</v>
      </c>
    </row>
    <row r="2590" spans="1:11" x14ac:dyDescent="0.2">
      <c r="A2590" s="38" t="s">
        <v>7</v>
      </c>
      <c r="B2590" s="38" t="s">
        <v>10746</v>
      </c>
      <c r="C2590" s="43" t="s">
        <v>10747</v>
      </c>
      <c r="D2590" s="38" t="s">
        <v>12221</v>
      </c>
      <c r="E2590" s="44">
        <v>33</v>
      </c>
      <c r="F2590" s="45">
        <v>38238</v>
      </c>
      <c r="G2590" s="44">
        <v>10</v>
      </c>
      <c r="H2590" s="45">
        <v>12160</v>
      </c>
      <c r="I2590" s="45">
        <v>1158.7272727272727</v>
      </c>
      <c r="J2590" s="45">
        <v>1216</v>
      </c>
      <c r="K2590" s="46">
        <v>4.9427271300800234E-2</v>
      </c>
    </row>
    <row r="2591" spans="1:11" x14ac:dyDescent="0.2">
      <c r="A2591" s="38" t="s">
        <v>7</v>
      </c>
      <c r="B2591" s="38" t="s">
        <v>10761</v>
      </c>
      <c r="C2591" s="43" t="s">
        <v>10762</v>
      </c>
      <c r="D2591" s="38" t="s">
        <v>12221</v>
      </c>
      <c r="E2591" s="44">
        <v>40</v>
      </c>
      <c r="F2591" s="45">
        <v>47772</v>
      </c>
      <c r="G2591" s="44">
        <v>22</v>
      </c>
      <c r="H2591" s="45">
        <v>27236</v>
      </c>
      <c r="I2591" s="45">
        <v>1194.3</v>
      </c>
      <c r="J2591" s="45">
        <v>1238</v>
      </c>
      <c r="K2591" s="46">
        <v>3.6590471405844469E-2</v>
      </c>
    </row>
    <row r="2592" spans="1:11" x14ac:dyDescent="0.2">
      <c r="A2592" s="38" t="s">
        <v>7</v>
      </c>
      <c r="B2592" s="38" t="s">
        <v>10764</v>
      </c>
      <c r="C2592" s="43" t="s">
        <v>10765</v>
      </c>
      <c r="D2592" s="38" t="s">
        <v>12221</v>
      </c>
      <c r="E2592" s="44">
        <v>4</v>
      </c>
      <c r="F2592" s="45">
        <v>15265.44</v>
      </c>
      <c r="G2592" s="44">
        <v>0</v>
      </c>
      <c r="H2592" s="45">
        <v>0</v>
      </c>
      <c r="I2592" s="45">
        <v>3816.36</v>
      </c>
    </row>
    <row r="2593" spans="1:11" x14ac:dyDescent="0.2">
      <c r="A2593" s="38" t="s">
        <v>7</v>
      </c>
      <c r="B2593" s="38" t="s">
        <v>10767</v>
      </c>
      <c r="C2593" s="43" t="s">
        <v>10768</v>
      </c>
      <c r="D2593" s="38" t="s">
        <v>12242</v>
      </c>
      <c r="G2593" s="44">
        <v>3</v>
      </c>
      <c r="H2593" s="45">
        <v>6105</v>
      </c>
      <c r="J2593" s="45">
        <v>2035</v>
      </c>
    </row>
    <row r="2594" spans="1:11" x14ac:dyDescent="0.2">
      <c r="A2594" s="38" t="s">
        <v>7</v>
      </c>
      <c r="B2594" s="38" t="s">
        <v>10770</v>
      </c>
      <c r="C2594" s="43" t="s">
        <v>10771</v>
      </c>
      <c r="D2594" s="38" t="s">
        <v>12242</v>
      </c>
      <c r="E2594" s="44">
        <v>60</v>
      </c>
      <c r="F2594" s="45">
        <v>78100</v>
      </c>
      <c r="G2594" s="44">
        <v>39</v>
      </c>
      <c r="H2594" s="45">
        <v>50907</v>
      </c>
      <c r="I2594" s="45">
        <v>1301.6666666666667</v>
      </c>
      <c r="J2594" s="45">
        <v>1305.3076923076924</v>
      </c>
      <c r="K2594" s="46">
        <v>2.7972027972027924E-3</v>
      </c>
    </row>
    <row r="2595" spans="1:11" x14ac:dyDescent="0.2">
      <c r="A2595" s="38" t="s">
        <v>7</v>
      </c>
      <c r="B2595" s="38" t="s">
        <v>10776</v>
      </c>
      <c r="C2595" s="43" t="s">
        <v>10777</v>
      </c>
      <c r="D2595" s="38" t="s">
        <v>12237</v>
      </c>
      <c r="E2595" s="44">
        <v>1</v>
      </c>
      <c r="F2595" s="45">
        <v>30</v>
      </c>
      <c r="G2595" s="44">
        <v>1</v>
      </c>
      <c r="H2595" s="45">
        <v>30</v>
      </c>
      <c r="I2595" s="45">
        <v>30</v>
      </c>
      <c r="J2595" s="45">
        <v>30</v>
      </c>
      <c r="K2595" s="46">
        <v>0</v>
      </c>
    </row>
    <row r="2596" spans="1:11" x14ac:dyDescent="0.2">
      <c r="A2596" s="38" t="s">
        <v>7</v>
      </c>
      <c r="B2596" s="38" t="s">
        <v>10778</v>
      </c>
      <c r="C2596" s="43" t="s">
        <v>10779</v>
      </c>
      <c r="D2596" s="38" t="s">
        <v>13158</v>
      </c>
      <c r="G2596" s="44">
        <v>5</v>
      </c>
      <c r="H2596" s="45">
        <v>8400</v>
      </c>
      <c r="J2596" s="45">
        <v>1680</v>
      </c>
    </row>
    <row r="2597" spans="1:11" x14ac:dyDescent="0.2">
      <c r="A2597" s="38" t="s">
        <v>7</v>
      </c>
      <c r="B2597" s="38" t="s">
        <v>10783</v>
      </c>
      <c r="C2597" s="43" t="s">
        <v>10784</v>
      </c>
      <c r="D2597" s="38" t="s">
        <v>12221</v>
      </c>
      <c r="E2597" s="44">
        <v>40</v>
      </c>
      <c r="F2597" s="45">
        <v>153348</v>
      </c>
      <c r="G2597" s="44">
        <v>21</v>
      </c>
      <c r="H2597" s="45">
        <v>80234</v>
      </c>
      <c r="I2597" s="45">
        <v>3833.7</v>
      </c>
      <c r="J2597" s="45">
        <v>3820.6666666666665</v>
      </c>
      <c r="K2597" s="46">
        <v>-3.399674813713463E-3</v>
      </c>
    </row>
    <row r="2598" spans="1:11" x14ac:dyDescent="0.2">
      <c r="A2598" s="38" t="s">
        <v>7</v>
      </c>
      <c r="B2598" s="38" t="s">
        <v>10786</v>
      </c>
      <c r="C2598" s="43" t="s">
        <v>10787</v>
      </c>
      <c r="D2598" s="38" t="s">
        <v>12221</v>
      </c>
      <c r="G2598" s="44">
        <v>2</v>
      </c>
      <c r="H2598" s="45">
        <v>42018</v>
      </c>
      <c r="J2598" s="45">
        <v>21009</v>
      </c>
    </row>
    <row r="2599" spans="1:11" x14ac:dyDescent="0.2">
      <c r="A2599" s="38" t="s">
        <v>7</v>
      </c>
      <c r="B2599" s="38" t="s">
        <v>10789</v>
      </c>
      <c r="C2599" s="43" t="s">
        <v>10790</v>
      </c>
      <c r="D2599" s="38" t="s">
        <v>12239</v>
      </c>
      <c r="E2599" s="44">
        <v>32</v>
      </c>
      <c r="F2599" s="45">
        <v>122981</v>
      </c>
      <c r="G2599" s="44">
        <v>35</v>
      </c>
      <c r="H2599" s="45">
        <v>125930</v>
      </c>
      <c r="I2599" s="45">
        <v>3843.15625</v>
      </c>
      <c r="J2599" s="45">
        <v>3598</v>
      </c>
      <c r="K2599" s="46">
        <v>-6.3790341597482536E-2</v>
      </c>
    </row>
    <row r="2600" spans="1:11" x14ac:dyDescent="0.2">
      <c r="A2600" s="38" t="s">
        <v>7</v>
      </c>
      <c r="B2600" s="38" t="s">
        <v>10795</v>
      </c>
      <c r="C2600" s="43" t="s">
        <v>10796</v>
      </c>
      <c r="D2600" s="38" t="s">
        <v>13158</v>
      </c>
      <c r="E2600" s="44">
        <v>17</v>
      </c>
      <c r="F2600" s="45">
        <v>29004</v>
      </c>
      <c r="G2600" s="44">
        <v>22</v>
      </c>
      <c r="H2600" s="45">
        <v>40242</v>
      </c>
      <c r="I2600" s="45">
        <v>1706.1176470588234</v>
      </c>
      <c r="J2600" s="45">
        <v>1829.1818181818182</v>
      </c>
      <c r="K2600" s="46">
        <v>7.2131116711174739E-2</v>
      </c>
    </row>
    <row r="2601" spans="1:11" x14ac:dyDescent="0.2">
      <c r="A2601" s="38" t="s">
        <v>7</v>
      </c>
      <c r="B2601" s="38" t="s">
        <v>10798</v>
      </c>
      <c r="C2601" s="43" t="s">
        <v>10799</v>
      </c>
      <c r="D2601" s="38" t="s">
        <v>13158</v>
      </c>
      <c r="E2601" s="44">
        <v>25</v>
      </c>
      <c r="F2601" s="45">
        <v>75717</v>
      </c>
      <c r="G2601" s="44">
        <v>21</v>
      </c>
      <c r="H2601" s="45">
        <v>56125</v>
      </c>
      <c r="I2601" s="45">
        <v>3028.68</v>
      </c>
      <c r="J2601" s="45">
        <v>2672.6190476190477</v>
      </c>
      <c r="K2601" s="46">
        <v>-0.11756308107193633</v>
      </c>
    </row>
    <row r="2602" spans="1:11" x14ac:dyDescent="0.2">
      <c r="A2602" s="38" t="s">
        <v>7</v>
      </c>
      <c r="B2602" s="38" t="s">
        <v>10801</v>
      </c>
      <c r="C2602" s="43" t="s">
        <v>10802</v>
      </c>
      <c r="D2602" s="38" t="s">
        <v>13158</v>
      </c>
      <c r="E2602" s="44">
        <v>18</v>
      </c>
      <c r="F2602" s="45">
        <v>50352</v>
      </c>
      <c r="G2602" s="44">
        <v>13</v>
      </c>
      <c r="H2602" s="45">
        <v>35618</v>
      </c>
      <c r="I2602" s="45">
        <v>2797.3333333333335</v>
      </c>
      <c r="J2602" s="45">
        <v>2739.8461538461538</v>
      </c>
      <c r="K2602" s="46">
        <v>-2.055070763364383E-2</v>
      </c>
    </row>
    <row r="2603" spans="1:11" x14ac:dyDescent="0.2">
      <c r="A2603" s="38" t="s">
        <v>7</v>
      </c>
      <c r="B2603" s="38" t="s">
        <v>10807</v>
      </c>
      <c r="C2603" s="43" t="s">
        <v>10808</v>
      </c>
      <c r="D2603" s="38" t="s">
        <v>13158</v>
      </c>
      <c r="E2603" s="44">
        <v>138</v>
      </c>
      <c r="F2603" s="45">
        <v>116830</v>
      </c>
      <c r="G2603" s="44">
        <v>143</v>
      </c>
      <c r="H2603" s="45">
        <v>149677</v>
      </c>
      <c r="I2603" s="45">
        <v>846.59420289855075</v>
      </c>
      <c r="J2603" s="45">
        <v>1046.6923076923076</v>
      </c>
      <c r="K2603" s="46">
        <v>0.23635657332481766</v>
      </c>
    </row>
    <row r="2604" spans="1:11" x14ac:dyDescent="0.2">
      <c r="A2604" s="38" t="s">
        <v>7</v>
      </c>
      <c r="B2604" s="38" t="s">
        <v>10809</v>
      </c>
      <c r="C2604" s="43" t="s">
        <v>10810</v>
      </c>
      <c r="D2604" s="38" t="s">
        <v>13158</v>
      </c>
      <c r="E2604" s="44">
        <v>22</v>
      </c>
      <c r="F2604" s="45">
        <v>31059.200000000001</v>
      </c>
      <c r="G2604" s="44">
        <v>26</v>
      </c>
      <c r="H2604" s="45">
        <v>38414</v>
      </c>
      <c r="I2604" s="45">
        <v>1411.7818181818182</v>
      </c>
      <c r="J2604" s="45">
        <v>1477.4615384615386</v>
      </c>
      <c r="K2604" s="46">
        <v>4.6522571288180284E-2</v>
      </c>
    </row>
    <row r="2605" spans="1:11" x14ac:dyDescent="0.2">
      <c r="A2605" s="38" t="s">
        <v>7</v>
      </c>
      <c r="B2605" s="38" t="s">
        <v>10812</v>
      </c>
      <c r="C2605" s="43" t="s">
        <v>10813</v>
      </c>
      <c r="D2605" s="38" t="s">
        <v>12242</v>
      </c>
      <c r="E2605" s="44">
        <v>6</v>
      </c>
      <c r="F2605" s="45">
        <v>2085</v>
      </c>
      <c r="G2605" s="44">
        <v>5</v>
      </c>
      <c r="H2605" s="45">
        <v>1805</v>
      </c>
      <c r="I2605" s="45">
        <v>347.5</v>
      </c>
      <c r="J2605" s="45">
        <v>361</v>
      </c>
      <c r="K2605" s="46">
        <v>3.884892086330935E-2</v>
      </c>
    </row>
    <row r="2606" spans="1:11" x14ac:dyDescent="0.2">
      <c r="A2606" s="38" t="s">
        <v>7</v>
      </c>
      <c r="B2606" s="38" t="s">
        <v>10821</v>
      </c>
      <c r="C2606" s="43" t="s">
        <v>10822</v>
      </c>
      <c r="D2606" s="38" t="s">
        <v>12221</v>
      </c>
      <c r="G2606" s="44">
        <v>2</v>
      </c>
      <c r="H2606" s="45">
        <v>3685</v>
      </c>
      <c r="J2606" s="45">
        <v>1842.5</v>
      </c>
    </row>
    <row r="2607" spans="1:11" x14ac:dyDescent="0.2">
      <c r="A2607" s="38" t="s">
        <v>7</v>
      </c>
      <c r="B2607" s="38" t="s">
        <v>10824</v>
      </c>
      <c r="C2607" s="43" t="s">
        <v>10825</v>
      </c>
      <c r="D2607" s="38" t="s">
        <v>13156</v>
      </c>
      <c r="E2607" s="44">
        <v>15</v>
      </c>
      <c r="F2607" s="45">
        <v>168330</v>
      </c>
      <c r="G2607" s="44">
        <v>17</v>
      </c>
      <c r="H2607" s="45">
        <v>213820</v>
      </c>
      <c r="I2607" s="45">
        <v>11222</v>
      </c>
      <c r="J2607" s="45">
        <v>12577.64705882353</v>
      </c>
      <c r="K2607" s="46">
        <v>0.12080262509566296</v>
      </c>
    </row>
    <row r="2608" spans="1:11" x14ac:dyDescent="0.2">
      <c r="A2608" s="38" t="s">
        <v>7</v>
      </c>
      <c r="B2608" s="38" t="s">
        <v>10827</v>
      </c>
      <c r="C2608" s="43" t="s">
        <v>10828</v>
      </c>
      <c r="D2608" s="38" t="s">
        <v>13156</v>
      </c>
      <c r="E2608" s="44">
        <v>7</v>
      </c>
      <c r="F2608" s="45">
        <v>121248.96000000001</v>
      </c>
      <c r="G2608" s="44">
        <v>4</v>
      </c>
      <c r="H2608" s="45">
        <v>72348</v>
      </c>
      <c r="I2608" s="45">
        <v>17321.280000000002</v>
      </c>
      <c r="J2608" s="45">
        <v>18087</v>
      </c>
      <c r="K2608" s="46">
        <v>4.4206894640580682E-2</v>
      </c>
    </row>
    <row r="2609" spans="1:11" x14ac:dyDescent="0.2">
      <c r="A2609" s="38" t="s">
        <v>7</v>
      </c>
      <c r="B2609" s="38" t="s">
        <v>10830</v>
      </c>
      <c r="C2609" s="43" t="s">
        <v>10831</v>
      </c>
      <c r="D2609" s="38" t="s">
        <v>12242</v>
      </c>
      <c r="E2609" s="44">
        <v>2</v>
      </c>
      <c r="F2609" s="45">
        <v>3566</v>
      </c>
      <c r="G2609" s="44">
        <v>0</v>
      </c>
      <c r="H2609" s="45">
        <v>0</v>
      </c>
      <c r="I2609" s="45">
        <v>1783</v>
      </c>
    </row>
    <row r="2610" spans="1:11" x14ac:dyDescent="0.2">
      <c r="A2610" s="38" t="s">
        <v>7</v>
      </c>
      <c r="B2610" s="38" t="s">
        <v>10833</v>
      </c>
      <c r="C2610" s="43" t="s">
        <v>10834</v>
      </c>
      <c r="D2610" s="38" t="s">
        <v>12242</v>
      </c>
      <c r="E2610" s="44">
        <v>22</v>
      </c>
      <c r="F2610" s="45">
        <v>48018</v>
      </c>
      <c r="G2610" s="44">
        <v>35</v>
      </c>
      <c r="H2610" s="45">
        <v>71022</v>
      </c>
      <c r="I2610" s="45">
        <v>2182.6363636363635</v>
      </c>
      <c r="J2610" s="45">
        <v>2029.2</v>
      </c>
      <c r="K2610" s="46">
        <v>-7.0298638010745901E-2</v>
      </c>
    </row>
    <row r="2611" spans="1:11" x14ac:dyDescent="0.2">
      <c r="A2611" s="38" t="s">
        <v>7</v>
      </c>
      <c r="B2611" s="38" t="s">
        <v>10836</v>
      </c>
      <c r="C2611" s="43" t="s">
        <v>10837</v>
      </c>
      <c r="D2611" s="38" t="s">
        <v>13159</v>
      </c>
      <c r="G2611" s="44">
        <v>4</v>
      </c>
      <c r="H2611" s="45">
        <v>145516</v>
      </c>
      <c r="J2611" s="45">
        <v>36379</v>
      </c>
    </row>
    <row r="2612" spans="1:11" x14ac:dyDescent="0.2">
      <c r="A2612" s="38" t="s">
        <v>7</v>
      </c>
      <c r="B2612" s="38" t="s">
        <v>10839</v>
      </c>
      <c r="C2612" s="43" t="s">
        <v>10840</v>
      </c>
      <c r="D2612" s="38" t="s">
        <v>13159</v>
      </c>
      <c r="E2612" s="44">
        <v>4</v>
      </c>
      <c r="F2612" s="45">
        <v>140126</v>
      </c>
      <c r="G2612" s="44">
        <v>3</v>
      </c>
      <c r="H2612" s="45">
        <v>105657</v>
      </c>
      <c r="I2612" s="45">
        <v>35031.5</v>
      </c>
      <c r="J2612" s="45">
        <v>35219</v>
      </c>
      <c r="K2612" s="46">
        <v>5.3523257639552973E-3</v>
      </c>
    </row>
    <row r="2613" spans="1:11" x14ac:dyDescent="0.2">
      <c r="A2613" s="38" t="s">
        <v>7</v>
      </c>
      <c r="B2613" s="38" t="s">
        <v>10845</v>
      </c>
      <c r="C2613" s="43" t="s">
        <v>10846</v>
      </c>
      <c r="D2613" s="38" t="s">
        <v>13159</v>
      </c>
      <c r="E2613" s="44">
        <v>3</v>
      </c>
      <c r="F2613" s="45">
        <v>99019</v>
      </c>
      <c r="G2613" s="44">
        <v>0</v>
      </c>
      <c r="H2613" s="45">
        <v>0</v>
      </c>
      <c r="I2613" s="45">
        <v>33006.333333333336</v>
      </c>
    </row>
    <row r="2614" spans="1:11" x14ac:dyDescent="0.2">
      <c r="A2614" s="38" t="s">
        <v>7</v>
      </c>
      <c r="B2614" s="38" t="s">
        <v>10848</v>
      </c>
      <c r="C2614" s="43" t="s">
        <v>10849</v>
      </c>
      <c r="D2614" s="38" t="s">
        <v>13158</v>
      </c>
      <c r="E2614" s="44">
        <v>201</v>
      </c>
      <c r="F2614" s="45">
        <v>385013</v>
      </c>
      <c r="G2614" s="44">
        <v>141</v>
      </c>
      <c r="H2614" s="45">
        <v>277013</v>
      </c>
      <c r="I2614" s="45">
        <v>1915.4875621890546</v>
      </c>
      <c r="J2614" s="45">
        <v>1964.6312056737588</v>
      </c>
      <c r="K2614" s="46">
        <v>2.5655944969197243E-2</v>
      </c>
    </row>
    <row r="2615" spans="1:11" x14ac:dyDescent="0.2">
      <c r="A2615" s="38" t="s">
        <v>7</v>
      </c>
      <c r="B2615" s="38" t="s">
        <v>10851</v>
      </c>
      <c r="C2615" s="43" t="s">
        <v>10852</v>
      </c>
      <c r="D2615" s="38" t="s">
        <v>12236</v>
      </c>
      <c r="G2615" s="44">
        <v>1</v>
      </c>
      <c r="H2615" s="45">
        <v>33831</v>
      </c>
      <c r="J2615" s="45">
        <v>33831</v>
      </c>
    </row>
    <row r="2616" spans="1:11" x14ac:dyDescent="0.2">
      <c r="A2616" s="38" t="s">
        <v>7</v>
      </c>
      <c r="B2616" s="38" t="s">
        <v>10854</v>
      </c>
      <c r="C2616" s="43" t="s">
        <v>10855</v>
      </c>
      <c r="D2616" s="38" t="s">
        <v>13156</v>
      </c>
      <c r="E2616" s="44">
        <v>2</v>
      </c>
      <c r="F2616" s="45">
        <v>97402.6</v>
      </c>
      <c r="G2616" s="44">
        <v>0</v>
      </c>
      <c r="H2616" s="45">
        <v>0</v>
      </c>
      <c r="I2616" s="45">
        <v>48701.3</v>
      </c>
    </row>
    <row r="2617" spans="1:11" x14ac:dyDescent="0.2">
      <c r="A2617" s="38" t="s">
        <v>7</v>
      </c>
      <c r="B2617" s="38" t="s">
        <v>10857</v>
      </c>
      <c r="C2617" s="43" t="s">
        <v>10858</v>
      </c>
      <c r="D2617" s="38" t="s">
        <v>12238</v>
      </c>
      <c r="E2617" s="44">
        <v>1</v>
      </c>
      <c r="F2617" s="45">
        <v>45454.54</v>
      </c>
      <c r="G2617" s="44">
        <v>0</v>
      </c>
      <c r="H2617" s="45">
        <v>0</v>
      </c>
      <c r="I2617" s="45">
        <v>45454.54</v>
      </c>
    </row>
    <row r="2618" spans="1:11" x14ac:dyDescent="0.2">
      <c r="A2618" s="38" t="s">
        <v>7</v>
      </c>
      <c r="B2618" s="38" t="s">
        <v>10860</v>
      </c>
      <c r="C2618" s="43" t="s">
        <v>10861</v>
      </c>
      <c r="D2618" s="38" t="s">
        <v>12216</v>
      </c>
      <c r="G2618" s="44">
        <v>2</v>
      </c>
      <c r="H2618" s="45">
        <v>36758</v>
      </c>
      <c r="J2618" s="45">
        <v>18379</v>
      </c>
    </row>
    <row r="2619" spans="1:11" x14ac:dyDescent="0.2">
      <c r="A2619" s="38" t="s">
        <v>7</v>
      </c>
      <c r="B2619" s="38" t="s">
        <v>10869</v>
      </c>
      <c r="C2619" s="43" t="s">
        <v>10870</v>
      </c>
      <c r="D2619" s="38" t="s">
        <v>12231</v>
      </c>
      <c r="E2619" s="44">
        <v>37</v>
      </c>
      <c r="F2619" s="45">
        <v>283306</v>
      </c>
      <c r="G2619" s="44">
        <v>36</v>
      </c>
      <c r="H2619" s="45">
        <v>289920</v>
      </c>
      <c r="I2619" s="45">
        <v>7656.9189189189192</v>
      </c>
      <c r="J2619" s="45">
        <v>8053.333333333333</v>
      </c>
      <c r="K2619" s="46">
        <v>5.1772053303965719E-2</v>
      </c>
    </row>
    <row r="2620" spans="1:11" x14ac:dyDescent="0.2">
      <c r="A2620" s="38" t="s">
        <v>7</v>
      </c>
      <c r="B2620" s="38" t="s">
        <v>10875</v>
      </c>
      <c r="C2620" s="43" t="s">
        <v>10876</v>
      </c>
      <c r="D2620" s="38" t="s">
        <v>13160</v>
      </c>
      <c r="G2620" s="44">
        <v>5</v>
      </c>
      <c r="H2620" s="45">
        <v>60064.95</v>
      </c>
      <c r="J2620" s="45">
        <v>12012.99</v>
      </c>
    </row>
    <row r="2621" spans="1:11" x14ac:dyDescent="0.2">
      <c r="A2621" s="38" t="s">
        <v>7</v>
      </c>
      <c r="B2621" s="38" t="s">
        <v>10885</v>
      </c>
      <c r="C2621" s="43" t="s">
        <v>10886</v>
      </c>
      <c r="D2621" s="38" t="s">
        <v>12231</v>
      </c>
      <c r="G2621" s="44">
        <v>1</v>
      </c>
      <c r="H2621" s="45">
        <v>14540</v>
      </c>
      <c r="J2621" s="45">
        <v>14540</v>
      </c>
    </row>
    <row r="2622" spans="1:11" x14ac:dyDescent="0.2">
      <c r="A2622" s="38" t="s">
        <v>7</v>
      </c>
      <c r="B2622" s="38" t="s">
        <v>10889</v>
      </c>
      <c r="C2622" s="43" t="s">
        <v>10890</v>
      </c>
      <c r="D2622" s="38" t="s">
        <v>13160</v>
      </c>
      <c r="E2622" s="44">
        <v>12</v>
      </c>
      <c r="F2622" s="45">
        <v>357078</v>
      </c>
      <c r="G2622" s="44">
        <v>13</v>
      </c>
      <c r="H2622" s="45">
        <v>353844</v>
      </c>
      <c r="I2622" s="45">
        <v>29756.5</v>
      </c>
      <c r="J2622" s="45">
        <v>27218.76923076923</v>
      </c>
      <c r="K2622" s="46">
        <v>-8.5283241282770803E-2</v>
      </c>
    </row>
    <row r="2623" spans="1:11" x14ac:dyDescent="0.2">
      <c r="A2623" s="38" t="s">
        <v>7</v>
      </c>
      <c r="B2623" s="38" t="s">
        <v>10895</v>
      </c>
      <c r="C2623" s="43" t="s">
        <v>10896</v>
      </c>
      <c r="D2623" s="38" t="s">
        <v>12231</v>
      </c>
      <c r="E2623" s="44">
        <v>55</v>
      </c>
      <c r="F2623" s="45">
        <v>459718</v>
      </c>
      <c r="G2623" s="44">
        <v>22</v>
      </c>
      <c r="H2623" s="45">
        <v>172360</v>
      </c>
      <c r="I2623" s="45">
        <v>8358.5090909090904</v>
      </c>
      <c r="J2623" s="45">
        <v>7834.545454545455</v>
      </c>
      <c r="K2623" s="46">
        <v>-6.2686255487059361E-2</v>
      </c>
    </row>
    <row r="2624" spans="1:11" x14ac:dyDescent="0.2">
      <c r="A2624" s="38" t="s">
        <v>7</v>
      </c>
      <c r="B2624" s="38" t="s">
        <v>10907</v>
      </c>
      <c r="C2624" s="43" t="s">
        <v>10908</v>
      </c>
      <c r="D2624" s="38" t="s">
        <v>13160</v>
      </c>
      <c r="G2624" s="44">
        <v>1</v>
      </c>
      <c r="H2624" s="45">
        <v>13408</v>
      </c>
      <c r="J2624" s="45">
        <v>13408</v>
      </c>
    </row>
    <row r="2625" spans="1:11" x14ac:dyDescent="0.2">
      <c r="A2625" s="38" t="s">
        <v>7</v>
      </c>
      <c r="B2625" s="38" t="s">
        <v>10910</v>
      </c>
      <c r="C2625" s="43" t="s">
        <v>10911</v>
      </c>
      <c r="D2625" s="38" t="s">
        <v>13160</v>
      </c>
      <c r="G2625" s="44">
        <v>1</v>
      </c>
      <c r="H2625" s="45">
        <v>10455</v>
      </c>
      <c r="J2625" s="45">
        <v>10455</v>
      </c>
    </row>
    <row r="2626" spans="1:11" x14ac:dyDescent="0.2">
      <c r="A2626" s="38" t="s">
        <v>7</v>
      </c>
      <c r="B2626" s="38" t="s">
        <v>10922</v>
      </c>
      <c r="C2626" s="43" t="s">
        <v>10923</v>
      </c>
      <c r="D2626" s="38" t="s">
        <v>12240</v>
      </c>
      <c r="E2626" s="44">
        <v>5</v>
      </c>
      <c r="F2626" s="45">
        <v>11783</v>
      </c>
      <c r="G2626" s="44">
        <v>2</v>
      </c>
      <c r="H2626" s="45">
        <v>270</v>
      </c>
      <c r="I2626" s="45">
        <v>2356.6</v>
      </c>
      <c r="J2626" s="45">
        <v>135</v>
      </c>
      <c r="K2626" s="46">
        <v>-0.94271407960621234</v>
      </c>
    </row>
    <row r="2627" spans="1:11" x14ac:dyDescent="0.2">
      <c r="A2627" s="38" t="s">
        <v>7</v>
      </c>
      <c r="B2627" s="38" t="s">
        <v>10925</v>
      </c>
      <c r="C2627" s="43" t="s">
        <v>10926</v>
      </c>
      <c r="D2627" s="38" t="s">
        <v>12240</v>
      </c>
      <c r="E2627" s="44">
        <v>9</v>
      </c>
      <c r="F2627" s="45">
        <v>2364</v>
      </c>
      <c r="G2627" s="44">
        <v>5</v>
      </c>
      <c r="H2627" s="45">
        <v>1335</v>
      </c>
      <c r="I2627" s="45">
        <v>262.66666666666669</v>
      </c>
      <c r="J2627" s="45">
        <v>267</v>
      </c>
      <c r="K2627" s="46">
        <v>1.6497461928933938E-2</v>
      </c>
    </row>
    <row r="2628" spans="1:11" x14ac:dyDescent="0.2">
      <c r="A2628" s="38" t="s">
        <v>7</v>
      </c>
      <c r="B2628" s="38" t="s">
        <v>10928</v>
      </c>
      <c r="C2628" s="43" t="s">
        <v>10929</v>
      </c>
      <c r="D2628" s="38" t="s">
        <v>12240</v>
      </c>
      <c r="E2628" s="44">
        <v>9</v>
      </c>
      <c r="F2628" s="45">
        <v>6320</v>
      </c>
      <c r="G2628" s="44">
        <v>2</v>
      </c>
      <c r="H2628" s="45">
        <v>1416</v>
      </c>
      <c r="I2628" s="45">
        <v>702.22222222222217</v>
      </c>
      <c r="J2628" s="45">
        <v>708</v>
      </c>
      <c r="K2628" s="46">
        <v>8.2278481012658961E-3</v>
      </c>
    </row>
    <row r="2629" spans="1:11" x14ac:dyDescent="0.2">
      <c r="A2629" s="38" t="s">
        <v>7</v>
      </c>
      <c r="B2629" s="38" t="s">
        <v>10931</v>
      </c>
      <c r="C2629" s="43" t="s">
        <v>10932</v>
      </c>
      <c r="D2629" s="38" t="s">
        <v>12240</v>
      </c>
      <c r="E2629" s="44">
        <v>12</v>
      </c>
      <c r="F2629" s="45">
        <v>5511</v>
      </c>
      <c r="G2629" s="44">
        <v>12</v>
      </c>
      <c r="H2629" s="45">
        <v>4950</v>
      </c>
      <c r="I2629" s="45">
        <v>459.25</v>
      </c>
      <c r="J2629" s="45">
        <v>412.5</v>
      </c>
      <c r="K2629" s="46">
        <v>-0.10179640718562874</v>
      </c>
    </row>
    <row r="2630" spans="1:11" x14ac:dyDescent="0.2">
      <c r="A2630" s="38" t="s">
        <v>7</v>
      </c>
      <c r="B2630" s="38" t="s">
        <v>10934</v>
      </c>
      <c r="C2630" s="43" t="s">
        <v>10935</v>
      </c>
      <c r="D2630" s="38" t="s">
        <v>12240</v>
      </c>
      <c r="G2630" s="44">
        <v>6</v>
      </c>
      <c r="H2630" s="45">
        <v>7134</v>
      </c>
      <c r="J2630" s="45">
        <v>1189</v>
      </c>
    </row>
    <row r="2631" spans="1:11" x14ac:dyDescent="0.2">
      <c r="A2631" s="38" t="s">
        <v>7</v>
      </c>
      <c r="B2631" s="38" t="s">
        <v>10936</v>
      </c>
      <c r="C2631" s="43" t="s">
        <v>10937</v>
      </c>
      <c r="D2631" s="38" t="s">
        <v>12240</v>
      </c>
      <c r="G2631" s="44">
        <v>4</v>
      </c>
      <c r="H2631" s="45">
        <v>2604</v>
      </c>
      <c r="J2631" s="45">
        <v>651</v>
      </c>
    </row>
    <row r="2632" spans="1:11" x14ac:dyDescent="0.2">
      <c r="A2632" s="38" t="s">
        <v>7</v>
      </c>
      <c r="B2632" s="38" t="s">
        <v>10938</v>
      </c>
      <c r="C2632" s="43" t="s">
        <v>10939</v>
      </c>
      <c r="D2632" s="38" t="s">
        <v>12240</v>
      </c>
      <c r="E2632" s="44">
        <v>206</v>
      </c>
      <c r="F2632" s="45">
        <v>12844</v>
      </c>
      <c r="G2632" s="44">
        <v>194</v>
      </c>
      <c r="H2632" s="45">
        <v>14759</v>
      </c>
      <c r="I2632" s="45">
        <v>62.349514563106794</v>
      </c>
      <c r="J2632" s="45">
        <v>76.077319587628864</v>
      </c>
      <c r="K2632" s="46">
        <v>0.22017501051475757</v>
      </c>
    </row>
    <row r="2633" spans="1:11" x14ac:dyDescent="0.2">
      <c r="A2633" s="38" t="s">
        <v>7</v>
      </c>
      <c r="B2633" s="38" t="s">
        <v>10945</v>
      </c>
      <c r="C2633" s="43" t="s">
        <v>10946</v>
      </c>
      <c r="D2633" s="38" t="s">
        <v>12240</v>
      </c>
      <c r="E2633" s="44">
        <v>47</v>
      </c>
      <c r="F2633" s="45">
        <v>24695</v>
      </c>
      <c r="G2633" s="44">
        <v>38</v>
      </c>
      <c r="H2633" s="45">
        <v>19070</v>
      </c>
      <c r="I2633" s="45">
        <v>525.42553191489367</v>
      </c>
      <c r="J2633" s="45">
        <v>501.84210526315792</v>
      </c>
      <c r="K2633" s="46">
        <v>-4.4884432177832764E-2</v>
      </c>
    </row>
    <row r="2634" spans="1:11" x14ac:dyDescent="0.2">
      <c r="A2634" s="38" t="s">
        <v>7</v>
      </c>
      <c r="B2634" s="38" t="s">
        <v>10948</v>
      </c>
      <c r="C2634" s="43" t="s">
        <v>10949</v>
      </c>
      <c r="D2634" s="38" t="s">
        <v>12240</v>
      </c>
      <c r="E2634" s="44">
        <v>18</v>
      </c>
      <c r="F2634" s="45">
        <v>7556</v>
      </c>
      <c r="G2634" s="44">
        <v>18</v>
      </c>
      <c r="H2634" s="45">
        <v>7214</v>
      </c>
      <c r="I2634" s="45">
        <v>419.77777777777777</v>
      </c>
      <c r="J2634" s="45">
        <v>400.77777777777777</v>
      </c>
      <c r="K2634" s="46">
        <v>-4.5262043409211222E-2</v>
      </c>
    </row>
    <row r="2635" spans="1:11" x14ac:dyDescent="0.2">
      <c r="A2635" s="38" t="s">
        <v>7</v>
      </c>
      <c r="B2635" s="38" t="s">
        <v>10952</v>
      </c>
      <c r="C2635" s="43" t="s">
        <v>10953</v>
      </c>
      <c r="D2635" s="38" t="s">
        <v>12240</v>
      </c>
      <c r="E2635" s="44">
        <v>122</v>
      </c>
      <c r="F2635" s="45">
        <v>7533</v>
      </c>
      <c r="G2635" s="44">
        <v>126</v>
      </c>
      <c r="H2635" s="45">
        <v>9484</v>
      </c>
      <c r="I2635" s="45">
        <v>61.745901639344261</v>
      </c>
      <c r="J2635" s="45">
        <v>75.269841269841265</v>
      </c>
      <c r="K2635" s="46">
        <v>0.21902570488791112</v>
      </c>
    </row>
    <row r="2636" spans="1:11" x14ac:dyDescent="0.2">
      <c r="A2636" s="38" t="s">
        <v>7</v>
      </c>
      <c r="B2636" s="38" t="s">
        <v>10955</v>
      </c>
      <c r="C2636" s="43" t="s">
        <v>10956</v>
      </c>
      <c r="D2636" s="38" t="s">
        <v>12240</v>
      </c>
      <c r="G2636" s="44">
        <v>5</v>
      </c>
      <c r="H2636" s="45">
        <v>1755</v>
      </c>
      <c r="J2636" s="45">
        <v>351</v>
      </c>
    </row>
    <row r="2637" spans="1:11" x14ac:dyDescent="0.2">
      <c r="A2637" s="38" t="s">
        <v>7</v>
      </c>
      <c r="B2637" s="38" t="s">
        <v>10957</v>
      </c>
      <c r="C2637" s="43" t="s">
        <v>10958</v>
      </c>
      <c r="D2637" s="38" t="s">
        <v>12241</v>
      </c>
      <c r="E2637" s="44">
        <v>9</v>
      </c>
      <c r="F2637" s="45">
        <v>2381</v>
      </c>
      <c r="G2637" s="44">
        <v>2</v>
      </c>
      <c r="H2637" s="45">
        <v>538</v>
      </c>
      <c r="I2637" s="45">
        <v>264.55555555555554</v>
      </c>
      <c r="J2637" s="45">
        <v>269</v>
      </c>
      <c r="K2637" s="46">
        <v>1.6799664006719915E-2</v>
      </c>
    </row>
    <row r="2638" spans="1:11" x14ac:dyDescent="0.2">
      <c r="A2638" s="38" t="s">
        <v>7</v>
      </c>
      <c r="B2638" s="38" t="s">
        <v>10963</v>
      </c>
      <c r="C2638" s="43" t="s">
        <v>10964</v>
      </c>
      <c r="D2638" s="38" t="s">
        <v>12240</v>
      </c>
      <c r="G2638" s="44">
        <v>1</v>
      </c>
      <c r="H2638" s="45">
        <v>208</v>
      </c>
      <c r="J2638" s="45">
        <v>208</v>
      </c>
    </row>
    <row r="2639" spans="1:11" x14ac:dyDescent="0.2">
      <c r="A2639" s="38" t="s">
        <v>7</v>
      </c>
      <c r="B2639" s="38" t="s">
        <v>10969</v>
      </c>
      <c r="C2639" s="43" t="s">
        <v>10970</v>
      </c>
      <c r="D2639" s="38" t="s">
        <v>12216</v>
      </c>
      <c r="G2639" s="44">
        <v>6</v>
      </c>
      <c r="H2639" s="45">
        <v>157590.35999999999</v>
      </c>
      <c r="J2639" s="45">
        <v>26265.059999999998</v>
      </c>
    </row>
    <row r="2640" spans="1:11" x14ac:dyDescent="0.2">
      <c r="A2640" s="38" t="s">
        <v>7</v>
      </c>
      <c r="B2640" s="38" t="s">
        <v>10972</v>
      </c>
      <c r="C2640" s="43" t="s">
        <v>10973</v>
      </c>
      <c r="D2640" s="38" t="s">
        <v>13161</v>
      </c>
      <c r="E2640" s="44">
        <v>33</v>
      </c>
      <c r="F2640" s="45">
        <v>593781</v>
      </c>
      <c r="G2640" s="44">
        <v>34</v>
      </c>
      <c r="H2640" s="45">
        <v>620126</v>
      </c>
      <c r="I2640" s="45">
        <v>17993.363636363636</v>
      </c>
      <c r="J2640" s="45">
        <v>18239</v>
      </c>
      <c r="K2640" s="46">
        <v>1.3651497774432007E-2</v>
      </c>
    </row>
    <row r="2641" spans="1:11" x14ac:dyDescent="0.2">
      <c r="A2641" s="38" t="s">
        <v>7</v>
      </c>
      <c r="B2641" s="38" t="s">
        <v>10981</v>
      </c>
      <c r="C2641" s="43" t="s">
        <v>10982</v>
      </c>
      <c r="D2641" s="38" t="s">
        <v>12241</v>
      </c>
      <c r="E2641" s="44">
        <v>29</v>
      </c>
      <c r="F2641" s="45">
        <v>6246</v>
      </c>
      <c r="G2641" s="44">
        <v>19</v>
      </c>
      <c r="H2641" s="45">
        <v>5931</v>
      </c>
      <c r="I2641" s="45">
        <v>215.37931034482759</v>
      </c>
      <c r="J2641" s="45">
        <v>312.15789473684208</v>
      </c>
      <c r="K2641" s="46">
        <v>0.44934020931290752</v>
      </c>
    </row>
    <row r="2642" spans="1:11" x14ac:dyDescent="0.2">
      <c r="A2642" s="38" t="s">
        <v>7</v>
      </c>
      <c r="B2642" s="38" t="s">
        <v>10983</v>
      </c>
      <c r="C2642" s="43" t="s">
        <v>10984</v>
      </c>
      <c r="D2642" s="38" t="s">
        <v>12241</v>
      </c>
      <c r="E2642" s="44">
        <v>197</v>
      </c>
      <c r="F2642" s="45">
        <v>27817</v>
      </c>
      <c r="G2642" s="44">
        <v>204</v>
      </c>
      <c r="H2642" s="45">
        <v>46428</v>
      </c>
      <c r="I2642" s="45">
        <v>141.20304568527919</v>
      </c>
      <c r="J2642" s="45">
        <v>227.58823529411765</v>
      </c>
      <c r="K2642" s="46">
        <v>0.61177993144268528</v>
      </c>
    </row>
    <row r="2643" spans="1:11" x14ac:dyDescent="0.2">
      <c r="A2643" s="38" t="s">
        <v>7</v>
      </c>
      <c r="B2643" s="38" t="s">
        <v>10986</v>
      </c>
      <c r="C2643" s="43" t="s">
        <v>10987</v>
      </c>
      <c r="D2643" s="38" t="s">
        <v>12241</v>
      </c>
      <c r="E2643" s="44">
        <v>15</v>
      </c>
      <c r="F2643" s="45">
        <v>6161</v>
      </c>
      <c r="G2643" s="44">
        <v>12</v>
      </c>
      <c r="H2643" s="45">
        <v>5776</v>
      </c>
      <c r="I2643" s="45">
        <v>410.73333333333335</v>
      </c>
      <c r="J2643" s="45">
        <v>481.33333333333331</v>
      </c>
      <c r="K2643" s="46">
        <v>0.17188768057133574</v>
      </c>
    </row>
    <row r="2644" spans="1:11" x14ac:dyDescent="0.2">
      <c r="A2644" s="38" t="s">
        <v>7</v>
      </c>
      <c r="B2644" s="38" t="s">
        <v>11001</v>
      </c>
      <c r="C2644" s="43" t="s">
        <v>11002</v>
      </c>
      <c r="D2644" s="38" t="s">
        <v>12241</v>
      </c>
      <c r="E2644" s="44">
        <v>5</v>
      </c>
      <c r="F2644" s="45">
        <v>1094</v>
      </c>
      <c r="G2644" s="44">
        <v>6</v>
      </c>
      <c r="H2644" s="45">
        <v>1332</v>
      </c>
      <c r="I2644" s="45">
        <v>218.8</v>
      </c>
      <c r="J2644" s="45">
        <v>222</v>
      </c>
      <c r="K2644" s="46">
        <v>1.462522851919556E-2</v>
      </c>
    </row>
    <row r="2645" spans="1:11" x14ac:dyDescent="0.2">
      <c r="A2645" s="38" t="s">
        <v>7</v>
      </c>
      <c r="B2645" s="38" t="s">
        <v>11004</v>
      </c>
      <c r="C2645" s="43" t="s">
        <v>11005</v>
      </c>
      <c r="D2645" s="38" t="s">
        <v>12241</v>
      </c>
      <c r="E2645" s="44">
        <v>30</v>
      </c>
      <c r="F2645" s="45">
        <v>8750</v>
      </c>
      <c r="G2645" s="44">
        <v>29</v>
      </c>
      <c r="H2645" s="45">
        <v>9659</v>
      </c>
      <c r="I2645" s="45">
        <v>291.66666666666669</v>
      </c>
      <c r="J2645" s="45">
        <v>333.06896551724139</v>
      </c>
      <c r="K2645" s="46">
        <v>0.14195073891625615</v>
      </c>
    </row>
    <row r="2646" spans="1:11" x14ac:dyDescent="0.2">
      <c r="A2646" s="38" t="s">
        <v>7</v>
      </c>
      <c r="B2646" s="38" t="s">
        <v>11007</v>
      </c>
      <c r="C2646" s="43" t="s">
        <v>11008</v>
      </c>
      <c r="D2646" s="38" t="s">
        <v>13162</v>
      </c>
      <c r="E2646" s="44">
        <v>4</v>
      </c>
      <c r="F2646" s="45">
        <v>9595</v>
      </c>
      <c r="G2646" s="44">
        <v>0</v>
      </c>
      <c r="H2646" s="45">
        <v>0</v>
      </c>
      <c r="I2646" s="45">
        <v>2398.75</v>
      </c>
    </row>
    <row r="2647" spans="1:11" x14ac:dyDescent="0.2">
      <c r="A2647" s="38" t="s">
        <v>7</v>
      </c>
      <c r="B2647" s="38" t="s">
        <v>11010</v>
      </c>
      <c r="C2647" s="43" t="s">
        <v>11011</v>
      </c>
      <c r="D2647" s="38" t="s">
        <v>13158</v>
      </c>
      <c r="G2647" s="44">
        <v>7</v>
      </c>
      <c r="H2647" s="45">
        <v>13618.15</v>
      </c>
      <c r="J2647" s="45">
        <v>1945.45</v>
      </c>
    </row>
    <row r="2648" spans="1:11" x14ac:dyDescent="0.2">
      <c r="A2648" s="38" t="s">
        <v>7</v>
      </c>
      <c r="B2648" s="38" t="s">
        <v>11018</v>
      </c>
      <c r="C2648" s="43" t="s">
        <v>11019</v>
      </c>
      <c r="D2648" s="38" t="s">
        <v>12213</v>
      </c>
      <c r="E2648" s="44">
        <v>8</v>
      </c>
      <c r="F2648" s="45">
        <v>68287.320000000007</v>
      </c>
      <c r="G2648" s="44">
        <v>4</v>
      </c>
      <c r="H2648" s="45">
        <v>35456</v>
      </c>
      <c r="I2648" s="45">
        <v>8535.9150000000009</v>
      </c>
      <c r="J2648" s="45">
        <v>8864</v>
      </c>
      <c r="K2648" s="46">
        <v>3.8435832596739668E-2</v>
      </c>
    </row>
    <row r="2649" spans="1:11" x14ac:dyDescent="0.2">
      <c r="A2649" s="38" t="s">
        <v>7</v>
      </c>
      <c r="B2649" s="38" t="s">
        <v>11024</v>
      </c>
      <c r="C2649" s="43" t="s">
        <v>11025</v>
      </c>
      <c r="D2649" s="38" t="s">
        <v>13163</v>
      </c>
      <c r="G2649" s="44">
        <v>3</v>
      </c>
      <c r="H2649" s="45">
        <v>172.21</v>
      </c>
      <c r="J2649" s="45">
        <v>57.403333333333336</v>
      </c>
    </row>
    <row r="2650" spans="1:11" x14ac:dyDescent="0.2">
      <c r="A2650" s="38" t="s">
        <v>7</v>
      </c>
      <c r="B2650" s="38" t="s">
        <v>11034</v>
      </c>
      <c r="C2650" s="43" t="s">
        <v>11035</v>
      </c>
      <c r="D2650" s="38" t="s">
        <v>13164</v>
      </c>
      <c r="E2650" s="44">
        <v>38</v>
      </c>
      <c r="F2650" s="45">
        <v>22359.19</v>
      </c>
      <c r="G2650" s="44">
        <v>13</v>
      </c>
      <c r="H2650" s="45">
        <v>15540.25</v>
      </c>
      <c r="I2650" s="45">
        <v>588.3997368421052</v>
      </c>
      <c r="J2650" s="45">
        <v>1195.4038461538462</v>
      </c>
      <c r="K2650" s="46">
        <v>1.0316185941371829</v>
      </c>
    </row>
    <row r="2651" spans="1:11" x14ac:dyDescent="0.2">
      <c r="A2651" s="38" t="s">
        <v>7</v>
      </c>
      <c r="B2651" s="38" t="s">
        <v>11037</v>
      </c>
      <c r="C2651" s="43" t="s">
        <v>11038</v>
      </c>
      <c r="D2651" s="38" t="s">
        <v>12229</v>
      </c>
      <c r="G2651" s="44">
        <v>1</v>
      </c>
      <c r="H2651" s="45">
        <v>5316</v>
      </c>
      <c r="J2651" s="45">
        <v>5316</v>
      </c>
    </row>
    <row r="2652" spans="1:11" x14ac:dyDescent="0.2">
      <c r="A2652" s="38" t="s">
        <v>7</v>
      </c>
      <c r="B2652" s="38" t="s">
        <v>11046</v>
      </c>
      <c r="C2652" s="43" t="s">
        <v>11047</v>
      </c>
      <c r="D2652" s="38" t="s">
        <v>13165</v>
      </c>
      <c r="E2652" s="44">
        <v>7</v>
      </c>
      <c r="F2652" s="45">
        <v>264</v>
      </c>
      <c r="G2652" s="44">
        <v>11</v>
      </c>
      <c r="H2652" s="45">
        <v>414</v>
      </c>
      <c r="I2652" s="45">
        <v>37.714285714285715</v>
      </c>
      <c r="J2652" s="45">
        <v>37.636363636363633</v>
      </c>
      <c r="K2652" s="46">
        <v>-2.0661157024794512E-3</v>
      </c>
    </row>
    <row r="2653" spans="1:11" x14ac:dyDescent="0.2">
      <c r="A2653" s="38" t="s">
        <v>7</v>
      </c>
      <c r="B2653" s="38" t="s">
        <v>11055</v>
      </c>
      <c r="C2653" s="43" t="s">
        <v>11056</v>
      </c>
      <c r="D2653" s="38" t="s">
        <v>13166</v>
      </c>
      <c r="E2653" s="44">
        <v>38</v>
      </c>
      <c r="F2653" s="45">
        <v>1709</v>
      </c>
      <c r="G2653" s="44">
        <v>56</v>
      </c>
      <c r="H2653" s="45">
        <v>2816</v>
      </c>
      <c r="I2653" s="45">
        <v>44.973684210526315</v>
      </c>
      <c r="J2653" s="45">
        <v>50.285714285714285</v>
      </c>
      <c r="K2653" s="46">
        <v>0.11811418540499874</v>
      </c>
    </row>
    <row r="2654" spans="1:11" x14ac:dyDescent="0.2">
      <c r="A2654" s="38" t="s">
        <v>7</v>
      </c>
      <c r="B2654" s="38" t="s">
        <v>11067</v>
      </c>
      <c r="C2654" s="43" t="s">
        <v>11068</v>
      </c>
      <c r="D2654" s="38" t="s">
        <v>13167</v>
      </c>
      <c r="G2654" s="44">
        <v>1</v>
      </c>
      <c r="H2654" s="45">
        <v>5848</v>
      </c>
      <c r="J2654" s="45">
        <v>5848</v>
      </c>
    </row>
    <row r="2655" spans="1:11" x14ac:dyDescent="0.2">
      <c r="A2655" s="38" t="s">
        <v>7</v>
      </c>
      <c r="B2655" s="38" t="s">
        <v>11070</v>
      </c>
      <c r="C2655" s="43" t="s">
        <v>11071</v>
      </c>
      <c r="D2655" s="38" t="s">
        <v>12214</v>
      </c>
      <c r="G2655" s="44">
        <v>4</v>
      </c>
      <c r="H2655" s="45">
        <v>44120</v>
      </c>
      <c r="J2655" s="45">
        <v>11030</v>
      </c>
    </row>
    <row r="2656" spans="1:11" x14ac:dyDescent="0.2">
      <c r="A2656" s="38" t="s">
        <v>7</v>
      </c>
      <c r="B2656" s="38" t="s">
        <v>11075</v>
      </c>
      <c r="C2656" s="43" t="s">
        <v>11076</v>
      </c>
      <c r="D2656" s="38" t="s">
        <v>12213</v>
      </c>
      <c r="E2656" s="44">
        <v>20</v>
      </c>
      <c r="F2656" s="45">
        <v>10080</v>
      </c>
      <c r="G2656" s="44">
        <v>14</v>
      </c>
      <c r="H2656" s="45">
        <v>7056</v>
      </c>
      <c r="I2656" s="45">
        <v>504</v>
      </c>
      <c r="J2656" s="45">
        <v>504</v>
      </c>
      <c r="K2656" s="46">
        <v>0</v>
      </c>
    </row>
    <row r="2657" spans="1:11" x14ac:dyDescent="0.2">
      <c r="A2657" s="38" t="s">
        <v>7</v>
      </c>
      <c r="B2657" s="38" t="s">
        <v>11078</v>
      </c>
      <c r="C2657" s="43" t="s">
        <v>11079</v>
      </c>
      <c r="D2657" s="38" t="s">
        <v>12214</v>
      </c>
      <c r="G2657" s="44">
        <v>1</v>
      </c>
      <c r="H2657" s="45">
        <v>8133</v>
      </c>
      <c r="J2657" s="45">
        <v>8133</v>
      </c>
    </row>
    <row r="2658" spans="1:11" x14ac:dyDescent="0.2">
      <c r="A2658" s="38" t="s">
        <v>7</v>
      </c>
      <c r="B2658" s="38" t="s">
        <v>11083</v>
      </c>
      <c r="C2658" s="43" t="s">
        <v>11084</v>
      </c>
      <c r="D2658" s="38" t="s">
        <v>12213</v>
      </c>
      <c r="G2658" s="44">
        <v>8</v>
      </c>
      <c r="H2658" s="45">
        <v>34316</v>
      </c>
      <c r="J2658" s="45">
        <v>4289.5</v>
      </c>
    </row>
    <row r="2659" spans="1:11" x14ac:dyDescent="0.2">
      <c r="A2659" s="38" t="s">
        <v>7</v>
      </c>
      <c r="B2659" s="38" t="s">
        <v>11086</v>
      </c>
      <c r="C2659" s="43" t="s">
        <v>11087</v>
      </c>
      <c r="D2659" s="38" t="s">
        <v>12213</v>
      </c>
      <c r="E2659" s="44">
        <v>67</v>
      </c>
      <c r="F2659" s="45">
        <v>263739.15999999997</v>
      </c>
      <c r="G2659" s="44">
        <v>28</v>
      </c>
      <c r="H2659" s="45">
        <v>113320</v>
      </c>
      <c r="I2659" s="45">
        <v>3936.4053731343279</v>
      </c>
      <c r="J2659" s="45">
        <v>4047.1428571428573</v>
      </c>
      <c r="K2659" s="46">
        <v>2.8131626067859909E-2</v>
      </c>
    </row>
    <row r="2660" spans="1:11" x14ac:dyDescent="0.2">
      <c r="A2660" s="38" t="s">
        <v>7</v>
      </c>
      <c r="B2660" s="38" t="s">
        <v>11092</v>
      </c>
      <c r="C2660" s="43" t="s">
        <v>11093</v>
      </c>
      <c r="D2660" s="38" t="s">
        <v>12214</v>
      </c>
      <c r="E2660" s="44">
        <v>3</v>
      </c>
      <c r="F2660" s="45">
        <v>4363.6499999999996</v>
      </c>
      <c r="G2660" s="44">
        <v>3</v>
      </c>
      <c r="H2660" s="45">
        <v>4363.6499999999996</v>
      </c>
      <c r="I2660" s="45">
        <v>1454.55</v>
      </c>
      <c r="J2660" s="45">
        <v>1454.55</v>
      </c>
      <c r="K2660" s="46">
        <v>0</v>
      </c>
    </row>
    <row r="2661" spans="1:11" x14ac:dyDescent="0.2">
      <c r="A2661" s="38" t="s">
        <v>7</v>
      </c>
      <c r="B2661" s="38" t="s">
        <v>11095</v>
      </c>
      <c r="C2661" s="43" t="s">
        <v>11096</v>
      </c>
      <c r="D2661" s="38" t="s">
        <v>12214</v>
      </c>
      <c r="E2661" s="44">
        <v>5</v>
      </c>
      <c r="F2661" s="45">
        <v>68181.8</v>
      </c>
      <c r="G2661" s="44">
        <v>3</v>
      </c>
      <c r="H2661" s="45">
        <v>40909.08</v>
      </c>
      <c r="I2661" s="45">
        <v>13636.36</v>
      </c>
      <c r="J2661" s="45">
        <v>13636.36</v>
      </c>
      <c r="K2661" s="46">
        <v>0</v>
      </c>
    </row>
    <row r="2662" spans="1:11" x14ac:dyDescent="0.2">
      <c r="A2662" s="38" t="s">
        <v>7</v>
      </c>
      <c r="B2662" s="38" t="s">
        <v>11098</v>
      </c>
      <c r="C2662" s="43" t="s">
        <v>11099</v>
      </c>
      <c r="D2662" s="38" t="s">
        <v>12214</v>
      </c>
      <c r="E2662" s="44">
        <v>5</v>
      </c>
      <c r="F2662" s="45">
        <v>159090.9</v>
      </c>
      <c r="G2662" s="44">
        <v>3</v>
      </c>
      <c r="H2662" s="45">
        <v>95454.54</v>
      </c>
      <c r="I2662" s="45">
        <v>31818.18</v>
      </c>
      <c r="J2662" s="45">
        <v>31818.179999999997</v>
      </c>
      <c r="K2662" s="46">
        <v>-1.1433648332782432E-16</v>
      </c>
    </row>
    <row r="2663" spans="1:11" x14ac:dyDescent="0.2">
      <c r="A2663" s="38" t="s">
        <v>7</v>
      </c>
      <c r="B2663" s="38" t="s">
        <v>11101</v>
      </c>
      <c r="C2663" s="43" t="s">
        <v>11102</v>
      </c>
      <c r="D2663" s="38" t="s">
        <v>12214</v>
      </c>
      <c r="E2663" s="44">
        <v>2</v>
      </c>
      <c r="F2663" s="45">
        <v>33766.239999999998</v>
      </c>
      <c r="G2663" s="44">
        <v>1</v>
      </c>
      <c r="H2663" s="45">
        <v>16883.12</v>
      </c>
      <c r="I2663" s="45">
        <v>16883.12</v>
      </c>
      <c r="J2663" s="45">
        <v>16883.12</v>
      </c>
      <c r="K2663" s="46">
        <v>0</v>
      </c>
    </row>
    <row r="2664" spans="1:11" x14ac:dyDescent="0.2">
      <c r="A2664" s="38" t="s">
        <v>7</v>
      </c>
      <c r="B2664" s="38" t="s">
        <v>11104</v>
      </c>
      <c r="C2664" s="43" t="s">
        <v>11105</v>
      </c>
      <c r="D2664" s="38" t="s">
        <v>12214</v>
      </c>
      <c r="E2664" s="44">
        <v>2</v>
      </c>
      <c r="F2664" s="45">
        <v>26623.38</v>
      </c>
      <c r="G2664" s="44">
        <v>3</v>
      </c>
      <c r="H2664" s="45">
        <v>39935.07</v>
      </c>
      <c r="I2664" s="45">
        <v>13311.69</v>
      </c>
      <c r="J2664" s="45">
        <v>13311.69</v>
      </c>
      <c r="K2664" s="46">
        <v>0</v>
      </c>
    </row>
    <row r="2665" spans="1:11" x14ac:dyDescent="0.2">
      <c r="A2665" s="38" t="s">
        <v>7</v>
      </c>
      <c r="B2665" s="38" t="s">
        <v>11107</v>
      </c>
      <c r="C2665" s="43" t="s">
        <v>11108</v>
      </c>
      <c r="D2665" s="38" t="s">
        <v>12213</v>
      </c>
      <c r="G2665" s="44">
        <v>4</v>
      </c>
      <c r="H2665" s="45">
        <v>60483</v>
      </c>
      <c r="J2665" s="45">
        <v>15120.75</v>
      </c>
    </row>
    <row r="2666" spans="1:11" x14ac:dyDescent="0.2">
      <c r="A2666" s="38" t="s">
        <v>7</v>
      </c>
      <c r="B2666" s="38" t="s">
        <v>11109</v>
      </c>
      <c r="C2666" s="43" t="s">
        <v>11110</v>
      </c>
      <c r="D2666" s="38" t="s">
        <v>12213</v>
      </c>
      <c r="E2666" s="44">
        <v>8</v>
      </c>
      <c r="F2666" s="45">
        <v>11149.14</v>
      </c>
      <c r="G2666" s="44">
        <v>5</v>
      </c>
      <c r="H2666" s="45">
        <v>11663.77</v>
      </c>
      <c r="I2666" s="45">
        <v>1393.6424999999999</v>
      </c>
      <c r="J2666" s="45">
        <v>2332.7539999999999</v>
      </c>
      <c r="K2666" s="46">
        <v>0.67385394747935712</v>
      </c>
    </row>
    <row r="2667" spans="1:11" x14ac:dyDescent="0.2">
      <c r="A2667" s="38" t="s">
        <v>7</v>
      </c>
      <c r="B2667" s="38" t="s">
        <v>11111</v>
      </c>
      <c r="C2667" s="43" t="s">
        <v>11112</v>
      </c>
      <c r="D2667" s="38" t="s">
        <v>12213</v>
      </c>
      <c r="E2667" s="44">
        <v>35</v>
      </c>
      <c r="F2667" s="45">
        <v>257388.17</v>
      </c>
      <c r="G2667" s="44">
        <v>31</v>
      </c>
      <c r="H2667" s="45">
        <v>253311.46</v>
      </c>
      <c r="I2667" s="45">
        <v>7353.9477142857149</v>
      </c>
      <c r="J2667" s="45">
        <v>8171.3374193548389</v>
      </c>
      <c r="K2667" s="46">
        <v>0.11114978469064578</v>
      </c>
    </row>
    <row r="2668" spans="1:11" x14ac:dyDescent="0.2">
      <c r="A2668" s="38" t="s">
        <v>7</v>
      </c>
      <c r="B2668" s="38" t="s">
        <v>11113</v>
      </c>
      <c r="C2668" s="43" t="s">
        <v>11114</v>
      </c>
      <c r="D2668" s="38" t="s">
        <v>12213</v>
      </c>
      <c r="G2668" s="44">
        <v>2</v>
      </c>
      <c r="H2668" s="45">
        <v>23312</v>
      </c>
      <c r="J2668" s="45">
        <v>11656</v>
      </c>
    </row>
    <row r="2669" spans="1:11" x14ac:dyDescent="0.2">
      <c r="A2669" s="38" t="s">
        <v>7</v>
      </c>
      <c r="B2669" s="38" t="s">
        <v>11116</v>
      </c>
      <c r="C2669" s="43" t="s">
        <v>11117</v>
      </c>
      <c r="D2669" s="38" t="s">
        <v>12213</v>
      </c>
      <c r="G2669" s="44">
        <v>13</v>
      </c>
      <c r="H2669" s="45">
        <v>137608.25</v>
      </c>
      <c r="J2669" s="45">
        <v>10585.25</v>
      </c>
    </row>
    <row r="2670" spans="1:11" x14ac:dyDescent="0.2">
      <c r="A2670" s="38" t="s">
        <v>7</v>
      </c>
      <c r="B2670" s="38" t="s">
        <v>11118</v>
      </c>
      <c r="C2670" s="43" t="s">
        <v>11119</v>
      </c>
      <c r="D2670" s="38" t="s">
        <v>12213</v>
      </c>
      <c r="E2670" s="44">
        <v>2</v>
      </c>
      <c r="F2670" s="45">
        <v>7214.5</v>
      </c>
      <c r="G2670" s="44">
        <v>3</v>
      </c>
      <c r="H2670" s="45">
        <v>7312.5</v>
      </c>
      <c r="I2670" s="45">
        <v>3607.25</v>
      </c>
      <c r="J2670" s="45">
        <v>2437.5</v>
      </c>
      <c r="K2670" s="46">
        <v>-0.32427749670801859</v>
      </c>
    </row>
    <row r="2671" spans="1:11" x14ac:dyDescent="0.2">
      <c r="A2671" s="38" t="s">
        <v>7</v>
      </c>
      <c r="B2671" s="38" t="s">
        <v>11120</v>
      </c>
      <c r="C2671" s="43" t="s">
        <v>11121</v>
      </c>
      <c r="D2671" s="38" t="s">
        <v>12213</v>
      </c>
      <c r="G2671" s="44">
        <v>4</v>
      </c>
      <c r="H2671" s="45">
        <v>36900</v>
      </c>
      <c r="J2671" s="45">
        <v>9225</v>
      </c>
    </row>
    <row r="2672" spans="1:11" x14ac:dyDescent="0.2">
      <c r="A2672" s="38" t="s">
        <v>7</v>
      </c>
      <c r="B2672" s="38" t="s">
        <v>11126</v>
      </c>
      <c r="C2672" s="43" t="s">
        <v>11127</v>
      </c>
      <c r="D2672" s="38" t="s">
        <v>12213</v>
      </c>
      <c r="G2672" s="44">
        <v>1</v>
      </c>
      <c r="H2672" s="45">
        <v>18337.060000000001</v>
      </c>
      <c r="J2672" s="45">
        <v>18337.060000000001</v>
      </c>
    </row>
    <row r="2673" spans="1:11" x14ac:dyDescent="0.2">
      <c r="A2673" s="38" t="s">
        <v>7</v>
      </c>
      <c r="B2673" s="38" t="s">
        <v>11129</v>
      </c>
      <c r="C2673" s="43" t="s">
        <v>11130</v>
      </c>
      <c r="D2673" s="38" t="s">
        <v>12213</v>
      </c>
      <c r="G2673" s="44">
        <v>7</v>
      </c>
      <c r="H2673" s="45">
        <v>22581.25</v>
      </c>
      <c r="J2673" s="45">
        <v>3225.8928571428573</v>
      </c>
    </row>
    <row r="2674" spans="1:11" x14ac:dyDescent="0.2">
      <c r="A2674" s="38" t="s">
        <v>7</v>
      </c>
      <c r="B2674" s="38" t="s">
        <v>11131</v>
      </c>
      <c r="C2674" s="43" t="s">
        <v>11132</v>
      </c>
      <c r="D2674" s="38" t="s">
        <v>12213</v>
      </c>
      <c r="E2674" s="44">
        <v>2</v>
      </c>
      <c r="F2674" s="45">
        <v>11089</v>
      </c>
      <c r="G2674" s="44">
        <v>35</v>
      </c>
      <c r="H2674" s="45">
        <v>80921.5</v>
      </c>
      <c r="I2674" s="45">
        <v>5544.5</v>
      </c>
      <c r="J2674" s="45">
        <v>2312.042857142857</v>
      </c>
      <c r="K2674" s="46">
        <v>-0.58300246061090144</v>
      </c>
    </row>
    <row r="2675" spans="1:11" x14ac:dyDescent="0.2">
      <c r="A2675" s="38" t="s">
        <v>7</v>
      </c>
      <c r="B2675" s="38" t="s">
        <v>11133</v>
      </c>
      <c r="C2675" s="43" t="s">
        <v>11134</v>
      </c>
      <c r="D2675" s="38" t="s">
        <v>12213</v>
      </c>
      <c r="G2675" s="44">
        <v>4</v>
      </c>
      <c r="H2675" s="45">
        <v>14140.73</v>
      </c>
      <c r="J2675" s="45">
        <v>3535.1824999999999</v>
      </c>
    </row>
    <row r="2676" spans="1:11" x14ac:dyDescent="0.2">
      <c r="A2676" s="38" t="s">
        <v>7</v>
      </c>
      <c r="B2676" s="38" t="s">
        <v>11138</v>
      </c>
      <c r="C2676" s="43" t="s">
        <v>11139</v>
      </c>
      <c r="D2676" s="38" t="s">
        <v>12213</v>
      </c>
      <c r="E2676" s="44">
        <v>352</v>
      </c>
      <c r="F2676" s="45">
        <v>250215.67999999999</v>
      </c>
      <c r="G2676" s="44">
        <v>113</v>
      </c>
      <c r="H2676" s="45">
        <v>138773.79999999999</v>
      </c>
      <c r="I2676" s="45">
        <v>710.84</v>
      </c>
      <c r="J2676" s="45">
        <v>1228.0867256637166</v>
      </c>
      <c r="K2676" s="46">
        <v>0.72765562667227024</v>
      </c>
    </row>
    <row r="2677" spans="1:11" x14ac:dyDescent="0.2">
      <c r="A2677" s="38" t="s">
        <v>7</v>
      </c>
      <c r="B2677" s="38" t="s">
        <v>11141</v>
      </c>
      <c r="C2677" s="43" t="s">
        <v>11142</v>
      </c>
      <c r="D2677" s="38" t="s">
        <v>12213</v>
      </c>
      <c r="E2677" s="44">
        <v>20</v>
      </c>
      <c r="F2677" s="45">
        <v>13735</v>
      </c>
      <c r="G2677" s="44">
        <v>52</v>
      </c>
      <c r="H2677" s="45">
        <v>45524.75</v>
      </c>
      <c r="I2677" s="45">
        <v>686.75</v>
      </c>
      <c r="J2677" s="45">
        <v>875.47596153846155</v>
      </c>
      <c r="K2677" s="46">
        <v>0.27481028254599427</v>
      </c>
    </row>
    <row r="2678" spans="1:11" x14ac:dyDescent="0.2">
      <c r="A2678" s="38" t="s">
        <v>7</v>
      </c>
      <c r="B2678" s="38" t="s">
        <v>11144</v>
      </c>
      <c r="C2678" s="43" t="s">
        <v>11145</v>
      </c>
      <c r="D2678" s="38" t="s">
        <v>12214</v>
      </c>
      <c r="G2678" s="44">
        <v>3</v>
      </c>
      <c r="H2678" s="45">
        <v>203100</v>
      </c>
      <c r="J2678" s="45">
        <v>67700</v>
      </c>
    </row>
    <row r="2679" spans="1:11" x14ac:dyDescent="0.2">
      <c r="A2679" s="38" t="s">
        <v>7</v>
      </c>
      <c r="B2679" s="38" t="s">
        <v>11159</v>
      </c>
      <c r="C2679" s="43" t="s">
        <v>11160</v>
      </c>
      <c r="D2679" s="38" t="s">
        <v>12216</v>
      </c>
      <c r="G2679" s="44">
        <v>1</v>
      </c>
      <c r="H2679" s="45">
        <v>83116.88</v>
      </c>
      <c r="J2679" s="45">
        <v>83116.88</v>
      </c>
    </row>
    <row r="2680" spans="1:11" x14ac:dyDescent="0.2">
      <c r="A2680" s="38" t="s">
        <v>7</v>
      </c>
      <c r="B2680" s="38" t="s">
        <v>11164</v>
      </c>
      <c r="C2680" s="43" t="s">
        <v>11165</v>
      </c>
      <c r="D2680" s="38" t="s">
        <v>12213</v>
      </c>
      <c r="E2680" s="44">
        <v>18</v>
      </c>
      <c r="F2680" s="45">
        <v>124221.9</v>
      </c>
      <c r="G2680" s="44">
        <v>12</v>
      </c>
      <c r="H2680" s="45">
        <v>95781.18</v>
      </c>
      <c r="I2680" s="45">
        <v>6901.2166666666662</v>
      </c>
      <c r="J2680" s="45">
        <v>7981.7649999999994</v>
      </c>
      <c r="K2680" s="46">
        <v>0.15657359934117895</v>
      </c>
    </row>
    <row r="2681" spans="1:11" x14ac:dyDescent="0.2">
      <c r="A2681" s="38" t="s">
        <v>7</v>
      </c>
      <c r="B2681" s="38" t="s">
        <v>11169</v>
      </c>
      <c r="C2681" s="43" t="s">
        <v>11170</v>
      </c>
      <c r="D2681" s="38" t="s">
        <v>12213</v>
      </c>
      <c r="G2681" s="44">
        <v>2</v>
      </c>
      <c r="H2681" s="45">
        <v>59350</v>
      </c>
      <c r="J2681" s="45">
        <v>29675</v>
      </c>
    </row>
    <row r="2682" spans="1:11" x14ac:dyDescent="0.2">
      <c r="A2682" s="38" t="s">
        <v>7</v>
      </c>
      <c r="B2682" s="38" t="s">
        <v>11172</v>
      </c>
      <c r="C2682" s="43" t="s">
        <v>11173</v>
      </c>
      <c r="D2682" s="38" t="s">
        <v>12213</v>
      </c>
      <c r="G2682" s="44">
        <v>1</v>
      </c>
      <c r="H2682" s="45">
        <v>21750.13</v>
      </c>
      <c r="J2682" s="45">
        <v>21750.13</v>
      </c>
    </row>
    <row r="2683" spans="1:11" x14ac:dyDescent="0.2">
      <c r="A2683" s="38" t="s">
        <v>7</v>
      </c>
      <c r="B2683" s="38" t="s">
        <v>11175</v>
      </c>
      <c r="C2683" s="43" t="s">
        <v>11176</v>
      </c>
      <c r="D2683" s="38" t="s">
        <v>12214</v>
      </c>
      <c r="G2683" s="44">
        <v>5</v>
      </c>
      <c r="H2683" s="45">
        <v>84866.5</v>
      </c>
      <c r="J2683" s="45">
        <v>16973.3</v>
      </c>
    </row>
    <row r="2684" spans="1:11" x14ac:dyDescent="0.2">
      <c r="A2684" s="38" t="s">
        <v>7</v>
      </c>
      <c r="B2684" s="38" t="s">
        <v>11183</v>
      </c>
      <c r="C2684" s="43" t="s">
        <v>11184</v>
      </c>
      <c r="D2684" s="38" t="s">
        <v>12213</v>
      </c>
      <c r="E2684" s="44">
        <v>9</v>
      </c>
      <c r="F2684" s="45">
        <v>43831.08</v>
      </c>
      <c r="G2684" s="44">
        <v>3</v>
      </c>
      <c r="H2684" s="45">
        <v>14610.36</v>
      </c>
      <c r="I2684" s="45">
        <v>4870.12</v>
      </c>
      <c r="J2684" s="45">
        <v>4870.12</v>
      </c>
      <c r="K2684" s="46">
        <v>0</v>
      </c>
    </row>
    <row r="2685" spans="1:11" x14ac:dyDescent="0.2">
      <c r="A2685" s="38" t="s">
        <v>7</v>
      </c>
      <c r="B2685" s="38" t="s">
        <v>11190</v>
      </c>
      <c r="C2685" s="43" t="s">
        <v>11191</v>
      </c>
      <c r="D2685" s="38" t="s">
        <v>12214</v>
      </c>
      <c r="G2685" s="44">
        <v>1</v>
      </c>
      <c r="H2685" s="45">
        <v>716</v>
      </c>
      <c r="J2685" s="45">
        <v>716</v>
      </c>
    </row>
    <row r="2686" spans="1:11" x14ac:dyDescent="0.2">
      <c r="A2686" s="38" t="s">
        <v>7</v>
      </c>
      <c r="B2686" s="38" t="s">
        <v>11194</v>
      </c>
      <c r="C2686" s="43" t="s">
        <v>11195</v>
      </c>
      <c r="D2686" s="38" t="s">
        <v>12215</v>
      </c>
      <c r="G2686" s="44">
        <v>1</v>
      </c>
      <c r="H2686" s="45">
        <v>15831</v>
      </c>
      <c r="J2686" s="45">
        <v>15831</v>
      </c>
    </row>
    <row r="2687" spans="1:11" x14ac:dyDescent="0.2">
      <c r="A2687" s="38" t="s">
        <v>7</v>
      </c>
      <c r="B2687" s="38" t="s">
        <v>11197</v>
      </c>
      <c r="C2687" s="43" t="s">
        <v>11198</v>
      </c>
      <c r="D2687" s="38" t="s">
        <v>12213</v>
      </c>
      <c r="G2687" s="44">
        <v>6</v>
      </c>
      <c r="H2687" s="45">
        <v>17988</v>
      </c>
      <c r="J2687" s="45">
        <v>2998</v>
      </c>
    </row>
    <row r="2688" spans="1:11" x14ac:dyDescent="0.2">
      <c r="A2688" s="38" t="s">
        <v>7</v>
      </c>
      <c r="B2688" s="38" t="s">
        <v>11200</v>
      </c>
      <c r="C2688" s="43" t="s">
        <v>11201</v>
      </c>
      <c r="D2688" s="38" t="s">
        <v>12213</v>
      </c>
      <c r="E2688" s="44">
        <v>7</v>
      </c>
      <c r="F2688" s="45">
        <v>22577</v>
      </c>
      <c r="G2688" s="44">
        <v>8</v>
      </c>
      <c r="H2688" s="45">
        <v>31095.599999999999</v>
      </c>
      <c r="I2688" s="45">
        <v>3225.2857142857142</v>
      </c>
      <c r="J2688" s="45">
        <v>3886.95</v>
      </c>
      <c r="K2688" s="46">
        <v>0.20514904548877172</v>
      </c>
    </row>
    <row r="2689" spans="1:11" x14ac:dyDescent="0.2">
      <c r="A2689" s="38" t="s">
        <v>7</v>
      </c>
      <c r="B2689" s="38" t="s">
        <v>11203</v>
      </c>
      <c r="C2689" s="43" t="s">
        <v>11204</v>
      </c>
      <c r="D2689" s="38" t="s">
        <v>12213</v>
      </c>
      <c r="E2689" s="44">
        <v>10</v>
      </c>
      <c r="F2689" s="45">
        <v>77131.25</v>
      </c>
      <c r="G2689" s="44">
        <v>13</v>
      </c>
      <c r="H2689" s="45">
        <v>99229</v>
      </c>
      <c r="I2689" s="45">
        <v>7713.125</v>
      </c>
      <c r="J2689" s="45">
        <v>7633</v>
      </c>
      <c r="K2689" s="46">
        <v>-1.0388137103962402E-2</v>
      </c>
    </row>
    <row r="2690" spans="1:11" x14ac:dyDescent="0.2">
      <c r="A2690" s="38" t="s">
        <v>7</v>
      </c>
      <c r="B2690" s="38" t="s">
        <v>11206</v>
      </c>
      <c r="C2690" s="43" t="s">
        <v>11207</v>
      </c>
      <c r="D2690" s="38" t="s">
        <v>12215</v>
      </c>
      <c r="E2690" s="44">
        <v>2</v>
      </c>
      <c r="F2690" s="45">
        <v>17257.5</v>
      </c>
      <c r="G2690" s="44">
        <v>2</v>
      </c>
      <c r="H2690" s="45">
        <v>12794</v>
      </c>
      <c r="I2690" s="45">
        <v>8628.75</v>
      </c>
      <c r="J2690" s="45">
        <v>6397</v>
      </c>
      <c r="K2690" s="46">
        <v>-0.25864117050557728</v>
      </c>
    </row>
    <row r="2691" spans="1:11" x14ac:dyDescent="0.2">
      <c r="A2691" s="38" t="s">
        <v>7</v>
      </c>
      <c r="B2691" s="38" t="s">
        <v>11211</v>
      </c>
      <c r="C2691" s="43" t="s">
        <v>11212</v>
      </c>
      <c r="D2691" s="38" t="s">
        <v>12215</v>
      </c>
      <c r="G2691" s="44">
        <v>2</v>
      </c>
      <c r="H2691" s="45">
        <v>19509</v>
      </c>
      <c r="J2691" s="45">
        <v>9754.5</v>
      </c>
    </row>
    <row r="2692" spans="1:11" x14ac:dyDescent="0.2">
      <c r="A2692" s="38" t="s">
        <v>7</v>
      </c>
      <c r="B2692" s="38" t="s">
        <v>11214</v>
      </c>
      <c r="C2692" s="43" t="s">
        <v>11215</v>
      </c>
      <c r="D2692" s="38" t="s">
        <v>12213</v>
      </c>
      <c r="E2692" s="44">
        <v>45</v>
      </c>
      <c r="F2692" s="45">
        <v>71880</v>
      </c>
      <c r="G2692" s="44">
        <v>11</v>
      </c>
      <c r="H2692" s="45">
        <v>31868</v>
      </c>
      <c r="I2692" s="45">
        <v>1597.3333333333333</v>
      </c>
      <c r="J2692" s="45">
        <v>2897.090909090909</v>
      </c>
      <c r="K2692" s="46">
        <v>0.8137046592806193</v>
      </c>
    </row>
    <row r="2693" spans="1:11" x14ac:dyDescent="0.2">
      <c r="A2693" s="38" t="s">
        <v>7</v>
      </c>
      <c r="B2693" s="38" t="s">
        <v>11216</v>
      </c>
      <c r="C2693" s="43" t="s">
        <v>11217</v>
      </c>
      <c r="D2693" s="38" t="s">
        <v>12214</v>
      </c>
      <c r="G2693" s="44">
        <v>4</v>
      </c>
      <c r="H2693" s="45">
        <v>67716</v>
      </c>
      <c r="J2693" s="45">
        <v>16929</v>
      </c>
    </row>
    <row r="2694" spans="1:11" x14ac:dyDescent="0.2">
      <c r="A2694" s="38" t="s">
        <v>7</v>
      </c>
      <c r="B2694" s="38" t="s">
        <v>11219</v>
      </c>
      <c r="C2694" s="43" t="s">
        <v>11220</v>
      </c>
      <c r="D2694" s="38" t="s">
        <v>12213</v>
      </c>
      <c r="E2694" s="44">
        <v>5</v>
      </c>
      <c r="F2694" s="45">
        <v>5495</v>
      </c>
      <c r="G2694" s="44">
        <v>13</v>
      </c>
      <c r="H2694" s="45">
        <v>33248.44</v>
      </c>
      <c r="I2694" s="45">
        <v>1099</v>
      </c>
      <c r="J2694" s="45">
        <v>2557.5723076923077</v>
      </c>
      <c r="K2694" s="46">
        <v>1.3271813536781689</v>
      </c>
    </row>
    <row r="2695" spans="1:11" x14ac:dyDescent="0.2">
      <c r="A2695" s="38" t="s">
        <v>7</v>
      </c>
      <c r="B2695" s="38" t="s">
        <v>11225</v>
      </c>
      <c r="C2695" s="43" t="s">
        <v>11226</v>
      </c>
      <c r="D2695" s="38" t="s">
        <v>12213</v>
      </c>
      <c r="G2695" s="44">
        <v>2</v>
      </c>
      <c r="H2695" s="45">
        <v>13373.58</v>
      </c>
      <c r="J2695" s="45">
        <v>6686.79</v>
      </c>
    </row>
    <row r="2696" spans="1:11" x14ac:dyDescent="0.2">
      <c r="A2696" s="38" t="s">
        <v>7</v>
      </c>
      <c r="B2696" s="38" t="s">
        <v>11228</v>
      </c>
      <c r="C2696" s="43" t="s">
        <v>11229</v>
      </c>
      <c r="D2696" s="38" t="s">
        <v>12213</v>
      </c>
      <c r="G2696" s="44">
        <v>2</v>
      </c>
      <c r="H2696" s="45">
        <v>8183.62</v>
      </c>
      <c r="J2696" s="45">
        <v>4091.81</v>
      </c>
    </row>
    <row r="2697" spans="1:11" x14ac:dyDescent="0.2">
      <c r="A2697" s="38" t="s">
        <v>7</v>
      </c>
      <c r="B2697" s="38" t="s">
        <v>11231</v>
      </c>
      <c r="C2697" s="43" t="s">
        <v>11232</v>
      </c>
      <c r="D2697" s="38" t="s">
        <v>12213</v>
      </c>
      <c r="G2697" s="44">
        <v>2</v>
      </c>
      <c r="H2697" s="45">
        <v>8985.5400000000009</v>
      </c>
      <c r="J2697" s="45">
        <v>4492.7700000000004</v>
      </c>
    </row>
    <row r="2698" spans="1:11" x14ac:dyDescent="0.2">
      <c r="A2698" s="38" t="s">
        <v>7</v>
      </c>
      <c r="B2698" s="38" t="s">
        <v>11234</v>
      </c>
      <c r="C2698" s="43" t="s">
        <v>11235</v>
      </c>
      <c r="D2698" s="38" t="s">
        <v>12213</v>
      </c>
      <c r="E2698" s="44">
        <v>14</v>
      </c>
      <c r="F2698" s="45">
        <v>95976.92</v>
      </c>
      <c r="G2698" s="44">
        <v>29</v>
      </c>
      <c r="H2698" s="45">
        <v>174525.82</v>
      </c>
      <c r="I2698" s="45">
        <v>6855.494285714286</v>
      </c>
      <c r="J2698" s="45">
        <v>6018.1317241379311</v>
      </c>
      <c r="K2698" s="46">
        <v>-0.12214473919426637</v>
      </c>
    </row>
    <row r="2699" spans="1:11" x14ac:dyDescent="0.2">
      <c r="A2699" s="38" t="s">
        <v>7</v>
      </c>
      <c r="B2699" s="38" t="s">
        <v>11237</v>
      </c>
      <c r="C2699" s="43" t="s">
        <v>11238</v>
      </c>
      <c r="D2699" s="38" t="s">
        <v>12213</v>
      </c>
      <c r="G2699" s="44">
        <v>1</v>
      </c>
      <c r="H2699" s="45">
        <v>8147.75</v>
      </c>
      <c r="J2699" s="45">
        <v>8147.75</v>
      </c>
    </row>
    <row r="2700" spans="1:11" x14ac:dyDescent="0.2">
      <c r="A2700" s="38" t="s">
        <v>7</v>
      </c>
      <c r="B2700" s="38" t="s">
        <v>11239</v>
      </c>
      <c r="C2700" s="43" t="s">
        <v>11240</v>
      </c>
      <c r="D2700" s="38" t="s">
        <v>12213</v>
      </c>
      <c r="E2700" s="44">
        <v>4</v>
      </c>
      <c r="F2700" s="45">
        <v>27725</v>
      </c>
      <c r="G2700" s="44">
        <v>1</v>
      </c>
      <c r="H2700" s="45">
        <v>6289</v>
      </c>
      <c r="I2700" s="45">
        <v>6931.25</v>
      </c>
      <c r="J2700" s="45">
        <v>6289</v>
      </c>
      <c r="K2700" s="46">
        <v>-9.2660054102795306E-2</v>
      </c>
    </row>
    <row r="2701" spans="1:11" x14ac:dyDescent="0.2">
      <c r="A2701" s="38" t="s">
        <v>7</v>
      </c>
      <c r="B2701" s="38" t="s">
        <v>11241</v>
      </c>
      <c r="C2701" s="43" t="s">
        <v>11242</v>
      </c>
      <c r="D2701" s="38" t="s">
        <v>12213</v>
      </c>
      <c r="E2701" s="44">
        <v>4</v>
      </c>
      <c r="F2701" s="45">
        <v>14365</v>
      </c>
      <c r="G2701" s="44">
        <v>0</v>
      </c>
      <c r="H2701" s="45">
        <v>0</v>
      </c>
      <c r="I2701" s="45">
        <v>3591.25</v>
      </c>
    </row>
    <row r="2702" spans="1:11" x14ac:dyDescent="0.2">
      <c r="A2702" s="38" t="s">
        <v>7</v>
      </c>
      <c r="B2702" s="38" t="s">
        <v>11246</v>
      </c>
      <c r="C2702" s="43" t="s">
        <v>11247</v>
      </c>
      <c r="D2702" s="38" t="s">
        <v>12213</v>
      </c>
      <c r="G2702" s="44">
        <v>3</v>
      </c>
      <c r="H2702" s="45">
        <v>2040</v>
      </c>
      <c r="J2702" s="45">
        <v>680</v>
      </c>
    </row>
    <row r="2703" spans="1:11" x14ac:dyDescent="0.2">
      <c r="A2703" s="38" t="s">
        <v>7</v>
      </c>
      <c r="B2703" s="38" t="s">
        <v>11248</v>
      </c>
      <c r="C2703" s="43" t="s">
        <v>11249</v>
      </c>
      <c r="D2703" s="38" t="s">
        <v>12213</v>
      </c>
      <c r="G2703" s="44">
        <v>10</v>
      </c>
      <c r="H2703" s="45">
        <v>7694.22</v>
      </c>
      <c r="J2703" s="45">
        <v>769.42200000000003</v>
      </c>
    </row>
    <row r="2704" spans="1:11" x14ac:dyDescent="0.2">
      <c r="A2704" s="38" t="s">
        <v>7</v>
      </c>
      <c r="B2704" s="38" t="s">
        <v>11258</v>
      </c>
      <c r="C2704" s="43" t="s">
        <v>11259</v>
      </c>
      <c r="D2704" s="38" t="s">
        <v>12213</v>
      </c>
      <c r="E2704" s="44">
        <v>14</v>
      </c>
      <c r="F2704" s="45">
        <v>48290.23</v>
      </c>
      <c r="G2704" s="44">
        <v>7</v>
      </c>
      <c r="H2704" s="45">
        <v>26006.959999999999</v>
      </c>
      <c r="I2704" s="45">
        <v>3449.3021428571433</v>
      </c>
      <c r="J2704" s="45">
        <v>3715.2799999999997</v>
      </c>
      <c r="K2704" s="46">
        <v>7.7110628795928074E-2</v>
      </c>
    </row>
    <row r="2705" spans="1:11" x14ac:dyDescent="0.2">
      <c r="A2705" s="38" t="s">
        <v>7</v>
      </c>
      <c r="B2705" s="38" t="s">
        <v>11268</v>
      </c>
      <c r="C2705" s="43" t="s">
        <v>11269</v>
      </c>
      <c r="D2705" s="38" t="s">
        <v>12213</v>
      </c>
      <c r="G2705" s="44">
        <v>1</v>
      </c>
      <c r="H2705" s="45">
        <v>3644</v>
      </c>
      <c r="J2705" s="45">
        <v>3644</v>
      </c>
    </row>
    <row r="2706" spans="1:11" x14ac:dyDescent="0.2">
      <c r="A2706" s="38" t="s">
        <v>7</v>
      </c>
      <c r="B2706" s="38" t="s">
        <v>11271</v>
      </c>
      <c r="C2706" s="43" t="s">
        <v>11272</v>
      </c>
      <c r="D2706" s="38" t="s">
        <v>12213</v>
      </c>
      <c r="E2706" s="44">
        <v>2</v>
      </c>
      <c r="F2706" s="45">
        <v>6532.36</v>
      </c>
      <c r="G2706" s="44">
        <v>0</v>
      </c>
      <c r="H2706" s="45">
        <v>0</v>
      </c>
      <c r="I2706" s="45">
        <v>3266.18</v>
      </c>
    </row>
    <row r="2707" spans="1:11" x14ac:dyDescent="0.2">
      <c r="A2707" s="38" t="s">
        <v>7</v>
      </c>
      <c r="B2707" s="38" t="s">
        <v>11273</v>
      </c>
      <c r="C2707" s="43" t="s">
        <v>11274</v>
      </c>
      <c r="D2707" s="38" t="s">
        <v>12213</v>
      </c>
      <c r="G2707" s="44">
        <v>2</v>
      </c>
      <c r="H2707" s="45">
        <v>7303.64</v>
      </c>
      <c r="J2707" s="45">
        <v>3651.82</v>
      </c>
    </row>
    <row r="2708" spans="1:11" x14ac:dyDescent="0.2">
      <c r="A2708" s="38" t="s">
        <v>7</v>
      </c>
      <c r="B2708" s="38" t="s">
        <v>11275</v>
      </c>
      <c r="C2708" s="43" t="s">
        <v>11276</v>
      </c>
      <c r="D2708" s="38" t="s">
        <v>12213</v>
      </c>
      <c r="G2708" s="44">
        <v>3</v>
      </c>
      <c r="H2708" s="45">
        <v>9543.0300000000007</v>
      </c>
      <c r="J2708" s="45">
        <v>3181.01</v>
      </c>
    </row>
    <row r="2709" spans="1:11" x14ac:dyDescent="0.2">
      <c r="A2709" s="38" t="s">
        <v>7</v>
      </c>
      <c r="B2709" s="38" t="s">
        <v>11278</v>
      </c>
      <c r="C2709" s="43" t="s">
        <v>11279</v>
      </c>
      <c r="D2709" s="38" t="s">
        <v>12213</v>
      </c>
      <c r="G2709" s="44">
        <v>1</v>
      </c>
      <c r="H2709" s="45">
        <v>13818</v>
      </c>
      <c r="J2709" s="45">
        <v>13818</v>
      </c>
    </row>
    <row r="2710" spans="1:11" x14ac:dyDescent="0.2">
      <c r="A2710" s="38" t="s">
        <v>7</v>
      </c>
      <c r="B2710" s="38" t="s">
        <v>11286</v>
      </c>
      <c r="C2710" s="43" t="s">
        <v>11287</v>
      </c>
      <c r="D2710" s="38" t="s">
        <v>12213</v>
      </c>
      <c r="G2710" s="44">
        <v>2</v>
      </c>
      <c r="H2710" s="45">
        <v>35392</v>
      </c>
      <c r="J2710" s="45">
        <v>17696</v>
      </c>
    </row>
    <row r="2711" spans="1:11" x14ac:dyDescent="0.2">
      <c r="A2711" s="38" t="s">
        <v>7</v>
      </c>
      <c r="B2711" s="38" t="s">
        <v>11291</v>
      </c>
      <c r="C2711" s="43" t="s">
        <v>11292</v>
      </c>
      <c r="D2711" s="38" t="s">
        <v>12213</v>
      </c>
      <c r="G2711" s="44">
        <v>2</v>
      </c>
      <c r="H2711" s="45">
        <v>8204</v>
      </c>
      <c r="J2711" s="45">
        <v>4102</v>
      </c>
    </row>
    <row r="2712" spans="1:11" x14ac:dyDescent="0.2">
      <c r="A2712" s="38" t="s">
        <v>7</v>
      </c>
      <c r="B2712" s="38" t="s">
        <v>11294</v>
      </c>
      <c r="C2712" s="43" t="s">
        <v>11295</v>
      </c>
      <c r="D2712" s="38" t="s">
        <v>12213</v>
      </c>
      <c r="G2712" s="44">
        <v>2</v>
      </c>
      <c r="H2712" s="45">
        <v>6158.25</v>
      </c>
      <c r="J2712" s="45">
        <v>3079.125</v>
      </c>
    </row>
    <row r="2713" spans="1:11" x14ac:dyDescent="0.2">
      <c r="A2713" s="38" t="s">
        <v>7</v>
      </c>
      <c r="B2713" s="38" t="s">
        <v>11296</v>
      </c>
      <c r="C2713" s="43" t="s">
        <v>11297</v>
      </c>
      <c r="D2713" s="38" t="s">
        <v>12213</v>
      </c>
      <c r="E2713" s="44">
        <v>3</v>
      </c>
      <c r="F2713" s="45">
        <v>7922</v>
      </c>
      <c r="G2713" s="44">
        <v>1</v>
      </c>
      <c r="H2713" s="45">
        <v>2618</v>
      </c>
      <c r="I2713" s="45">
        <v>2640.6666666666665</v>
      </c>
      <c r="J2713" s="45">
        <v>2618</v>
      </c>
      <c r="K2713" s="46">
        <v>-8.5836909871244062E-3</v>
      </c>
    </row>
    <row r="2714" spans="1:11" x14ac:dyDescent="0.2">
      <c r="A2714" s="38" t="s">
        <v>7</v>
      </c>
      <c r="B2714" s="38" t="s">
        <v>11299</v>
      </c>
      <c r="C2714" s="43" t="s">
        <v>11300</v>
      </c>
      <c r="D2714" s="38" t="s">
        <v>12213</v>
      </c>
      <c r="G2714" s="44">
        <v>2</v>
      </c>
      <c r="H2714" s="45">
        <v>9102</v>
      </c>
      <c r="J2714" s="45">
        <v>4551</v>
      </c>
    </row>
    <row r="2715" spans="1:11" x14ac:dyDescent="0.2">
      <c r="A2715" s="38" t="s">
        <v>7</v>
      </c>
      <c r="B2715" s="38" t="s">
        <v>11303</v>
      </c>
      <c r="C2715" s="43" t="s">
        <v>11304</v>
      </c>
      <c r="D2715" s="38" t="s">
        <v>12213</v>
      </c>
      <c r="E2715" s="44">
        <v>13</v>
      </c>
      <c r="F2715" s="45">
        <v>46523.5</v>
      </c>
      <c r="G2715" s="44">
        <v>4</v>
      </c>
      <c r="H2715" s="45">
        <v>16719.25</v>
      </c>
      <c r="I2715" s="45">
        <v>3578.7307692307691</v>
      </c>
      <c r="J2715" s="45">
        <v>4179.8125</v>
      </c>
      <c r="K2715" s="46">
        <v>0.16795947209474787</v>
      </c>
    </row>
    <row r="2716" spans="1:11" x14ac:dyDescent="0.2">
      <c r="A2716" s="38" t="s">
        <v>7</v>
      </c>
      <c r="B2716" s="38" t="s">
        <v>11306</v>
      </c>
      <c r="C2716" s="43" t="s">
        <v>11307</v>
      </c>
      <c r="D2716" s="38" t="s">
        <v>12213</v>
      </c>
      <c r="G2716" s="44">
        <v>3</v>
      </c>
      <c r="H2716" s="45">
        <v>15115.82</v>
      </c>
      <c r="J2716" s="45">
        <v>5038.6066666666666</v>
      </c>
    </row>
    <row r="2717" spans="1:11" x14ac:dyDescent="0.2">
      <c r="A2717" s="38" t="s">
        <v>7</v>
      </c>
      <c r="B2717" s="38" t="s">
        <v>11308</v>
      </c>
      <c r="C2717" s="43" t="s">
        <v>11309</v>
      </c>
      <c r="D2717" s="38" t="s">
        <v>12213</v>
      </c>
      <c r="E2717" s="44">
        <v>4</v>
      </c>
      <c r="F2717" s="45">
        <v>17179.5</v>
      </c>
      <c r="G2717" s="44">
        <v>4</v>
      </c>
      <c r="H2717" s="45">
        <v>14202.51</v>
      </c>
      <c r="I2717" s="45">
        <v>4294.875</v>
      </c>
      <c r="J2717" s="45">
        <v>3550.6275000000001</v>
      </c>
      <c r="K2717" s="46">
        <v>-0.17328734829302364</v>
      </c>
    </row>
    <row r="2718" spans="1:11" x14ac:dyDescent="0.2">
      <c r="A2718" s="38" t="s">
        <v>7</v>
      </c>
      <c r="B2718" s="38" t="s">
        <v>11311</v>
      </c>
      <c r="C2718" s="43" t="s">
        <v>11312</v>
      </c>
      <c r="D2718" s="38" t="s">
        <v>12213</v>
      </c>
      <c r="G2718" s="44">
        <v>1</v>
      </c>
      <c r="H2718" s="45">
        <v>8430.5</v>
      </c>
      <c r="J2718" s="45">
        <v>8430.5</v>
      </c>
    </row>
    <row r="2719" spans="1:11" x14ac:dyDescent="0.2">
      <c r="A2719" s="38" t="s">
        <v>7</v>
      </c>
      <c r="B2719" s="38" t="s">
        <v>11314</v>
      </c>
      <c r="C2719" s="43" t="s">
        <v>11315</v>
      </c>
      <c r="D2719" s="38" t="s">
        <v>12213</v>
      </c>
      <c r="E2719" s="44">
        <v>3</v>
      </c>
      <c r="F2719" s="45">
        <v>37531</v>
      </c>
      <c r="G2719" s="44">
        <v>5</v>
      </c>
      <c r="H2719" s="45">
        <v>56992.98</v>
      </c>
      <c r="I2719" s="45">
        <v>12510.333333333334</v>
      </c>
      <c r="J2719" s="45">
        <v>11398.596000000001</v>
      </c>
      <c r="K2719" s="46">
        <v>-8.8865524499746815E-2</v>
      </c>
    </row>
    <row r="2720" spans="1:11" x14ac:dyDescent="0.2">
      <c r="A2720" s="38" t="s">
        <v>7</v>
      </c>
      <c r="B2720" s="38" t="s">
        <v>11317</v>
      </c>
      <c r="C2720" s="43" t="s">
        <v>11318</v>
      </c>
      <c r="D2720" s="38" t="s">
        <v>12213</v>
      </c>
      <c r="E2720" s="44">
        <v>30</v>
      </c>
      <c r="F2720" s="45">
        <v>130201.03</v>
      </c>
      <c r="G2720" s="44">
        <v>29</v>
      </c>
      <c r="H2720" s="45">
        <v>147993.32</v>
      </c>
      <c r="I2720" s="45">
        <v>4340.0343333333331</v>
      </c>
      <c r="J2720" s="45">
        <v>5103.2179310344827</v>
      </c>
      <c r="K2720" s="46">
        <v>0.17584736411865937</v>
      </c>
    </row>
    <row r="2721" spans="1:11" x14ac:dyDescent="0.2">
      <c r="A2721" s="38" t="s">
        <v>7</v>
      </c>
      <c r="B2721" s="38" t="s">
        <v>11319</v>
      </c>
      <c r="C2721" s="43" t="s">
        <v>11320</v>
      </c>
      <c r="D2721" s="38" t="s">
        <v>12213</v>
      </c>
      <c r="G2721" s="44">
        <v>1</v>
      </c>
      <c r="H2721" s="45">
        <v>702.1</v>
      </c>
      <c r="J2721" s="45">
        <v>702.1</v>
      </c>
    </row>
    <row r="2722" spans="1:11" x14ac:dyDescent="0.2">
      <c r="A2722" s="38" t="s">
        <v>7</v>
      </c>
      <c r="B2722" s="38" t="s">
        <v>11321</v>
      </c>
      <c r="C2722" s="43" t="s">
        <v>11322</v>
      </c>
      <c r="D2722" s="38" t="s">
        <v>12213</v>
      </c>
      <c r="G2722" s="44">
        <v>5</v>
      </c>
      <c r="H2722" s="45">
        <v>9960</v>
      </c>
      <c r="J2722" s="45">
        <v>1992</v>
      </c>
    </row>
    <row r="2723" spans="1:11" x14ac:dyDescent="0.2">
      <c r="A2723" s="38" t="s">
        <v>7</v>
      </c>
      <c r="B2723" s="38" t="s">
        <v>11324</v>
      </c>
      <c r="C2723" s="43" t="s">
        <v>11325</v>
      </c>
      <c r="D2723" s="38" t="s">
        <v>12213</v>
      </c>
      <c r="G2723" s="44">
        <v>4</v>
      </c>
      <c r="H2723" s="45">
        <v>14326.8</v>
      </c>
      <c r="J2723" s="45">
        <v>3581.7</v>
      </c>
    </row>
    <row r="2724" spans="1:11" x14ac:dyDescent="0.2">
      <c r="A2724" s="38" t="s">
        <v>7</v>
      </c>
      <c r="B2724" s="38" t="s">
        <v>11326</v>
      </c>
      <c r="C2724" s="43" t="s">
        <v>11327</v>
      </c>
      <c r="D2724" s="38" t="s">
        <v>12213</v>
      </c>
      <c r="G2724" s="44">
        <v>1</v>
      </c>
      <c r="H2724" s="45">
        <v>5470</v>
      </c>
      <c r="J2724" s="45">
        <v>5470</v>
      </c>
    </row>
    <row r="2725" spans="1:11" x14ac:dyDescent="0.2">
      <c r="A2725" s="38" t="s">
        <v>7</v>
      </c>
      <c r="B2725" s="38" t="s">
        <v>11329</v>
      </c>
      <c r="C2725" s="43" t="s">
        <v>11330</v>
      </c>
      <c r="D2725" s="38" t="s">
        <v>12214</v>
      </c>
      <c r="G2725" s="44">
        <v>1</v>
      </c>
      <c r="H2725" s="45">
        <v>7325.5</v>
      </c>
      <c r="J2725" s="45">
        <v>7325.5</v>
      </c>
    </row>
    <row r="2726" spans="1:11" x14ac:dyDescent="0.2">
      <c r="A2726" s="38" t="s">
        <v>7</v>
      </c>
      <c r="B2726" s="38" t="s">
        <v>11332</v>
      </c>
      <c r="C2726" s="43" t="s">
        <v>11333</v>
      </c>
      <c r="D2726" s="38" t="s">
        <v>12214</v>
      </c>
      <c r="G2726" s="44">
        <v>1</v>
      </c>
      <c r="H2726" s="45">
        <v>2052.54</v>
      </c>
      <c r="J2726" s="45">
        <v>2052.54</v>
      </c>
    </row>
    <row r="2727" spans="1:11" x14ac:dyDescent="0.2">
      <c r="A2727" s="38" t="s">
        <v>7</v>
      </c>
      <c r="B2727" s="38" t="s">
        <v>11334</v>
      </c>
      <c r="C2727" s="43" t="s">
        <v>11335</v>
      </c>
      <c r="D2727" s="38" t="s">
        <v>12214</v>
      </c>
      <c r="G2727" s="44">
        <v>1</v>
      </c>
      <c r="H2727" s="45">
        <v>22831.17</v>
      </c>
      <c r="J2727" s="45">
        <v>22831.17</v>
      </c>
    </row>
    <row r="2728" spans="1:11" x14ac:dyDescent="0.2">
      <c r="A2728" s="38" t="s">
        <v>7</v>
      </c>
      <c r="B2728" s="38" t="s">
        <v>11336</v>
      </c>
      <c r="C2728" s="43" t="s">
        <v>11337</v>
      </c>
      <c r="D2728" s="38" t="s">
        <v>12214</v>
      </c>
      <c r="G2728" s="44">
        <v>3</v>
      </c>
      <c r="H2728" s="45">
        <v>79385.58</v>
      </c>
      <c r="J2728" s="45">
        <v>26461.86</v>
      </c>
    </row>
    <row r="2729" spans="1:11" x14ac:dyDescent="0.2">
      <c r="A2729" s="38" t="s">
        <v>7</v>
      </c>
      <c r="B2729" s="38" t="s">
        <v>11342</v>
      </c>
      <c r="C2729" s="43" t="s">
        <v>11343</v>
      </c>
      <c r="D2729" s="38" t="s">
        <v>12214</v>
      </c>
      <c r="G2729" s="44">
        <v>2</v>
      </c>
      <c r="H2729" s="45">
        <v>2649.36</v>
      </c>
      <c r="J2729" s="45">
        <v>1324.68</v>
      </c>
    </row>
    <row r="2730" spans="1:11" x14ac:dyDescent="0.2">
      <c r="A2730" s="38" t="s">
        <v>7</v>
      </c>
      <c r="B2730" s="38" t="s">
        <v>11344</v>
      </c>
      <c r="C2730" s="43" t="s">
        <v>11345</v>
      </c>
      <c r="D2730" s="38" t="s">
        <v>12214</v>
      </c>
      <c r="G2730" s="44">
        <v>1</v>
      </c>
      <c r="H2730" s="45">
        <v>32202</v>
      </c>
      <c r="J2730" s="45">
        <v>32202</v>
      </c>
    </row>
    <row r="2731" spans="1:11" x14ac:dyDescent="0.2">
      <c r="A2731" s="38" t="s">
        <v>7</v>
      </c>
      <c r="B2731" s="38" t="s">
        <v>11349</v>
      </c>
      <c r="C2731" s="43" t="s">
        <v>11350</v>
      </c>
      <c r="D2731" s="38" t="s">
        <v>12214</v>
      </c>
      <c r="G2731" s="44">
        <v>1</v>
      </c>
      <c r="H2731" s="45">
        <v>42510</v>
      </c>
      <c r="J2731" s="45">
        <v>42510</v>
      </c>
    </row>
    <row r="2732" spans="1:11" x14ac:dyDescent="0.2">
      <c r="A2732" s="38" t="s">
        <v>7</v>
      </c>
      <c r="B2732" s="38" t="s">
        <v>11356</v>
      </c>
      <c r="C2732" s="43" t="s">
        <v>11357</v>
      </c>
      <c r="D2732" s="38" t="s">
        <v>13168</v>
      </c>
      <c r="E2732" s="44">
        <v>14</v>
      </c>
      <c r="F2732" s="45">
        <v>90964</v>
      </c>
      <c r="G2732" s="44">
        <v>1</v>
      </c>
      <c r="H2732" s="45">
        <v>6532</v>
      </c>
      <c r="I2732" s="45">
        <v>6497.4285714285716</v>
      </c>
      <c r="J2732" s="45">
        <v>6532</v>
      </c>
      <c r="K2732" s="46">
        <v>5.3207862451079349E-3</v>
      </c>
    </row>
    <row r="2733" spans="1:11" x14ac:dyDescent="0.2">
      <c r="A2733" s="38" t="s">
        <v>7</v>
      </c>
      <c r="B2733" s="38" t="s">
        <v>11359</v>
      </c>
      <c r="C2733" s="43" t="s">
        <v>11360</v>
      </c>
      <c r="D2733" s="38" t="s">
        <v>12214</v>
      </c>
      <c r="G2733" s="44">
        <v>4</v>
      </c>
      <c r="H2733" s="45">
        <v>42793.99</v>
      </c>
      <c r="J2733" s="45">
        <v>10698.497499999999</v>
      </c>
    </row>
    <row r="2734" spans="1:11" x14ac:dyDescent="0.2">
      <c r="A2734" s="38" t="s">
        <v>7</v>
      </c>
      <c r="B2734" s="38" t="s">
        <v>11362</v>
      </c>
      <c r="C2734" s="43" t="s">
        <v>11363</v>
      </c>
      <c r="D2734" s="38" t="s">
        <v>13163</v>
      </c>
      <c r="G2734" s="44">
        <v>2</v>
      </c>
      <c r="H2734" s="45">
        <v>10679.5</v>
      </c>
      <c r="J2734" s="45">
        <v>5339.75</v>
      </c>
    </row>
    <row r="2735" spans="1:11" x14ac:dyDescent="0.2">
      <c r="A2735" s="38" t="s">
        <v>7</v>
      </c>
      <c r="B2735" s="38" t="s">
        <v>11368</v>
      </c>
      <c r="C2735" s="43" t="s">
        <v>11369</v>
      </c>
      <c r="D2735" s="38" t="s">
        <v>12214</v>
      </c>
      <c r="G2735" s="44">
        <v>1</v>
      </c>
      <c r="H2735" s="45">
        <v>34877</v>
      </c>
      <c r="J2735" s="45">
        <v>34877</v>
      </c>
    </row>
    <row r="2736" spans="1:11" x14ac:dyDescent="0.2">
      <c r="A2736" s="38" t="s">
        <v>7</v>
      </c>
      <c r="B2736" s="38" t="s">
        <v>11375</v>
      </c>
      <c r="C2736" s="43" t="s">
        <v>11376</v>
      </c>
      <c r="D2736" s="38" t="s">
        <v>12213</v>
      </c>
      <c r="G2736" s="44">
        <v>4</v>
      </c>
      <c r="H2736" s="45">
        <v>10584</v>
      </c>
      <c r="J2736" s="45">
        <v>2646</v>
      </c>
    </row>
    <row r="2737" spans="1:11" x14ac:dyDescent="0.2">
      <c r="A2737" s="38" t="s">
        <v>7</v>
      </c>
      <c r="B2737" s="38" t="s">
        <v>11378</v>
      </c>
      <c r="C2737" s="43" t="s">
        <v>11379</v>
      </c>
      <c r="D2737" s="38" t="s">
        <v>12213</v>
      </c>
      <c r="E2737" s="44">
        <v>434</v>
      </c>
      <c r="F2737" s="45">
        <v>198631.19</v>
      </c>
      <c r="G2737" s="44">
        <v>210</v>
      </c>
      <c r="H2737" s="45">
        <v>240407.6</v>
      </c>
      <c r="I2737" s="45">
        <v>457.67555299539168</v>
      </c>
      <c r="J2737" s="45">
        <v>1144.7980952380954</v>
      </c>
      <c r="K2737" s="46">
        <v>1.5013311017938997</v>
      </c>
    </row>
    <row r="2738" spans="1:11" x14ac:dyDescent="0.2">
      <c r="A2738" s="38" t="s">
        <v>7</v>
      </c>
      <c r="B2738" s="38" t="s">
        <v>11380</v>
      </c>
      <c r="C2738" s="43" t="s">
        <v>11381</v>
      </c>
      <c r="D2738" s="38" t="s">
        <v>12213</v>
      </c>
      <c r="E2738" s="44">
        <v>65</v>
      </c>
      <c r="F2738" s="45">
        <v>24050.75</v>
      </c>
      <c r="G2738" s="44">
        <v>103</v>
      </c>
      <c r="H2738" s="45">
        <v>106025.99</v>
      </c>
      <c r="I2738" s="45">
        <v>370.01153846153846</v>
      </c>
      <c r="J2738" s="45">
        <v>1029.3785436893204</v>
      </c>
      <c r="K2738" s="46">
        <v>1.7820174148334593</v>
      </c>
    </row>
    <row r="2739" spans="1:11" x14ac:dyDescent="0.2">
      <c r="A2739" s="38" t="s">
        <v>7</v>
      </c>
      <c r="B2739" s="38" t="s">
        <v>11382</v>
      </c>
      <c r="C2739" s="43" t="s">
        <v>11383</v>
      </c>
      <c r="D2739" s="38" t="s">
        <v>12213</v>
      </c>
      <c r="E2739" s="44">
        <v>56</v>
      </c>
      <c r="F2739" s="45">
        <v>60441.88</v>
      </c>
      <c r="G2739" s="44">
        <v>58</v>
      </c>
      <c r="H2739" s="45">
        <v>88341.84</v>
      </c>
      <c r="I2739" s="45">
        <v>1079.3192857142856</v>
      </c>
      <c r="J2739" s="45">
        <v>1523.135172413793</v>
      </c>
      <c r="K2739" s="46">
        <v>0.4111998113753646</v>
      </c>
    </row>
    <row r="2740" spans="1:11" x14ac:dyDescent="0.2">
      <c r="A2740" s="38" t="s">
        <v>7</v>
      </c>
      <c r="B2740" s="38" t="s">
        <v>11384</v>
      </c>
      <c r="C2740" s="43" t="s">
        <v>11385</v>
      </c>
      <c r="D2740" s="38" t="s">
        <v>12213</v>
      </c>
      <c r="E2740" s="44">
        <v>16</v>
      </c>
      <c r="F2740" s="45">
        <v>18642.990000000002</v>
      </c>
      <c r="G2740" s="44">
        <v>36</v>
      </c>
      <c r="H2740" s="45">
        <v>65424.27</v>
      </c>
      <c r="I2740" s="45">
        <v>1165.1868750000001</v>
      </c>
      <c r="J2740" s="45">
        <v>1817.3408333333332</v>
      </c>
      <c r="K2740" s="46">
        <v>0.55969902538880989</v>
      </c>
    </row>
    <row r="2741" spans="1:11" x14ac:dyDescent="0.2">
      <c r="A2741" s="38" t="s">
        <v>7</v>
      </c>
      <c r="B2741" s="38" t="s">
        <v>11386</v>
      </c>
      <c r="C2741" s="43" t="s">
        <v>11387</v>
      </c>
      <c r="D2741" s="38" t="s">
        <v>12213</v>
      </c>
      <c r="E2741" s="44">
        <v>31</v>
      </c>
      <c r="F2741" s="45">
        <v>51328.42</v>
      </c>
      <c r="G2741" s="44">
        <v>33</v>
      </c>
      <c r="H2741" s="45">
        <v>52213.93</v>
      </c>
      <c r="I2741" s="45">
        <v>1655.7554838709677</v>
      </c>
      <c r="J2741" s="45">
        <v>1582.240303030303</v>
      </c>
      <c r="K2741" s="46">
        <v>-4.439978098021731E-2</v>
      </c>
    </row>
    <row r="2742" spans="1:11" x14ac:dyDescent="0.2">
      <c r="A2742" s="38" t="s">
        <v>7</v>
      </c>
      <c r="B2742" s="38" t="s">
        <v>11388</v>
      </c>
      <c r="C2742" s="43" t="s">
        <v>11389</v>
      </c>
      <c r="D2742" s="38" t="s">
        <v>12213</v>
      </c>
      <c r="E2742" s="44">
        <v>180</v>
      </c>
      <c r="F2742" s="45">
        <v>28442.080000000002</v>
      </c>
      <c r="G2742" s="44">
        <v>67</v>
      </c>
      <c r="H2742" s="45">
        <v>94009.91</v>
      </c>
      <c r="I2742" s="45">
        <v>158.01155555555556</v>
      </c>
      <c r="J2742" s="45">
        <v>1403.132985074627</v>
      </c>
      <c r="K2742" s="46">
        <v>7.8799390661102438</v>
      </c>
    </row>
    <row r="2743" spans="1:11" x14ac:dyDescent="0.2">
      <c r="A2743" s="38" t="s">
        <v>7</v>
      </c>
      <c r="B2743" s="38" t="s">
        <v>11390</v>
      </c>
      <c r="C2743" s="43" t="s">
        <v>11391</v>
      </c>
      <c r="D2743" s="38" t="s">
        <v>12213</v>
      </c>
      <c r="E2743" s="44">
        <v>74</v>
      </c>
      <c r="F2743" s="45">
        <v>243397.84</v>
      </c>
      <c r="G2743" s="44">
        <v>160</v>
      </c>
      <c r="H2743" s="45">
        <v>544324.28</v>
      </c>
      <c r="I2743" s="45">
        <v>3289.16</v>
      </c>
      <c r="J2743" s="45">
        <v>3402.02675</v>
      </c>
      <c r="K2743" s="46">
        <v>3.4314764255919485E-2</v>
      </c>
    </row>
    <row r="2744" spans="1:11" x14ac:dyDescent="0.2">
      <c r="A2744" s="38" t="s">
        <v>7</v>
      </c>
      <c r="B2744" s="38" t="s">
        <v>11395</v>
      </c>
      <c r="C2744" s="43" t="s">
        <v>11396</v>
      </c>
      <c r="D2744" s="38" t="s">
        <v>12213</v>
      </c>
      <c r="G2744" s="44">
        <v>4</v>
      </c>
      <c r="H2744" s="45">
        <v>7372</v>
      </c>
      <c r="J2744" s="45">
        <v>1843</v>
      </c>
    </row>
    <row r="2745" spans="1:11" x14ac:dyDescent="0.2">
      <c r="A2745" s="38" t="s">
        <v>7</v>
      </c>
      <c r="B2745" s="38" t="s">
        <v>11403</v>
      </c>
      <c r="C2745" s="43" t="s">
        <v>11404</v>
      </c>
      <c r="D2745" s="38" t="s">
        <v>12213</v>
      </c>
      <c r="E2745" s="44">
        <v>10</v>
      </c>
      <c r="F2745" s="45">
        <v>23354.5</v>
      </c>
      <c r="G2745" s="44">
        <v>19</v>
      </c>
      <c r="H2745" s="45">
        <v>55046.5</v>
      </c>
      <c r="I2745" s="45">
        <v>2335.4499999999998</v>
      </c>
      <c r="J2745" s="45">
        <v>2897.1842105263158</v>
      </c>
      <c r="K2745" s="46">
        <v>0.24052504250843137</v>
      </c>
    </row>
    <row r="2746" spans="1:11" x14ac:dyDescent="0.2">
      <c r="A2746" s="38" t="s">
        <v>7</v>
      </c>
      <c r="B2746" s="38" t="s">
        <v>11405</v>
      </c>
      <c r="C2746" s="43" t="s">
        <v>11406</v>
      </c>
      <c r="D2746" s="38" t="s">
        <v>12213</v>
      </c>
      <c r="E2746" s="44">
        <v>355</v>
      </c>
      <c r="F2746" s="45">
        <v>205047.66</v>
      </c>
      <c r="G2746" s="44">
        <v>240</v>
      </c>
      <c r="H2746" s="45">
        <v>290467.28999999998</v>
      </c>
      <c r="I2746" s="45">
        <v>577.59904225352113</v>
      </c>
      <c r="J2746" s="45">
        <v>1210.2803749999998</v>
      </c>
      <c r="K2746" s="46">
        <v>1.0953642344662695</v>
      </c>
    </row>
    <row r="2747" spans="1:11" x14ac:dyDescent="0.2">
      <c r="A2747" s="38" t="s">
        <v>7</v>
      </c>
      <c r="B2747" s="38" t="s">
        <v>11407</v>
      </c>
      <c r="C2747" s="43" t="s">
        <v>11408</v>
      </c>
      <c r="D2747" s="38" t="s">
        <v>12213</v>
      </c>
      <c r="E2747" s="44">
        <v>228</v>
      </c>
      <c r="F2747" s="45">
        <v>105750.83</v>
      </c>
      <c r="G2747" s="44">
        <v>239</v>
      </c>
      <c r="H2747" s="45">
        <v>296805.69</v>
      </c>
      <c r="I2747" s="45">
        <v>463.81942982456144</v>
      </c>
      <c r="J2747" s="45">
        <v>1241.8648117154812</v>
      </c>
      <c r="K2747" s="46">
        <v>1.6774747495705677</v>
      </c>
    </row>
    <row r="2748" spans="1:11" x14ac:dyDescent="0.2">
      <c r="A2748" s="38" t="s">
        <v>7</v>
      </c>
      <c r="B2748" s="38" t="s">
        <v>11416</v>
      </c>
      <c r="C2748" s="43" t="s">
        <v>11417</v>
      </c>
      <c r="D2748" s="38" t="s">
        <v>12213</v>
      </c>
      <c r="E2748" s="44">
        <v>2</v>
      </c>
      <c r="F2748" s="45">
        <v>2441.56</v>
      </c>
      <c r="G2748" s="44">
        <v>1</v>
      </c>
      <c r="H2748" s="45">
        <v>1220.78</v>
      </c>
      <c r="I2748" s="45">
        <v>1220.78</v>
      </c>
      <c r="J2748" s="45">
        <v>1220.78</v>
      </c>
      <c r="K2748" s="46">
        <v>0</v>
      </c>
    </row>
    <row r="2749" spans="1:11" x14ac:dyDescent="0.2">
      <c r="A2749" s="38" t="s">
        <v>7</v>
      </c>
      <c r="B2749" s="38" t="s">
        <v>11419</v>
      </c>
      <c r="C2749" s="43" t="s">
        <v>11420</v>
      </c>
      <c r="D2749" s="38" t="s">
        <v>12213</v>
      </c>
      <c r="G2749" s="44">
        <v>3</v>
      </c>
      <c r="H2749" s="45">
        <v>2222.64</v>
      </c>
      <c r="J2749" s="45">
        <v>740.88</v>
      </c>
    </row>
    <row r="2750" spans="1:11" x14ac:dyDescent="0.2">
      <c r="A2750" s="38" t="s">
        <v>7</v>
      </c>
      <c r="B2750" s="38" t="s">
        <v>11423</v>
      </c>
      <c r="C2750" s="43" t="s">
        <v>11424</v>
      </c>
      <c r="D2750" s="38" t="s">
        <v>12213</v>
      </c>
      <c r="E2750" s="44">
        <v>44</v>
      </c>
      <c r="F2750" s="45">
        <v>18832</v>
      </c>
      <c r="G2750" s="44">
        <v>39</v>
      </c>
      <c r="H2750" s="45">
        <v>16692</v>
      </c>
      <c r="I2750" s="45">
        <v>428</v>
      </c>
      <c r="J2750" s="45">
        <v>428</v>
      </c>
      <c r="K2750" s="46">
        <v>0</v>
      </c>
    </row>
    <row r="2751" spans="1:11" x14ac:dyDescent="0.2">
      <c r="A2751" s="38" t="s">
        <v>7</v>
      </c>
      <c r="B2751" s="38" t="s">
        <v>11428</v>
      </c>
      <c r="C2751" s="43" t="s">
        <v>11429</v>
      </c>
      <c r="D2751" s="38" t="s">
        <v>13169</v>
      </c>
      <c r="E2751" s="44">
        <v>16</v>
      </c>
      <c r="F2751" s="45">
        <v>3431</v>
      </c>
      <c r="G2751" s="44">
        <v>12</v>
      </c>
      <c r="H2751" s="45">
        <v>2220</v>
      </c>
      <c r="I2751" s="45">
        <v>214.4375</v>
      </c>
      <c r="J2751" s="45">
        <v>185</v>
      </c>
      <c r="K2751" s="46">
        <v>-0.13727776158554358</v>
      </c>
    </row>
    <row r="2752" spans="1:11" x14ac:dyDescent="0.2">
      <c r="A2752" s="38" t="s">
        <v>7</v>
      </c>
      <c r="B2752" s="38" t="s">
        <v>11434</v>
      </c>
      <c r="C2752" s="43" t="s">
        <v>11435</v>
      </c>
      <c r="D2752" s="38" t="s">
        <v>12213</v>
      </c>
      <c r="E2752" s="44">
        <v>8</v>
      </c>
      <c r="F2752" s="45">
        <v>7056</v>
      </c>
      <c r="G2752" s="44">
        <v>21</v>
      </c>
      <c r="H2752" s="45">
        <v>40054</v>
      </c>
      <c r="I2752" s="45">
        <v>882</v>
      </c>
      <c r="J2752" s="45">
        <v>1907.3333333333333</v>
      </c>
      <c r="K2752" s="46">
        <v>1.1625094482237339</v>
      </c>
    </row>
    <row r="2753" spans="1:11" x14ac:dyDescent="0.2">
      <c r="A2753" s="38" t="s">
        <v>7</v>
      </c>
      <c r="B2753" s="38" t="s">
        <v>11437</v>
      </c>
      <c r="C2753" s="43" t="s">
        <v>11438</v>
      </c>
      <c r="D2753" s="38" t="s">
        <v>12214</v>
      </c>
      <c r="G2753" s="44">
        <v>1</v>
      </c>
      <c r="H2753" s="45">
        <v>29277</v>
      </c>
      <c r="J2753" s="45">
        <v>29277</v>
      </c>
    </row>
    <row r="2754" spans="1:11" x14ac:dyDescent="0.2">
      <c r="A2754" s="38" t="s">
        <v>7</v>
      </c>
      <c r="B2754" s="38" t="s">
        <v>11452</v>
      </c>
      <c r="C2754" s="43" t="s">
        <v>11453</v>
      </c>
      <c r="D2754" s="38" t="s">
        <v>12213</v>
      </c>
      <c r="G2754" s="44">
        <v>1</v>
      </c>
      <c r="H2754" s="45">
        <v>49436</v>
      </c>
      <c r="J2754" s="45">
        <v>49436</v>
      </c>
    </row>
    <row r="2755" spans="1:11" x14ac:dyDescent="0.2">
      <c r="A2755" s="38" t="s">
        <v>7</v>
      </c>
      <c r="B2755" s="38" t="s">
        <v>11467</v>
      </c>
      <c r="C2755" s="43" t="s">
        <v>11468</v>
      </c>
      <c r="D2755" s="38" t="s">
        <v>12213</v>
      </c>
      <c r="G2755" s="44">
        <v>2</v>
      </c>
      <c r="H2755" s="45">
        <v>41168.839999999997</v>
      </c>
      <c r="J2755" s="45">
        <v>20584.419999999998</v>
      </c>
    </row>
    <row r="2756" spans="1:11" x14ac:dyDescent="0.2">
      <c r="A2756" s="38" t="s">
        <v>7</v>
      </c>
      <c r="B2756" s="38" t="s">
        <v>11479</v>
      </c>
      <c r="C2756" s="43" t="s">
        <v>11480</v>
      </c>
      <c r="D2756" s="38" t="s">
        <v>12213</v>
      </c>
      <c r="E2756" s="44">
        <v>1</v>
      </c>
      <c r="F2756" s="45">
        <v>42396.75</v>
      </c>
      <c r="G2756" s="44">
        <v>0</v>
      </c>
      <c r="H2756" s="45">
        <v>0</v>
      </c>
      <c r="I2756" s="45">
        <v>42396.75</v>
      </c>
    </row>
    <row r="2757" spans="1:11" x14ac:dyDescent="0.2">
      <c r="A2757" s="38" t="s">
        <v>7</v>
      </c>
      <c r="B2757" s="38" t="s">
        <v>11491</v>
      </c>
      <c r="C2757" s="43" t="s">
        <v>11492</v>
      </c>
      <c r="D2757" s="38" t="s">
        <v>12213</v>
      </c>
      <c r="G2757" s="44">
        <v>2</v>
      </c>
      <c r="H2757" s="45">
        <v>74180</v>
      </c>
      <c r="J2757" s="45">
        <v>37090</v>
      </c>
    </row>
    <row r="2758" spans="1:11" x14ac:dyDescent="0.2">
      <c r="A2758" s="38" t="s">
        <v>7</v>
      </c>
      <c r="B2758" s="38" t="s">
        <v>11496</v>
      </c>
      <c r="C2758" s="43" t="s">
        <v>11497</v>
      </c>
      <c r="D2758" s="38" t="s">
        <v>12213</v>
      </c>
      <c r="G2758" s="44">
        <v>1</v>
      </c>
      <c r="H2758" s="45">
        <v>41364</v>
      </c>
      <c r="J2758" s="45">
        <v>41364</v>
      </c>
    </row>
    <row r="2759" spans="1:11" x14ac:dyDescent="0.2">
      <c r="A2759" s="38" t="s">
        <v>7</v>
      </c>
      <c r="B2759" s="38" t="s">
        <v>11499</v>
      </c>
      <c r="C2759" s="43" t="s">
        <v>11500</v>
      </c>
      <c r="D2759" s="38" t="s">
        <v>12213</v>
      </c>
      <c r="G2759" s="44">
        <v>8</v>
      </c>
      <c r="H2759" s="45">
        <v>462168.64</v>
      </c>
      <c r="J2759" s="45">
        <v>57771.08</v>
      </c>
    </row>
    <row r="2760" spans="1:11" x14ac:dyDescent="0.2">
      <c r="A2760" s="38" t="s">
        <v>7</v>
      </c>
      <c r="B2760" s="38" t="s">
        <v>11511</v>
      </c>
      <c r="C2760" s="43" t="s">
        <v>11512</v>
      </c>
      <c r="D2760" s="38" t="s">
        <v>12213</v>
      </c>
      <c r="G2760" s="44">
        <v>6</v>
      </c>
      <c r="H2760" s="45">
        <v>10963</v>
      </c>
      <c r="J2760" s="45">
        <v>1827.1666666666667</v>
      </c>
    </row>
    <row r="2761" spans="1:11" x14ac:dyDescent="0.2">
      <c r="A2761" s="38" t="s">
        <v>7</v>
      </c>
      <c r="B2761" s="38" t="s">
        <v>11513</v>
      </c>
      <c r="C2761" s="43" t="s">
        <v>11514</v>
      </c>
      <c r="D2761" s="38" t="s">
        <v>12213</v>
      </c>
      <c r="G2761" s="44">
        <v>3</v>
      </c>
      <c r="H2761" s="45">
        <v>40902</v>
      </c>
      <c r="J2761" s="45">
        <v>13634</v>
      </c>
    </row>
    <row r="2762" spans="1:11" x14ac:dyDescent="0.2">
      <c r="A2762" s="38" t="s">
        <v>7</v>
      </c>
      <c r="B2762" s="38" t="s">
        <v>11516</v>
      </c>
      <c r="C2762" s="43" t="s">
        <v>11517</v>
      </c>
      <c r="D2762" s="38" t="s">
        <v>12213</v>
      </c>
      <c r="G2762" s="44">
        <v>3</v>
      </c>
      <c r="H2762" s="45">
        <v>30666</v>
      </c>
      <c r="J2762" s="45">
        <v>10222</v>
      </c>
    </row>
    <row r="2763" spans="1:11" x14ac:dyDescent="0.2">
      <c r="A2763" s="38" t="s">
        <v>7</v>
      </c>
      <c r="B2763" s="38" t="s">
        <v>11522</v>
      </c>
      <c r="C2763" s="43" t="s">
        <v>11523</v>
      </c>
      <c r="D2763" s="38" t="s">
        <v>12213</v>
      </c>
      <c r="G2763" s="44">
        <v>1</v>
      </c>
      <c r="H2763" s="45">
        <v>4020.74</v>
      </c>
      <c r="J2763" s="45">
        <v>4020.74</v>
      </c>
    </row>
    <row r="2764" spans="1:11" x14ac:dyDescent="0.2">
      <c r="A2764" s="38" t="s">
        <v>7</v>
      </c>
      <c r="B2764" s="38" t="s">
        <v>11525</v>
      </c>
      <c r="C2764" s="43" t="s">
        <v>11526</v>
      </c>
      <c r="D2764" s="38" t="s">
        <v>12213</v>
      </c>
      <c r="G2764" s="44">
        <v>1</v>
      </c>
      <c r="H2764" s="45">
        <v>29424</v>
      </c>
      <c r="J2764" s="45">
        <v>29424</v>
      </c>
    </row>
    <row r="2765" spans="1:11" x14ac:dyDescent="0.2">
      <c r="A2765" s="38" t="s">
        <v>7</v>
      </c>
      <c r="B2765" s="38" t="s">
        <v>11541</v>
      </c>
      <c r="C2765" s="43" t="s">
        <v>11542</v>
      </c>
      <c r="D2765" s="38" t="s">
        <v>12213</v>
      </c>
      <c r="E2765" s="44">
        <v>11</v>
      </c>
      <c r="F2765" s="45">
        <v>40150</v>
      </c>
      <c r="G2765" s="44">
        <v>7</v>
      </c>
      <c r="H2765" s="45">
        <v>25858</v>
      </c>
      <c r="I2765" s="45">
        <v>3650</v>
      </c>
      <c r="J2765" s="45">
        <v>3694</v>
      </c>
      <c r="K2765" s="46">
        <v>1.2054794520547946E-2</v>
      </c>
    </row>
    <row r="2766" spans="1:11" x14ac:dyDescent="0.2">
      <c r="A2766" s="38" t="s">
        <v>7</v>
      </c>
      <c r="B2766" s="38" t="s">
        <v>11547</v>
      </c>
      <c r="C2766" s="43" t="s">
        <v>11548</v>
      </c>
      <c r="D2766" s="38" t="s">
        <v>12213</v>
      </c>
      <c r="E2766" s="44">
        <v>11</v>
      </c>
      <c r="F2766" s="45">
        <v>2931.25</v>
      </c>
      <c r="G2766" s="44">
        <v>9</v>
      </c>
      <c r="H2766" s="45">
        <v>9539.25</v>
      </c>
      <c r="I2766" s="45">
        <v>266.47727272727275</v>
      </c>
      <c r="J2766" s="45">
        <v>1059.9166666666667</v>
      </c>
      <c r="K2766" s="46">
        <v>2.9775124378109452</v>
      </c>
    </row>
    <row r="2767" spans="1:11" x14ac:dyDescent="0.2">
      <c r="A2767" s="38" t="s">
        <v>7</v>
      </c>
      <c r="B2767" s="38" t="s">
        <v>11554</v>
      </c>
      <c r="C2767" s="43" t="s">
        <v>11555</v>
      </c>
      <c r="D2767" s="38" t="s">
        <v>12213</v>
      </c>
      <c r="E2767" s="44">
        <v>420</v>
      </c>
      <c r="F2767" s="45">
        <v>42860.800000000003</v>
      </c>
      <c r="G2767" s="44">
        <v>287</v>
      </c>
      <c r="H2767" s="45">
        <v>162616.9</v>
      </c>
      <c r="I2767" s="45">
        <v>102.04952380952382</v>
      </c>
      <c r="J2767" s="45">
        <v>566.60940766550516</v>
      </c>
      <c r="K2767" s="46">
        <v>4.552298398991903</v>
      </c>
    </row>
    <row r="2768" spans="1:11" x14ac:dyDescent="0.2">
      <c r="A2768" s="38" t="s">
        <v>7</v>
      </c>
      <c r="B2768" s="38" t="s">
        <v>11557</v>
      </c>
      <c r="C2768" s="43" t="s">
        <v>11558</v>
      </c>
      <c r="D2768" s="38" t="s">
        <v>12213</v>
      </c>
      <c r="G2768" s="44">
        <v>5</v>
      </c>
      <c r="H2768" s="45">
        <v>267.72000000000003</v>
      </c>
      <c r="J2768" s="45">
        <v>53.544000000000004</v>
      </c>
    </row>
    <row r="2769" spans="1:11" x14ac:dyDescent="0.2">
      <c r="A2769" s="38" t="s">
        <v>7</v>
      </c>
      <c r="B2769" s="38" t="s">
        <v>11566</v>
      </c>
      <c r="C2769" s="43" t="s">
        <v>11567</v>
      </c>
      <c r="D2769" s="38" t="s">
        <v>12213</v>
      </c>
      <c r="G2769" s="44">
        <v>2</v>
      </c>
      <c r="H2769" s="45">
        <v>20466</v>
      </c>
      <c r="J2769" s="45">
        <v>10233</v>
      </c>
    </row>
    <row r="2770" spans="1:11" x14ac:dyDescent="0.2">
      <c r="A2770" s="38" t="s">
        <v>7</v>
      </c>
      <c r="B2770" s="38" t="s">
        <v>11575</v>
      </c>
      <c r="C2770" s="43" t="s">
        <v>11576</v>
      </c>
      <c r="D2770" s="38" t="s">
        <v>12214</v>
      </c>
      <c r="E2770" s="44">
        <v>6</v>
      </c>
      <c r="F2770" s="45">
        <v>164082</v>
      </c>
      <c r="G2770" s="44">
        <v>1</v>
      </c>
      <c r="H2770" s="45">
        <v>27910</v>
      </c>
      <c r="I2770" s="45">
        <v>27347</v>
      </c>
      <c r="J2770" s="45">
        <v>27910</v>
      </c>
      <c r="K2770" s="46">
        <v>2.0587267341938786E-2</v>
      </c>
    </row>
    <row r="2771" spans="1:11" x14ac:dyDescent="0.2">
      <c r="A2771" s="38" t="s">
        <v>7</v>
      </c>
      <c r="B2771" s="38" t="s">
        <v>11584</v>
      </c>
      <c r="C2771" s="43" t="s">
        <v>11585</v>
      </c>
      <c r="D2771" s="38" t="s">
        <v>12214</v>
      </c>
      <c r="G2771" s="44">
        <v>1</v>
      </c>
      <c r="H2771" s="45">
        <v>12882</v>
      </c>
      <c r="J2771" s="45">
        <v>12882</v>
      </c>
    </row>
    <row r="2772" spans="1:11" x14ac:dyDescent="0.2">
      <c r="A2772" s="38" t="s">
        <v>7</v>
      </c>
      <c r="B2772" s="38" t="s">
        <v>11587</v>
      </c>
      <c r="C2772" s="43" t="s">
        <v>11588</v>
      </c>
      <c r="D2772" s="38" t="s">
        <v>12214</v>
      </c>
      <c r="G2772" s="44">
        <v>1</v>
      </c>
      <c r="H2772" s="45">
        <v>57083</v>
      </c>
      <c r="J2772" s="45">
        <v>57083</v>
      </c>
    </row>
    <row r="2773" spans="1:11" x14ac:dyDescent="0.2">
      <c r="A2773" s="38" t="s">
        <v>7</v>
      </c>
      <c r="B2773" s="38" t="s">
        <v>11589</v>
      </c>
      <c r="C2773" s="43" t="s">
        <v>11590</v>
      </c>
      <c r="D2773" s="38" t="s">
        <v>12213</v>
      </c>
      <c r="G2773" s="44">
        <v>4</v>
      </c>
      <c r="H2773" s="45">
        <v>17044</v>
      </c>
      <c r="J2773" s="45">
        <v>4261</v>
      </c>
    </row>
    <row r="2774" spans="1:11" x14ac:dyDescent="0.2">
      <c r="A2774" s="38" t="s">
        <v>7</v>
      </c>
      <c r="B2774" s="38" t="s">
        <v>11592</v>
      </c>
      <c r="C2774" s="43" t="s">
        <v>11593</v>
      </c>
      <c r="D2774" s="38" t="s">
        <v>12214</v>
      </c>
      <c r="G2774" s="44">
        <v>1</v>
      </c>
      <c r="H2774" s="45">
        <v>83446</v>
      </c>
      <c r="J2774" s="45">
        <v>83446</v>
      </c>
    </row>
    <row r="2775" spans="1:11" x14ac:dyDescent="0.2">
      <c r="A2775" s="38" t="s">
        <v>7</v>
      </c>
      <c r="B2775" s="38" t="s">
        <v>11595</v>
      </c>
      <c r="C2775" s="43" t="s">
        <v>11596</v>
      </c>
      <c r="D2775" s="38" t="s">
        <v>12214</v>
      </c>
      <c r="E2775" s="44">
        <v>5</v>
      </c>
      <c r="F2775" s="45">
        <v>61547.13</v>
      </c>
      <c r="G2775" s="44">
        <v>0</v>
      </c>
      <c r="H2775" s="45">
        <v>0</v>
      </c>
      <c r="I2775" s="45">
        <v>12309.425999999999</v>
      </c>
    </row>
    <row r="2776" spans="1:11" x14ac:dyDescent="0.2">
      <c r="A2776" s="38" t="s">
        <v>7</v>
      </c>
      <c r="B2776" s="38" t="s">
        <v>11598</v>
      </c>
      <c r="C2776" s="43" t="s">
        <v>11599</v>
      </c>
      <c r="D2776" s="38" t="s">
        <v>12213</v>
      </c>
      <c r="G2776" s="44">
        <v>1</v>
      </c>
      <c r="H2776" s="45">
        <v>5546.39</v>
      </c>
      <c r="J2776" s="45">
        <v>5546.39</v>
      </c>
    </row>
    <row r="2777" spans="1:11" x14ac:dyDescent="0.2">
      <c r="A2777" s="38" t="s">
        <v>7</v>
      </c>
      <c r="B2777" s="38" t="s">
        <v>11612</v>
      </c>
      <c r="C2777" s="43" t="s">
        <v>11613</v>
      </c>
      <c r="D2777" s="38" t="s">
        <v>12213</v>
      </c>
      <c r="G2777" s="44">
        <v>1</v>
      </c>
      <c r="H2777" s="45">
        <v>16574</v>
      </c>
      <c r="J2777" s="45">
        <v>16574</v>
      </c>
    </row>
    <row r="2778" spans="1:11" x14ac:dyDescent="0.2">
      <c r="A2778" s="38" t="s">
        <v>7</v>
      </c>
      <c r="B2778" s="38" t="s">
        <v>11614</v>
      </c>
      <c r="C2778" s="43" t="s">
        <v>11615</v>
      </c>
      <c r="D2778" s="38" t="s">
        <v>12214</v>
      </c>
      <c r="G2778" s="44">
        <v>1</v>
      </c>
      <c r="H2778" s="45">
        <v>73658</v>
      </c>
      <c r="J2778" s="45">
        <v>73658</v>
      </c>
    </row>
    <row r="2779" spans="1:11" x14ac:dyDescent="0.2">
      <c r="A2779" s="38" t="s">
        <v>7</v>
      </c>
      <c r="B2779" s="38" t="s">
        <v>11617</v>
      </c>
      <c r="C2779" s="43" t="s">
        <v>11618</v>
      </c>
      <c r="D2779" s="38" t="s">
        <v>12214</v>
      </c>
      <c r="G2779" s="44">
        <v>1</v>
      </c>
      <c r="H2779" s="45">
        <v>83566</v>
      </c>
      <c r="J2779" s="45">
        <v>83566</v>
      </c>
    </row>
    <row r="2780" spans="1:11" x14ac:dyDescent="0.2">
      <c r="A2780" s="38" t="s">
        <v>7</v>
      </c>
      <c r="B2780" s="38" t="s">
        <v>11620</v>
      </c>
      <c r="C2780" s="43" t="s">
        <v>11621</v>
      </c>
      <c r="D2780" s="38" t="s">
        <v>12214</v>
      </c>
      <c r="G2780" s="44">
        <v>1</v>
      </c>
      <c r="H2780" s="45">
        <v>10567</v>
      </c>
      <c r="J2780" s="45">
        <v>10567</v>
      </c>
    </row>
    <row r="2781" spans="1:11" x14ac:dyDescent="0.2">
      <c r="A2781" s="38" t="s">
        <v>7</v>
      </c>
      <c r="B2781" s="38" t="s">
        <v>11623</v>
      </c>
      <c r="C2781" s="43" t="s">
        <v>11624</v>
      </c>
      <c r="D2781" s="38" t="s">
        <v>12213</v>
      </c>
      <c r="G2781" s="44">
        <v>2</v>
      </c>
      <c r="H2781" s="45">
        <v>35428</v>
      </c>
      <c r="J2781" s="45">
        <v>17714</v>
      </c>
    </row>
    <row r="2782" spans="1:11" x14ac:dyDescent="0.2">
      <c r="A2782" s="38" t="s">
        <v>7</v>
      </c>
      <c r="B2782" s="38" t="s">
        <v>11629</v>
      </c>
      <c r="C2782" s="43" t="s">
        <v>11630</v>
      </c>
      <c r="D2782" s="38" t="s">
        <v>12214</v>
      </c>
      <c r="G2782" s="44">
        <v>2</v>
      </c>
      <c r="H2782" s="45">
        <v>117942</v>
      </c>
      <c r="J2782" s="45">
        <v>58971</v>
      </c>
    </row>
    <row r="2783" spans="1:11" x14ac:dyDescent="0.2">
      <c r="A2783" s="38" t="s">
        <v>7</v>
      </c>
      <c r="B2783" s="38" t="s">
        <v>11641</v>
      </c>
      <c r="C2783" s="43" t="s">
        <v>11642</v>
      </c>
      <c r="D2783" s="38" t="s">
        <v>12214</v>
      </c>
      <c r="E2783" s="44">
        <v>1</v>
      </c>
      <c r="F2783" s="45">
        <v>124955</v>
      </c>
      <c r="G2783" s="44">
        <v>0</v>
      </c>
      <c r="H2783" s="45">
        <v>0</v>
      </c>
      <c r="I2783" s="45">
        <v>124955</v>
      </c>
    </row>
    <row r="2784" spans="1:11" x14ac:dyDescent="0.2">
      <c r="A2784" s="38" t="s">
        <v>7</v>
      </c>
      <c r="B2784" s="38" t="s">
        <v>11647</v>
      </c>
      <c r="C2784" s="43" t="s">
        <v>11648</v>
      </c>
      <c r="D2784" s="38" t="s">
        <v>12214</v>
      </c>
      <c r="G2784" s="44">
        <v>3</v>
      </c>
      <c r="H2784" s="45">
        <v>54990</v>
      </c>
      <c r="J2784" s="45">
        <v>18330</v>
      </c>
    </row>
    <row r="2785" spans="1:11" x14ac:dyDescent="0.2">
      <c r="A2785" s="38" t="s">
        <v>7</v>
      </c>
      <c r="B2785" s="38" t="s">
        <v>11652</v>
      </c>
      <c r="C2785" s="43" t="s">
        <v>11653</v>
      </c>
      <c r="D2785" s="38" t="s">
        <v>12213</v>
      </c>
      <c r="E2785" s="44">
        <v>6</v>
      </c>
      <c r="F2785" s="45">
        <v>19865.63</v>
      </c>
      <c r="G2785" s="44">
        <v>3</v>
      </c>
      <c r="H2785" s="45">
        <v>10352.379999999999</v>
      </c>
      <c r="I2785" s="45">
        <v>3310.9383333333335</v>
      </c>
      <c r="J2785" s="45">
        <v>3450.7933333333331</v>
      </c>
      <c r="K2785" s="46">
        <v>4.2240291397755689E-2</v>
      </c>
    </row>
    <row r="2786" spans="1:11" x14ac:dyDescent="0.2">
      <c r="A2786" s="38" t="s">
        <v>7</v>
      </c>
      <c r="B2786" s="38" t="s">
        <v>11658</v>
      </c>
      <c r="C2786" s="43" t="s">
        <v>11659</v>
      </c>
      <c r="D2786" s="38" t="s">
        <v>12213</v>
      </c>
      <c r="G2786" s="44">
        <v>1</v>
      </c>
      <c r="H2786" s="45">
        <v>4374</v>
      </c>
      <c r="J2786" s="45">
        <v>4374</v>
      </c>
    </row>
    <row r="2787" spans="1:11" x14ac:dyDescent="0.2">
      <c r="A2787" s="38" t="s">
        <v>7</v>
      </c>
      <c r="B2787" s="38" t="s">
        <v>11667</v>
      </c>
      <c r="C2787" s="43" t="s">
        <v>11668</v>
      </c>
      <c r="D2787" s="38" t="s">
        <v>12213</v>
      </c>
      <c r="G2787" s="44">
        <v>1</v>
      </c>
      <c r="H2787" s="45">
        <v>15818.18</v>
      </c>
      <c r="J2787" s="45">
        <v>15818.18</v>
      </c>
    </row>
    <row r="2788" spans="1:11" x14ac:dyDescent="0.2">
      <c r="A2788" s="38" t="s">
        <v>7</v>
      </c>
      <c r="B2788" s="38" t="s">
        <v>11673</v>
      </c>
      <c r="C2788" s="43" t="s">
        <v>11674</v>
      </c>
      <c r="D2788" s="38" t="s">
        <v>12213</v>
      </c>
      <c r="E2788" s="44">
        <v>1</v>
      </c>
      <c r="F2788" s="45">
        <v>24246.75</v>
      </c>
      <c r="G2788" s="44">
        <v>0</v>
      </c>
      <c r="H2788" s="45">
        <v>0</v>
      </c>
      <c r="I2788" s="45">
        <v>24246.75</v>
      </c>
    </row>
    <row r="2789" spans="1:11" x14ac:dyDescent="0.2">
      <c r="A2789" s="38" t="s">
        <v>7</v>
      </c>
      <c r="B2789" s="38" t="s">
        <v>11675</v>
      </c>
      <c r="C2789" s="43" t="s">
        <v>11676</v>
      </c>
      <c r="D2789" s="38" t="s">
        <v>12214</v>
      </c>
      <c r="E2789" s="44">
        <v>1</v>
      </c>
      <c r="F2789" s="45">
        <v>19548.7</v>
      </c>
      <c r="G2789" s="44">
        <v>0</v>
      </c>
      <c r="H2789" s="45">
        <v>0</v>
      </c>
      <c r="I2789" s="45">
        <v>19548.7</v>
      </c>
    </row>
    <row r="2790" spans="1:11" x14ac:dyDescent="0.2">
      <c r="A2790" s="38" t="s">
        <v>7</v>
      </c>
      <c r="B2790" s="38" t="s">
        <v>11678</v>
      </c>
      <c r="C2790" s="43" t="s">
        <v>11679</v>
      </c>
      <c r="D2790" s="38" t="s">
        <v>12213</v>
      </c>
      <c r="G2790" s="44">
        <v>8</v>
      </c>
      <c r="H2790" s="45">
        <v>10389.6</v>
      </c>
      <c r="J2790" s="45">
        <v>1298.7</v>
      </c>
    </row>
    <row r="2791" spans="1:11" x14ac:dyDescent="0.2">
      <c r="A2791" s="38" t="s">
        <v>7</v>
      </c>
      <c r="B2791" s="38" t="s">
        <v>11681</v>
      </c>
      <c r="C2791" s="43" t="s">
        <v>11682</v>
      </c>
      <c r="D2791" s="38" t="s">
        <v>12213</v>
      </c>
      <c r="G2791" s="44">
        <v>1</v>
      </c>
      <c r="H2791" s="45">
        <v>10584.42</v>
      </c>
      <c r="J2791" s="45">
        <v>10584.42</v>
      </c>
    </row>
    <row r="2792" spans="1:11" x14ac:dyDescent="0.2">
      <c r="A2792" s="38" t="s">
        <v>7</v>
      </c>
      <c r="B2792" s="38" t="s">
        <v>11692</v>
      </c>
      <c r="C2792" s="43" t="s">
        <v>11693</v>
      </c>
      <c r="D2792" s="38" t="s">
        <v>13170</v>
      </c>
      <c r="G2792" s="44">
        <v>2</v>
      </c>
      <c r="H2792" s="45">
        <v>22483.5</v>
      </c>
      <c r="J2792" s="45">
        <v>11241.75</v>
      </c>
    </row>
    <row r="2793" spans="1:11" x14ac:dyDescent="0.2">
      <c r="A2793" s="38" t="s">
        <v>7</v>
      </c>
      <c r="B2793" s="38" t="s">
        <v>11699</v>
      </c>
      <c r="C2793" s="43" t="s">
        <v>11700</v>
      </c>
      <c r="D2793" s="38" t="s">
        <v>13171</v>
      </c>
      <c r="E2793" s="44">
        <v>2</v>
      </c>
      <c r="F2793" s="45">
        <v>48364</v>
      </c>
      <c r="G2793" s="44">
        <v>1</v>
      </c>
      <c r="H2793" s="45">
        <v>24238.25</v>
      </c>
      <c r="I2793" s="45">
        <v>24182</v>
      </c>
      <c r="J2793" s="45">
        <v>24238.25</v>
      </c>
      <c r="K2793" s="46">
        <v>2.3261103299975186E-3</v>
      </c>
    </row>
    <row r="2794" spans="1:11" x14ac:dyDescent="0.2">
      <c r="A2794" s="38" t="s">
        <v>7</v>
      </c>
      <c r="B2794" s="38" t="s">
        <v>11705</v>
      </c>
      <c r="C2794" s="43" t="s">
        <v>11706</v>
      </c>
      <c r="D2794" s="38" t="s">
        <v>12214</v>
      </c>
      <c r="G2794" s="44">
        <v>2</v>
      </c>
      <c r="H2794" s="45">
        <v>16353.68</v>
      </c>
      <c r="J2794" s="45">
        <v>8176.84</v>
      </c>
    </row>
    <row r="2795" spans="1:11" x14ac:dyDescent="0.2">
      <c r="A2795" s="38" t="s">
        <v>7</v>
      </c>
      <c r="B2795" s="38" t="s">
        <v>11710</v>
      </c>
      <c r="C2795" s="43" t="s">
        <v>11711</v>
      </c>
      <c r="D2795" s="38" t="s">
        <v>12213</v>
      </c>
      <c r="E2795" s="44">
        <v>13</v>
      </c>
      <c r="F2795" s="45">
        <v>28484.14</v>
      </c>
      <c r="G2795" s="44">
        <v>37</v>
      </c>
      <c r="H2795" s="45">
        <v>110657.7</v>
      </c>
      <c r="I2795" s="45">
        <v>2191.0876923076921</v>
      </c>
      <c r="J2795" s="45">
        <v>2990.7486486486487</v>
      </c>
      <c r="K2795" s="46">
        <v>0.36496072665112711</v>
      </c>
    </row>
    <row r="2796" spans="1:11" x14ac:dyDescent="0.2">
      <c r="A2796" s="38" t="s">
        <v>7</v>
      </c>
      <c r="B2796" s="38" t="s">
        <v>11713</v>
      </c>
      <c r="C2796" s="43" t="s">
        <v>11714</v>
      </c>
      <c r="D2796" s="38" t="s">
        <v>13172</v>
      </c>
      <c r="G2796" s="44">
        <v>1</v>
      </c>
      <c r="H2796" s="45">
        <v>25651</v>
      </c>
      <c r="J2796" s="45">
        <v>25651</v>
      </c>
    </row>
    <row r="2797" spans="1:11" x14ac:dyDescent="0.2">
      <c r="A2797" s="38" t="s">
        <v>7</v>
      </c>
      <c r="B2797" s="38" t="s">
        <v>11716</v>
      </c>
      <c r="C2797" s="43" t="s">
        <v>11717</v>
      </c>
      <c r="D2797" s="38" t="s">
        <v>12213</v>
      </c>
      <c r="E2797" s="44">
        <v>2</v>
      </c>
      <c r="F2797" s="45">
        <v>69705.48</v>
      </c>
      <c r="G2797" s="44">
        <v>2</v>
      </c>
      <c r="H2797" s="45">
        <v>69705.48</v>
      </c>
      <c r="I2797" s="45">
        <v>34852.74</v>
      </c>
      <c r="J2797" s="45">
        <v>34852.74</v>
      </c>
      <c r="K2797" s="46">
        <v>0</v>
      </c>
    </row>
    <row r="2798" spans="1:11" x14ac:dyDescent="0.2">
      <c r="A2798" s="38" t="s">
        <v>7</v>
      </c>
      <c r="B2798" s="38" t="s">
        <v>11720</v>
      </c>
      <c r="C2798" s="43" t="s">
        <v>11721</v>
      </c>
      <c r="D2798" s="38" t="s">
        <v>13173</v>
      </c>
      <c r="G2798" s="44">
        <v>1</v>
      </c>
      <c r="H2798" s="45">
        <v>9274</v>
      </c>
      <c r="J2798" s="45">
        <v>9274</v>
      </c>
    </row>
    <row r="2799" spans="1:11" x14ac:dyDescent="0.2">
      <c r="A2799" s="38" t="s">
        <v>7</v>
      </c>
      <c r="B2799" s="38" t="s">
        <v>11723</v>
      </c>
      <c r="C2799" s="43" t="s">
        <v>11724</v>
      </c>
      <c r="D2799" s="38" t="s">
        <v>13174</v>
      </c>
      <c r="G2799" s="44">
        <v>1</v>
      </c>
      <c r="H2799" s="45">
        <v>40475</v>
      </c>
      <c r="J2799" s="45">
        <v>40475</v>
      </c>
    </row>
    <row r="2800" spans="1:11" x14ac:dyDescent="0.2">
      <c r="A2800" s="38" t="s">
        <v>7</v>
      </c>
      <c r="B2800" s="38" t="s">
        <v>11726</v>
      </c>
      <c r="C2800" s="43" t="s">
        <v>11727</v>
      </c>
      <c r="D2800" s="38" t="s">
        <v>13171</v>
      </c>
      <c r="E2800" s="44">
        <v>2</v>
      </c>
      <c r="F2800" s="45">
        <v>52502</v>
      </c>
      <c r="G2800" s="44">
        <v>1</v>
      </c>
      <c r="H2800" s="45">
        <v>22546</v>
      </c>
      <c r="I2800" s="45">
        <v>26251</v>
      </c>
      <c r="J2800" s="45">
        <v>22546</v>
      </c>
      <c r="K2800" s="46">
        <v>-0.14113748047693422</v>
      </c>
    </row>
    <row r="2801" spans="1:11" x14ac:dyDescent="0.2">
      <c r="A2801" s="38" t="s">
        <v>7</v>
      </c>
      <c r="B2801" s="38" t="s">
        <v>11729</v>
      </c>
      <c r="C2801" s="43" t="s">
        <v>11730</v>
      </c>
      <c r="D2801" s="38" t="s">
        <v>12213</v>
      </c>
      <c r="G2801" s="44">
        <v>2</v>
      </c>
      <c r="H2801" s="45">
        <v>3294</v>
      </c>
      <c r="J2801" s="45">
        <v>1647</v>
      </c>
    </row>
    <row r="2802" spans="1:11" x14ac:dyDescent="0.2">
      <c r="A2802" s="38" t="s">
        <v>7</v>
      </c>
      <c r="B2802" s="38" t="s">
        <v>11733</v>
      </c>
      <c r="C2802" s="43" t="s">
        <v>11734</v>
      </c>
      <c r="D2802" s="38" t="s">
        <v>12216</v>
      </c>
      <c r="G2802" s="44">
        <v>3</v>
      </c>
      <c r="H2802" s="45">
        <v>30840</v>
      </c>
      <c r="J2802" s="45">
        <v>10280</v>
      </c>
    </row>
    <row r="2803" spans="1:11" x14ac:dyDescent="0.2">
      <c r="A2803" s="38" t="s">
        <v>7</v>
      </c>
      <c r="B2803" s="38" t="s">
        <v>11736</v>
      </c>
      <c r="C2803" s="43" t="s">
        <v>11737</v>
      </c>
      <c r="D2803" s="38" t="s">
        <v>12216</v>
      </c>
      <c r="G2803" s="44">
        <v>3</v>
      </c>
      <c r="H2803" s="45">
        <v>32295</v>
      </c>
      <c r="J2803" s="45">
        <v>10765</v>
      </c>
    </row>
    <row r="2804" spans="1:11" x14ac:dyDescent="0.2">
      <c r="A2804" s="38" t="s">
        <v>7</v>
      </c>
      <c r="B2804" s="38" t="s">
        <v>11739</v>
      </c>
      <c r="C2804" s="43" t="s">
        <v>11740</v>
      </c>
      <c r="D2804" s="38" t="s">
        <v>13175</v>
      </c>
      <c r="E2804" s="44">
        <v>10</v>
      </c>
      <c r="F2804" s="45">
        <v>39762</v>
      </c>
      <c r="G2804" s="44">
        <v>6</v>
      </c>
      <c r="H2804" s="45">
        <v>26198</v>
      </c>
      <c r="I2804" s="45">
        <v>3976.2</v>
      </c>
      <c r="J2804" s="45">
        <v>4366.333333333333</v>
      </c>
      <c r="K2804" s="46">
        <v>9.8117130258370613E-2</v>
      </c>
    </row>
    <row r="2805" spans="1:11" x14ac:dyDescent="0.2">
      <c r="A2805" s="38" t="s">
        <v>7</v>
      </c>
      <c r="B2805" s="38" t="s">
        <v>11745</v>
      </c>
      <c r="C2805" s="43" t="s">
        <v>11746</v>
      </c>
      <c r="D2805" s="38" t="s">
        <v>13176</v>
      </c>
      <c r="E2805" s="44">
        <v>7</v>
      </c>
      <c r="F2805" s="45">
        <v>6740</v>
      </c>
      <c r="G2805" s="44">
        <v>16</v>
      </c>
      <c r="H2805" s="45">
        <v>16497</v>
      </c>
      <c r="I2805" s="45">
        <v>962.85714285714289</v>
      </c>
      <c r="J2805" s="45">
        <v>1031.0625</v>
      </c>
      <c r="K2805" s="46">
        <v>7.0836424332344175E-2</v>
      </c>
    </row>
    <row r="2806" spans="1:11" x14ac:dyDescent="0.2">
      <c r="A2806" s="38" t="s">
        <v>7</v>
      </c>
      <c r="B2806" s="38" t="s">
        <v>11748</v>
      </c>
      <c r="C2806" s="43" t="s">
        <v>11749</v>
      </c>
      <c r="D2806" s="38" t="s">
        <v>13177</v>
      </c>
      <c r="E2806" s="44">
        <v>20</v>
      </c>
      <c r="F2806" s="45">
        <v>15026</v>
      </c>
      <c r="G2806" s="44">
        <v>5</v>
      </c>
      <c r="H2806" s="45">
        <v>3945</v>
      </c>
      <c r="I2806" s="45">
        <v>751.3</v>
      </c>
      <c r="J2806" s="45">
        <v>789</v>
      </c>
      <c r="K2806" s="46">
        <v>5.0179688539864299E-2</v>
      </c>
    </row>
    <row r="2807" spans="1:11" x14ac:dyDescent="0.2">
      <c r="A2807" s="38" t="s">
        <v>7</v>
      </c>
      <c r="B2807" s="38" t="s">
        <v>11757</v>
      </c>
      <c r="C2807" s="43" t="s">
        <v>11758</v>
      </c>
      <c r="D2807" s="38" t="s">
        <v>12241</v>
      </c>
      <c r="G2807" s="44">
        <v>1</v>
      </c>
      <c r="H2807" s="45">
        <v>227</v>
      </c>
      <c r="J2807" s="45">
        <v>227</v>
      </c>
    </row>
    <row r="2808" spans="1:11" x14ac:dyDescent="0.2">
      <c r="A2808" s="38" t="s">
        <v>7</v>
      </c>
      <c r="B2808" s="38" t="s">
        <v>11763</v>
      </c>
      <c r="C2808" s="43" t="s">
        <v>11764</v>
      </c>
      <c r="D2808" s="38" t="s">
        <v>13178</v>
      </c>
      <c r="E2808" s="44">
        <v>11</v>
      </c>
      <c r="F2808" s="45">
        <v>4189</v>
      </c>
      <c r="G2808" s="44">
        <v>14</v>
      </c>
      <c r="H2808" s="45">
        <v>5612</v>
      </c>
      <c r="I2808" s="45">
        <v>380.81818181818181</v>
      </c>
      <c r="J2808" s="45">
        <v>400.85714285714283</v>
      </c>
      <c r="K2808" s="46">
        <v>5.2620809603382959E-2</v>
      </c>
    </row>
    <row r="2809" spans="1:11" x14ac:dyDescent="0.2">
      <c r="A2809" s="38" t="s">
        <v>7</v>
      </c>
      <c r="B2809" s="38" t="s">
        <v>11766</v>
      </c>
      <c r="C2809" s="43" t="s">
        <v>11767</v>
      </c>
      <c r="D2809" s="38" t="s">
        <v>13178</v>
      </c>
      <c r="E2809" s="44">
        <v>33</v>
      </c>
      <c r="F2809" s="45">
        <v>9039</v>
      </c>
      <c r="G2809" s="44">
        <v>42</v>
      </c>
      <c r="H2809" s="45">
        <v>13511</v>
      </c>
      <c r="I2809" s="45">
        <v>273.90909090909093</v>
      </c>
      <c r="J2809" s="45">
        <v>321.6904761904762</v>
      </c>
      <c r="K2809" s="46">
        <v>0.17444249521912975</v>
      </c>
    </row>
    <row r="2810" spans="1:11" x14ac:dyDescent="0.2">
      <c r="A2810" s="38" t="s">
        <v>7</v>
      </c>
      <c r="B2810" s="38" t="s">
        <v>11769</v>
      </c>
      <c r="C2810" s="43" t="s">
        <v>11770</v>
      </c>
      <c r="D2810" s="38" t="s">
        <v>12241</v>
      </c>
      <c r="G2810" s="44">
        <v>12</v>
      </c>
      <c r="H2810" s="45">
        <v>10451</v>
      </c>
      <c r="J2810" s="45">
        <v>870.91666666666663</v>
      </c>
    </row>
    <row r="2811" spans="1:11" x14ac:dyDescent="0.2">
      <c r="A2811" s="38" t="s">
        <v>7</v>
      </c>
      <c r="B2811" s="38" t="s">
        <v>11772</v>
      </c>
      <c r="C2811" s="43" t="s">
        <v>11773</v>
      </c>
      <c r="D2811" s="38" t="s">
        <v>12213</v>
      </c>
      <c r="G2811" s="44">
        <v>2</v>
      </c>
      <c r="H2811" s="45">
        <v>20070</v>
      </c>
      <c r="J2811" s="45">
        <v>10035</v>
      </c>
    </row>
    <row r="2812" spans="1:11" x14ac:dyDescent="0.2">
      <c r="A2812" s="38" t="s">
        <v>7</v>
      </c>
      <c r="B2812" s="38" t="s">
        <v>11775</v>
      </c>
      <c r="C2812" s="43" t="s">
        <v>11776</v>
      </c>
      <c r="D2812" s="38" t="s">
        <v>12216</v>
      </c>
      <c r="E2812" s="44">
        <v>1</v>
      </c>
      <c r="F2812" s="45">
        <v>13504</v>
      </c>
      <c r="G2812" s="44">
        <v>11</v>
      </c>
      <c r="H2812" s="45">
        <v>131278</v>
      </c>
      <c r="I2812" s="45">
        <v>13504</v>
      </c>
      <c r="J2812" s="45">
        <v>11934.363636363636</v>
      </c>
      <c r="K2812" s="46">
        <v>-0.11623492029297719</v>
      </c>
    </row>
    <row r="2813" spans="1:11" x14ac:dyDescent="0.2">
      <c r="A2813" s="38" t="s">
        <v>7</v>
      </c>
      <c r="B2813" s="38" t="s">
        <v>11778</v>
      </c>
      <c r="C2813" s="43" t="s">
        <v>11779</v>
      </c>
      <c r="D2813" s="38" t="s">
        <v>13170</v>
      </c>
      <c r="G2813" s="44">
        <v>4</v>
      </c>
      <c r="H2813" s="45">
        <v>3676</v>
      </c>
      <c r="J2813" s="45">
        <v>919</v>
      </c>
    </row>
    <row r="2814" spans="1:11" x14ac:dyDescent="0.2">
      <c r="A2814" s="38" t="s">
        <v>7</v>
      </c>
      <c r="B2814" s="38" t="s">
        <v>11781</v>
      </c>
      <c r="C2814" s="43" t="s">
        <v>11782</v>
      </c>
      <c r="D2814" s="38" t="s">
        <v>12216</v>
      </c>
      <c r="G2814" s="44">
        <v>9</v>
      </c>
      <c r="H2814" s="45">
        <v>479277.09</v>
      </c>
      <c r="J2814" s="45">
        <v>53253.01</v>
      </c>
    </row>
    <row r="2815" spans="1:11" x14ac:dyDescent="0.2">
      <c r="A2815" s="38" t="s">
        <v>7</v>
      </c>
      <c r="B2815" s="38" t="s">
        <v>11784</v>
      </c>
      <c r="C2815" s="43" t="s">
        <v>11785</v>
      </c>
      <c r="E2815" s="44">
        <v>378</v>
      </c>
      <c r="F2815" s="45">
        <v>0</v>
      </c>
      <c r="G2815" s="44">
        <v>342</v>
      </c>
      <c r="H2815" s="45">
        <v>0</v>
      </c>
      <c r="I2815" s="45">
        <v>0</v>
      </c>
      <c r="J2815" s="45">
        <v>0</v>
      </c>
    </row>
    <row r="2816" spans="1:11" x14ac:dyDescent="0.2">
      <c r="A2816" s="38" t="s">
        <v>7</v>
      </c>
      <c r="B2816" s="38" t="s">
        <v>11786</v>
      </c>
      <c r="C2816" s="43" t="s">
        <v>11787</v>
      </c>
      <c r="D2816" s="38" t="s">
        <v>12238</v>
      </c>
      <c r="G2816" s="44">
        <v>1</v>
      </c>
      <c r="H2816" s="45">
        <v>5290</v>
      </c>
      <c r="J2816" s="45">
        <v>5290</v>
      </c>
    </row>
    <row r="2817" spans="1:11" x14ac:dyDescent="0.2">
      <c r="A2817" s="38" t="s">
        <v>7</v>
      </c>
      <c r="B2817" s="38" t="s">
        <v>11789</v>
      </c>
      <c r="C2817" s="43" t="s">
        <v>11790</v>
      </c>
      <c r="D2817" s="38" t="s">
        <v>12238</v>
      </c>
      <c r="E2817" s="44">
        <v>4</v>
      </c>
      <c r="F2817" s="45">
        <v>227548</v>
      </c>
      <c r="G2817" s="44">
        <v>4</v>
      </c>
      <c r="H2817" s="45">
        <v>236300</v>
      </c>
      <c r="I2817" s="45">
        <v>56887</v>
      </c>
      <c r="J2817" s="45">
        <v>59075</v>
      </c>
      <c r="K2817" s="46">
        <v>3.8462214565718002E-2</v>
      </c>
    </row>
    <row r="2818" spans="1:11" x14ac:dyDescent="0.2">
      <c r="A2818" s="38" t="s">
        <v>7</v>
      </c>
      <c r="B2818" s="38" t="s">
        <v>11792</v>
      </c>
      <c r="C2818" s="43" t="s">
        <v>11793</v>
      </c>
      <c r="D2818" s="38" t="s">
        <v>12241</v>
      </c>
      <c r="G2818" s="44">
        <v>6</v>
      </c>
      <c r="H2818" s="45">
        <v>21384</v>
      </c>
      <c r="J2818" s="45">
        <v>3564</v>
      </c>
    </row>
    <row r="2819" spans="1:11" x14ac:dyDescent="0.2">
      <c r="A2819" s="38" t="s">
        <v>7</v>
      </c>
      <c r="B2819" s="38" t="s">
        <v>11797</v>
      </c>
      <c r="C2819" s="43" t="s">
        <v>11798</v>
      </c>
      <c r="D2819" s="38" t="s">
        <v>13179</v>
      </c>
      <c r="G2819" s="44">
        <v>2</v>
      </c>
      <c r="H2819" s="45">
        <v>3355</v>
      </c>
      <c r="J2819" s="45">
        <v>1677.5</v>
      </c>
    </row>
    <row r="2820" spans="1:11" x14ac:dyDescent="0.2">
      <c r="A2820" s="38" t="s">
        <v>7</v>
      </c>
      <c r="B2820" s="38" t="s">
        <v>11800</v>
      </c>
      <c r="C2820" s="43" t="s">
        <v>11801</v>
      </c>
      <c r="D2820" s="38" t="s">
        <v>12241</v>
      </c>
      <c r="E2820" s="44">
        <v>218</v>
      </c>
      <c r="F2820" s="45">
        <v>98296</v>
      </c>
      <c r="G2820" s="44">
        <v>180</v>
      </c>
      <c r="H2820" s="45">
        <v>93061</v>
      </c>
      <c r="I2820" s="45">
        <v>450.89908256880733</v>
      </c>
      <c r="J2820" s="45">
        <v>517.00555555555559</v>
      </c>
      <c r="K2820" s="46">
        <v>0.14661035150068283</v>
      </c>
    </row>
    <row r="2821" spans="1:11" x14ac:dyDescent="0.2">
      <c r="A2821" s="38" t="s">
        <v>7</v>
      </c>
      <c r="B2821" s="38" t="s">
        <v>11803</v>
      </c>
      <c r="C2821" s="43" t="s">
        <v>11804</v>
      </c>
      <c r="D2821" s="38" t="s">
        <v>13162</v>
      </c>
      <c r="G2821" s="44">
        <v>2</v>
      </c>
      <c r="H2821" s="45">
        <v>1966</v>
      </c>
      <c r="J2821" s="45">
        <v>983</v>
      </c>
    </row>
    <row r="2822" spans="1:11" x14ac:dyDescent="0.2">
      <c r="A2822" s="38" t="s">
        <v>7</v>
      </c>
      <c r="B2822" s="38" t="s">
        <v>11806</v>
      </c>
      <c r="C2822" s="43" t="s">
        <v>11807</v>
      </c>
      <c r="D2822" s="38" t="s">
        <v>13158</v>
      </c>
      <c r="G2822" s="44">
        <v>2</v>
      </c>
      <c r="H2822" s="45">
        <v>1176</v>
      </c>
      <c r="J2822" s="45">
        <v>588</v>
      </c>
    </row>
    <row r="2823" spans="1:11" x14ac:dyDescent="0.2">
      <c r="A2823" s="38" t="s">
        <v>7</v>
      </c>
      <c r="B2823" s="38" t="s">
        <v>11809</v>
      </c>
      <c r="C2823" s="43" t="s">
        <v>11810</v>
      </c>
      <c r="D2823" s="38" t="s">
        <v>12213</v>
      </c>
      <c r="G2823" s="44">
        <v>1</v>
      </c>
      <c r="H2823" s="45">
        <v>6376</v>
      </c>
      <c r="J2823" s="45">
        <v>6376</v>
      </c>
    </row>
    <row r="2824" spans="1:11" x14ac:dyDescent="0.2">
      <c r="A2824" s="38" t="s">
        <v>7</v>
      </c>
      <c r="B2824" s="38" t="s">
        <v>11812</v>
      </c>
      <c r="C2824" s="43" t="s">
        <v>11813</v>
      </c>
      <c r="D2824" s="38" t="s">
        <v>13177</v>
      </c>
      <c r="E2824" s="44">
        <v>40</v>
      </c>
      <c r="F2824" s="45">
        <v>82048</v>
      </c>
      <c r="G2824" s="44">
        <v>36</v>
      </c>
      <c r="H2824" s="45">
        <v>79029</v>
      </c>
      <c r="I2824" s="45">
        <v>2051.1999999999998</v>
      </c>
      <c r="J2824" s="45">
        <v>2195.25</v>
      </c>
      <c r="K2824" s="46">
        <v>7.0227184087363587E-2</v>
      </c>
    </row>
    <row r="2825" spans="1:11" x14ac:dyDescent="0.2">
      <c r="A2825" s="38" t="s">
        <v>7</v>
      </c>
      <c r="B2825" s="38" t="s">
        <v>11815</v>
      </c>
      <c r="C2825" s="43" t="s">
        <v>11816</v>
      </c>
      <c r="D2825" s="38" t="s">
        <v>12240</v>
      </c>
      <c r="E2825" s="44">
        <v>12</v>
      </c>
      <c r="F2825" s="45">
        <v>1083</v>
      </c>
      <c r="G2825" s="44">
        <v>17</v>
      </c>
      <c r="H2825" s="45">
        <v>1607</v>
      </c>
      <c r="I2825" s="45">
        <v>90.25</v>
      </c>
      <c r="J2825" s="45">
        <v>94.529411764705884</v>
      </c>
      <c r="K2825" s="46">
        <v>4.7417304872087361E-2</v>
      </c>
    </row>
    <row r="2826" spans="1:11" x14ac:dyDescent="0.2">
      <c r="A2826" s="38" t="s">
        <v>7</v>
      </c>
      <c r="B2826" s="38" t="s">
        <v>11817</v>
      </c>
      <c r="C2826" s="43" t="s">
        <v>11818</v>
      </c>
      <c r="D2826" s="38" t="s">
        <v>13180</v>
      </c>
      <c r="G2826" s="44">
        <v>4</v>
      </c>
      <c r="H2826" s="45">
        <v>216363.6</v>
      </c>
      <c r="J2826" s="45">
        <v>54090.9</v>
      </c>
    </row>
    <row r="2827" spans="1:11" x14ac:dyDescent="0.2">
      <c r="A2827" s="38" t="s">
        <v>7</v>
      </c>
      <c r="B2827" s="38" t="s">
        <v>11823</v>
      </c>
      <c r="C2827" s="43" t="s">
        <v>11824</v>
      </c>
      <c r="D2827" s="38" t="s">
        <v>13174</v>
      </c>
      <c r="G2827" s="44">
        <v>1</v>
      </c>
      <c r="H2827" s="45">
        <v>1941</v>
      </c>
      <c r="J2827" s="45">
        <v>1941</v>
      </c>
    </row>
    <row r="2828" spans="1:11" x14ac:dyDescent="0.2">
      <c r="A2828" s="38" t="s">
        <v>7</v>
      </c>
      <c r="B2828" s="38" t="s">
        <v>11826</v>
      </c>
      <c r="C2828" s="43" t="s">
        <v>11827</v>
      </c>
      <c r="D2828" s="38" t="s">
        <v>12237</v>
      </c>
      <c r="E2828" s="44">
        <v>15</v>
      </c>
      <c r="F2828" s="45">
        <v>823</v>
      </c>
      <c r="G2828" s="44">
        <v>11</v>
      </c>
      <c r="H2828" s="45">
        <v>633</v>
      </c>
      <c r="I2828" s="45">
        <v>54.866666666666667</v>
      </c>
      <c r="J2828" s="45">
        <v>57.545454545454547</v>
      </c>
      <c r="K2828" s="46">
        <v>4.8823594388600476E-2</v>
      </c>
    </row>
    <row r="2829" spans="1:11" x14ac:dyDescent="0.2">
      <c r="A2829" s="38" t="s">
        <v>7</v>
      </c>
      <c r="B2829" s="38" t="s">
        <v>11829</v>
      </c>
      <c r="C2829" s="43" t="s">
        <v>11830</v>
      </c>
      <c r="D2829" s="38" t="s">
        <v>12242</v>
      </c>
      <c r="E2829" s="44">
        <v>32</v>
      </c>
      <c r="F2829" s="45">
        <v>26541</v>
      </c>
      <c r="G2829" s="44">
        <v>20</v>
      </c>
      <c r="H2829" s="45">
        <v>16812</v>
      </c>
      <c r="I2829" s="45">
        <v>829.40625</v>
      </c>
      <c r="J2829" s="45">
        <v>840.6</v>
      </c>
      <c r="K2829" s="46">
        <v>1.3496100373007826E-2</v>
      </c>
    </row>
    <row r="2830" spans="1:11" x14ac:dyDescent="0.2">
      <c r="A2830" s="38" t="s">
        <v>7</v>
      </c>
      <c r="B2830" s="38" t="s">
        <v>11835</v>
      </c>
      <c r="C2830" s="43" t="s">
        <v>11836</v>
      </c>
      <c r="D2830" s="38" t="s">
        <v>12216</v>
      </c>
      <c r="E2830" s="44">
        <v>3</v>
      </c>
      <c r="F2830" s="45">
        <v>73914</v>
      </c>
      <c r="G2830" s="44">
        <v>11</v>
      </c>
      <c r="H2830" s="45">
        <v>259033</v>
      </c>
      <c r="I2830" s="45">
        <v>24638</v>
      </c>
      <c r="J2830" s="45">
        <v>23548.454545454544</v>
      </c>
      <c r="K2830" s="46">
        <v>-4.4222154986015741E-2</v>
      </c>
    </row>
    <row r="2831" spans="1:11" x14ac:dyDescent="0.2">
      <c r="A2831" s="38" t="s">
        <v>7</v>
      </c>
      <c r="B2831" s="38" t="s">
        <v>11841</v>
      </c>
      <c r="C2831" s="43" t="s">
        <v>11842</v>
      </c>
      <c r="D2831" s="38" t="s">
        <v>12238</v>
      </c>
      <c r="E2831" s="44">
        <v>6</v>
      </c>
      <c r="F2831" s="45">
        <v>702648</v>
      </c>
      <c r="G2831" s="44">
        <v>4</v>
      </c>
      <c r="H2831" s="45">
        <v>468432</v>
      </c>
      <c r="I2831" s="45">
        <v>117108</v>
      </c>
      <c r="J2831" s="45">
        <v>117108</v>
      </c>
      <c r="K2831" s="46">
        <v>0</v>
      </c>
    </row>
    <row r="2832" spans="1:11" x14ac:dyDescent="0.2">
      <c r="A2832" s="38" t="s">
        <v>7</v>
      </c>
      <c r="B2832" s="38" t="s">
        <v>11844</v>
      </c>
      <c r="C2832" s="43" t="s">
        <v>11845</v>
      </c>
      <c r="D2832" s="38" t="s">
        <v>13175</v>
      </c>
      <c r="E2832" s="44">
        <v>15</v>
      </c>
      <c r="F2832" s="45">
        <v>594318</v>
      </c>
      <c r="G2832" s="44">
        <v>15</v>
      </c>
      <c r="H2832" s="45">
        <v>547351</v>
      </c>
      <c r="I2832" s="45">
        <v>39621.199999999997</v>
      </c>
      <c r="J2832" s="45">
        <v>36490.066666666666</v>
      </c>
      <c r="K2832" s="46">
        <v>-7.9026716337045111E-2</v>
      </c>
    </row>
    <row r="2833" spans="1:11" x14ac:dyDescent="0.2">
      <c r="A2833" s="38" t="s">
        <v>7</v>
      </c>
      <c r="B2833" s="38" t="s">
        <v>11846</v>
      </c>
      <c r="C2833" s="43" t="s">
        <v>11847</v>
      </c>
      <c r="D2833" s="38" t="s">
        <v>13181</v>
      </c>
      <c r="E2833" s="44">
        <v>1</v>
      </c>
      <c r="F2833" s="45">
        <v>3831.16</v>
      </c>
      <c r="G2833" s="44">
        <v>49</v>
      </c>
      <c r="H2833" s="45">
        <v>177175.04000000001</v>
      </c>
      <c r="I2833" s="45">
        <v>3831.16</v>
      </c>
      <c r="J2833" s="45">
        <v>3615.8171428571432</v>
      </c>
      <c r="K2833" s="46">
        <v>-5.6208265158034829E-2</v>
      </c>
    </row>
    <row r="2834" spans="1:11" x14ac:dyDescent="0.2">
      <c r="A2834" s="38" t="s">
        <v>7</v>
      </c>
      <c r="B2834" s="38" t="s">
        <v>11849</v>
      </c>
      <c r="C2834" s="43" t="s">
        <v>11850</v>
      </c>
      <c r="D2834" s="38" t="s">
        <v>12220</v>
      </c>
      <c r="G2834" s="44">
        <v>3</v>
      </c>
      <c r="H2834" s="45">
        <v>6060</v>
      </c>
      <c r="J2834" s="45">
        <v>2020</v>
      </c>
    </row>
    <row r="2835" spans="1:11" x14ac:dyDescent="0.2">
      <c r="A2835" s="38" t="s">
        <v>7</v>
      </c>
      <c r="B2835" s="38" t="s">
        <v>11852</v>
      </c>
      <c r="C2835" s="43" t="s">
        <v>11853</v>
      </c>
      <c r="D2835" s="38" t="s">
        <v>12220</v>
      </c>
      <c r="E2835" s="44">
        <v>7</v>
      </c>
      <c r="F2835" s="45">
        <v>16534</v>
      </c>
      <c r="G2835" s="44">
        <v>7</v>
      </c>
      <c r="H2835" s="45">
        <v>17563.38</v>
      </c>
      <c r="I2835" s="45">
        <v>2362</v>
      </c>
      <c r="J2835" s="45">
        <v>2509.0542857142859</v>
      </c>
      <c r="K2835" s="46">
        <v>6.2258376678359831E-2</v>
      </c>
    </row>
    <row r="2836" spans="1:11" x14ac:dyDescent="0.2">
      <c r="A2836" s="38" t="s">
        <v>7</v>
      </c>
      <c r="B2836" s="38" t="s">
        <v>11861</v>
      </c>
      <c r="C2836" s="43" t="s">
        <v>11862</v>
      </c>
      <c r="D2836" s="38" t="s">
        <v>13182</v>
      </c>
      <c r="E2836" s="44">
        <v>15</v>
      </c>
      <c r="F2836" s="45">
        <v>16465</v>
      </c>
      <c r="G2836" s="44">
        <v>7</v>
      </c>
      <c r="H2836" s="45">
        <v>8001</v>
      </c>
      <c r="I2836" s="45">
        <v>1097.6666666666667</v>
      </c>
      <c r="J2836" s="45">
        <v>1143</v>
      </c>
      <c r="K2836" s="46">
        <v>4.1299726692985046E-2</v>
      </c>
    </row>
    <row r="2837" spans="1:11" x14ac:dyDescent="0.2">
      <c r="A2837" s="38" t="s">
        <v>7</v>
      </c>
      <c r="B2837" s="38" t="s">
        <v>11867</v>
      </c>
      <c r="C2837" s="43" t="s">
        <v>11868</v>
      </c>
      <c r="D2837" s="38" t="s">
        <v>13176</v>
      </c>
      <c r="E2837" s="44">
        <v>88</v>
      </c>
      <c r="F2837" s="45">
        <v>76098</v>
      </c>
      <c r="G2837" s="44">
        <v>46</v>
      </c>
      <c r="H2837" s="45">
        <v>41982</v>
      </c>
      <c r="I2837" s="45">
        <v>864.75</v>
      </c>
      <c r="J2837" s="45">
        <v>912.6521739130435</v>
      </c>
      <c r="K2837" s="46">
        <v>5.5394245635204974E-2</v>
      </c>
    </row>
    <row r="2838" spans="1:11" x14ac:dyDescent="0.2">
      <c r="A2838" s="38" t="s">
        <v>7</v>
      </c>
      <c r="B2838" s="38" t="s">
        <v>11870</v>
      </c>
      <c r="C2838" s="43" t="s">
        <v>10683</v>
      </c>
      <c r="D2838" s="38" t="s">
        <v>12242</v>
      </c>
      <c r="E2838" s="44">
        <v>48</v>
      </c>
      <c r="F2838" s="45">
        <v>17592</v>
      </c>
      <c r="G2838" s="44">
        <v>28</v>
      </c>
      <c r="H2838" s="45">
        <v>8931</v>
      </c>
      <c r="I2838" s="45">
        <v>366.5</v>
      </c>
      <c r="J2838" s="45">
        <v>318.96428571428572</v>
      </c>
      <c r="K2838" s="46">
        <v>-0.12970181251218085</v>
      </c>
    </row>
    <row r="2839" spans="1:11" x14ac:dyDescent="0.2">
      <c r="A2839" s="38" t="s">
        <v>7</v>
      </c>
      <c r="B2839" s="38" t="s">
        <v>11874</v>
      </c>
      <c r="C2839" s="43" t="s">
        <v>11875</v>
      </c>
      <c r="D2839" s="38" t="s">
        <v>13183</v>
      </c>
      <c r="E2839" s="44">
        <v>44</v>
      </c>
      <c r="F2839" s="45">
        <v>41097</v>
      </c>
      <c r="G2839" s="44">
        <v>39</v>
      </c>
      <c r="H2839" s="45">
        <v>38220</v>
      </c>
      <c r="I2839" s="45">
        <v>934.02272727272725</v>
      </c>
      <c r="J2839" s="45">
        <v>980</v>
      </c>
      <c r="K2839" s="46">
        <v>4.9225004258218387E-2</v>
      </c>
    </row>
    <row r="2840" spans="1:11" x14ac:dyDescent="0.2">
      <c r="A2840" s="38" t="s">
        <v>7</v>
      </c>
      <c r="B2840" s="38" t="s">
        <v>11876</v>
      </c>
      <c r="C2840" s="43" t="s">
        <v>11877</v>
      </c>
      <c r="D2840" s="38" t="s">
        <v>13184</v>
      </c>
      <c r="E2840" s="44">
        <v>4</v>
      </c>
      <c r="F2840" s="45">
        <v>1872</v>
      </c>
      <c r="G2840" s="44">
        <v>1</v>
      </c>
      <c r="H2840" s="45">
        <v>486</v>
      </c>
      <c r="I2840" s="45">
        <v>468</v>
      </c>
      <c r="J2840" s="45">
        <v>486</v>
      </c>
      <c r="K2840" s="46">
        <v>3.8461538461538464E-2</v>
      </c>
    </row>
    <row r="2841" spans="1:11" x14ac:dyDescent="0.2">
      <c r="A2841" s="38" t="s">
        <v>7</v>
      </c>
      <c r="B2841" s="38" t="s">
        <v>11879</v>
      </c>
      <c r="C2841" s="43" t="s">
        <v>11880</v>
      </c>
      <c r="D2841" s="38" t="s">
        <v>12240</v>
      </c>
      <c r="E2841" s="44">
        <v>91</v>
      </c>
      <c r="F2841" s="45">
        <v>14260.67</v>
      </c>
      <c r="G2841" s="44">
        <v>78</v>
      </c>
      <c r="H2841" s="45">
        <v>17786.46</v>
      </c>
      <c r="I2841" s="45">
        <v>156.71065934065933</v>
      </c>
      <c r="J2841" s="45">
        <v>228.03153846153845</v>
      </c>
      <c r="K2841" s="46">
        <v>0.45511185659579806</v>
      </c>
    </row>
    <row r="2842" spans="1:11" x14ac:dyDescent="0.2">
      <c r="A2842" s="38" t="s">
        <v>7</v>
      </c>
      <c r="B2842" s="38" t="s">
        <v>11881</v>
      </c>
      <c r="C2842" s="43" t="s">
        <v>11882</v>
      </c>
      <c r="D2842" s="38" t="s">
        <v>12240</v>
      </c>
      <c r="E2842" s="44">
        <v>8</v>
      </c>
      <c r="F2842" s="45">
        <v>4562.25</v>
      </c>
      <c r="G2842" s="44">
        <v>9</v>
      </c>
      <c r="H2842" s="45">
        <v>5675.27</v>
      </c>
      <c r="I2842" s="45">
        <v>570.28125</v>
      </c>
      <c r="J2842" s="45">
        <v>630.58555555555563</v>
      </c>
      <c r="K2842" s="46">
        <v>0.10574485055497726</v>
      </c>
    </row>
    <row r="2843" spans="1:11" x14ac:dyDescent="0.2">
      <c r="A2843" s="38" t="s">
        <v>7</v>
      </c>
      <c r="B2843" s="38" t="s">
        <v>11883</v>
      </c>
      <c r="C2843" s="43" t="s">
        <v>11884</v>
      </c>
      <c r="D2843" s="38" t="s">
        <v>13170</v>
      </c>
      <c r="G2843" s="44">
        <v>18</v>
      </c>
      <c r="H2843" s="45">
        <v>98361.22</v>
      </c>
      <c r="J2843" s="45">
        <v>5464.5122222222226</v>
      </c>
    </row>
    <row r="2844" spans="1:11" x14ac:dyDescent="0.2">
      <c r="A2844" s="38" t="s">
        <v>7</v>
      </c>
      <c r="B2844" s="38" t="s">
        <v>11885</v>
      </c>
      <c r="C2844" s="43" t="s">
        <v>11886</v>
      </c>
      <c r="D2844" s="38" t="s">
        <v>12240</v>
      </c>
      <c r="E2844" s="44">
        <v>231</v>
      </c>
      <c r="F2844" s="45">
        <v>30783.78</v>
      </c>
      <c r="G2844" s="44">
        <v>367</v>
      </c>
      <c r="H2844" s="45">
        <v>60934.6</v>
      </c>
      <c r="I2844" s="45">
        <v>133.26311688311688</v>
      </c>
      <c r="J2844" s="45">
        <v>166.03433242506813</v>
      </c>
      <c r="K2844" s="46">
        <v>0.24591362042578069</v>
      </c>
    </row>
    <row r="2845" spans="1:11" x14ac:dyDescent="0.2">
      <c r="A2845" s="38" t="s">
        <v>7</v>
      </c>
      <c r="B2845" s="38" t="s">
        <v>13185</v>
      </c>
      <c r="C2845" s="43" t="s">
        <v>13186</v>
      </c>
      <c r="D2845" s="38" t="s">
        <v>12214</v>
      </c>
      <c r="G2845" s="44">
        <v>1</v>
      </c>
      <c r="H2845" s="45">
        <v>2515.5</v>
      </c>
      <c r="J2845" s="45">
        <v>2515.5</v>
      </c>
    </row>
    <row r="2846" spans="1:11" x14ac:dyDescent="0.2">
      <c r="A2846" s="38" t="s">
        <v>7</v>
      </c>
      <c r="B2846" s="38" t="s">
        <v>11894</v>
      </c>
      <c r="C2846" s="43" t="s">
        <v>11895</v>
      </c>
      <c r="D2846" s="38" t="s">
        <v>12220</v>
      </c>
      <c r="E2846" s="44">
        <v>7</v>
      </c>
      <c r="F2846" s="45">
        <v>17788.54</v>
      </c>
      <c r="G2846" s="44">
        <v>22</v>
      </c>
      <c r="H2846" s="45">
        <v>68901.179999999993</v>
      </c>
      <c r="I2846" s="45">
        <v>2541.2200000000003</v>
      </c>
      <c r="J2846" s="45">
        <v>3131.8718181818181</v>
      </c>
      <c r="K2846" s="46">
        <v>0.23242844703796514</v>
      </c>
    </row>
    <row r="2847" spans="1:11" x14ac:dyDescent="0.2">
      <c r="A2847" s="38" t="s">
        <v>7</v>
      </c>
      <c r="B2847" s="38" t="s">
        <v>11896</v>
      </c>
      <c r="C2847" s="43" t="s">
        <v>11897</v>
      </c>
      <c r="D2847" s="38" t="s">
        <v>13187</v>
      </c>
      <c r="E2847" s="44">
        <v>165</v>
      </c>
      <c r="F2847" s="45">
        <v>45807</v>
      </c>
      <c r="G2847" s="44">
        <v>113</v>
      </c>
      <c r="H2847" s="45">
        <v>33145</v>
      </c>
      <c r="I2847" s="45">
        <v>277.61818181818182</v>
      </c>
      <c r="J2847" s="45">
        <v>293.31858407079648</v>
      </c>
      <c r="K2847" s="46">
        <v>5.6553940919104449E-2</v>
      </c>
    </row>
    <row r="2848" spans="1:11" x14ac:dyDescent="0.2">
      <c r="A2848" s="38" t="s">
        <v>7</v>
      </c>
      <c r="B2848" s="38" t="s">
        <v>11899</v>
      </c>
      <c r="C2848" s="43" t="s">
        <v>11900</v>
      </c>
      <c r="D2848" s="38" t="s">
        <v>12213</v>
      </c>
      <c r="E2848" s="44">
        <v>26</v>
      </c>
      <c r="F2848" s="45">
        <v>112705.45</v>
      </c>
      <c r="G2848" s="44">
        <v>13</v>
      </c>
      <c r="H2848" s="45">
        <v>45404.81</v>
      </c>
      <c r="I2848" s="45">
        <v>4334.8249999999998</v>
      </c>
      <c r="J2848" s="45">
        <v>3492.6776923076923</v>
      </c>
      <c r="K2848" s="46">
        <v>-0.19427481102289196</v>
      </c>
    </row>
    <row r="2849" spans="1:11" x14ac:dyDescent="0.2">
      <c r="A2849" s="38" t="s">
        <v>7</v>
      </c>
      <c r="B2849" s="38" t="s">
        <v>11901</v>
      </c>
      <c r="C2849" s="43" t="s">
        <v>11902</v>
      </c>
      <c r="D2849" s="38" t="s">
        <v>12241</v>
      </c>
      <c r="E2849" s="44">
        <v>5</v>
      </c>
      <c r="F2849" s="45">
        <v>930</v>
      </c>
      <c r="G2849" s="44">
        <v>5</v>
      </c>
      <c r="H2849" s="45">
        <v>1537</v>
      </c>
      <c r="I2849" s="45">
        <v>186</v>
      </c>
      <c r="J2849" s="45">
        <v>307.39999999999998</v>
      </c>
      <c r="K2849" s="46">
        <v>0.65268817204301066</v>
      </c>
    </row>
    <row r="2850" spans="1:11" x14ac:dyDescent="0.2">
      <c r="A2850" s="38" t="s">
        <v>7</v>
      </c>
      <c r="B2850" s="38" t="s">
        <v>11909</v>
      </c>
      <c r="C2850" s="43" t="s">
        <v>11910</v>
      </c>
      <c r="D2850" s="38" t="s">
        <v>13188</v>
      </c>
      <c r="E2850" s="44">
        <v>4</v>
      </c>
      <c r="F2850" s="45">
        <v>20757.25</v>
      </c>
      <c r="G2850" s="44">
        <v>5</v>
      </c>
      <c r="H2850" s="45">
        <v>29493.75</v>
      </c>
      <c r="I2850" s="45">
        <v>5189.3125</v>
      </c>
      <c r="J2850" s="45">
        <v>5898.75</v>
      </c>
      <c r="K2850" s="46">
        <v>0.13671126955642005</v>
      </c>
    </row>
    <row r="2851" spans="1:11" x14ac:dyDescent="0.2">
      <c r="A2851" s="38" t="s">
        <v>7</v>
      </c>
      <c r="B2851" s="38" t="s">
        <v>11912</v>
      </c>
      <c r="C2851" s="43" t="s">
        <v>11913</v>
      </c>
      <c r="D2851" s="38" t="s">
        <v>13173</v>
      </c>
      <c r="G2851" s="44">
        <v>1</v>
      </c>
      <c r="H2851" s="45">
        <v>42431</v>
      </c>
      <c r="J2851" s="45">
        <v>42431</v>
      </c>
    </row>
    <row r="2852" spans="1:11" x14ac:dyDescent="0.2">
      <c r="A2852" s="38" t="s">
        <v>7</v>
      </c>
      <c r="B2852" s="38" t="s">
        <v>11915</v>
      </c>
      <c r="C2852" s="43" t="s">
        <v>11916</v>
      </c>
      <c r="D2852" s="38" t="s">
        <v>12215</v>
      </c>
      <c r="E2852" s="44">
        <v>22</v>
      </c>
      <c r="F2852" s="45">
        <v>157109.98000000001</v>
      </c>
      <c r="G2852" s="44">
        <v>25</v>
      </c>
      <c r="H2852" s="45">
        <v>218355.99</v>
      </c>
      <c r="I2852" s="45">
        <v>7141.3627272727281</v>
      </c>
      <c r="J2852" s="45">
        <v>8734.239599999999</v>
      </c>
      <c r="K2852" s="46">
        <v>0.22304942817763682</v>
      </c>
    </row>
    <row r="2853" spans="1:11" x14ac:dyDescent="0.2">
      <c r="A2853" s="38" t="s">
        <v>7</v>
      </c>
      <c r="B2853" s="38" t="s">
        <v>11918</v>
      </c>
      <c r="C2853" s="43" t="s">
        <v>11919</v>
      </c>
      <c r="D2853" s="38" t="s">
        <v>13177</v>
      </c>
      <c r="E2853" s="44">
        <v>90</v>
      </c>
      <c r="F2853" s="45">
        <v>185236</v>
      </c>
      <c r="G2853" s="44">
        <v>81</v>
      </c>
      <c r="H2853" s="45">
        <v>179424</v>
      </c>
      <c r="I2853" s="45">
        <v>2058.1777777777779</v>
      </c>
      <c r="J2853" s="45">
        <v>2215.1111111111113</v>
      </c>
      <c r="K2853" s="46">
        <v>7.624867736293163E-2</v>
      </c>
    </row>
    <row r="2854" spans="1:11" x14ac:dyDescent="0.2">
      <c r="A2854" s="38" t="s">
        <v>7</v>
      </c>
      <c r="B2854" s="38" t="s">
        <v>11924</v>
      </c>
      <c r="C2854" s="43" t="s">
        <v>11925</v>
      </c>
      <c r="D2854" s="38" t="s">
        <v>12221</v>
      </c>
      <c r="E2854" s="44">
        <v>14</v>
      </c>
      <c r="F2854" s="45">
        <v>35575</v>
      </c>
      <c r="G2854" s="44">
        <v>11</v>
      </c>
      <c r="H2854" s="45">
        <v>25066</v>
      </c>
      <c r="I2854" s="45">
        <v>2541.0714285714284</v>
      </c>
      <c r="J2854" s="45">
        <v>2278.7272727272725</v>
      </c>
      <c r="K2854" s="46">
        <v>-0.10324155114035652</v>
      </c>
    </row>
    <row r="2855" spans="1:11" x14ac:dyDescent="0.2">
      <c r="A2855" s="38" t="s">
        <v>7</v>
      </c>
      <c r="B2855" s="38" t="s">
        <v>11930</v>
      </c>
      <c r="C2855" s="43" t="s">
        <v>11931</v>
      </c>
      <c r="D2855" s="38" t="s">
        <v>13158</v>
      </c>
      <c r="G2855" s="44">
        <v>4</v>
      </c>
      <c r="H2855" s="45">
        <v>3604</v>
      </c>
      <c r="J2855" s="45">
        <v>901</v>
      </c>
    </row>
    <row r="2856" spans="1:11" x14ac:dyDescent="0.2">
      <c r="A2856" s="38" t="s">
        <v>7</v>
      </c>
      <c r="B2856" s="38" t="s">
        <v>11936</v>
      </c>
      <c r="C2856" s="43" t="s">
        <v>11937</v>
      </c>
      <c r="D2856" s="38" t="s">
        <v>12242</v>
      </c>
      <c r="E2856" s="44">
        <v>41</v>
      </c>
      <c r="F2856" s="45">
        <v>15391</v>
      </c>
      <c r="G2856" s="44">
        <v>33</v>
      </c>
      <c r="H2856" s="45">
        <v>11562</v>
      </c>
      <c r="I2856" s="45">
        <v>375.39024390243901</v>
      </c>
      <c r="J2856" s="45">
        <v>350.36363636363637</v>
      </c>
      <c r="K2856" s="46">
        <v>-6.6668241770574246E-2</v>
      </c>
    </row>
    <row r="2857" spans="1:11" x14ac:dyDescent="0.2">
      <c r="A2857" s="38" t="s">
        <v>7</v>
      </c>
      <c r="B2857" s="38" t="s">
        <v>11938</v>
      </c>
      <c r="C2857" s="43" t="s">
        <v>11939</v>
      </c>
      <c r="D2857" s="38" t="s">
        <v>12240</v>
      </c>
      <c r="E2857" s="44">
        <v>76</v>
      </c>
      <c r="F2857" s="45">
        <v>24811</v>
      </c>
      <c r="G2857" s="44">
        <v>48</v>
      </c>
      <c r="H2857" s="45">
        <v>14319</v>
      </c>
      <c r="I2857" s="45">
        <v>326.46052631578948</v>
      </c>
      <c r="J2857" s="45">
        <v>298.3125</v>
      </c>
      <c r="K2857" s="46">
        <v>-8.6221837088388237E-2</v>
      </c>
    </row>
    <row r="2858" spans="1:11" x14ac:dyDescent="0.2">
      <c r="A2858" s="38" t="s">
        <v>7</v>
      </c>
      <c r="B2858" s="38" t="s">
        <v>11941</v>
      </c>
      <c r="C2858" s="43" t="s">
        <v>11942</v>
      </c>
      <c r="D2858" s="38" t="s">
        <v>12240</v>
      </c>
      <c r="E2858" s="44">
        <v>3</v>
      </c>
      <c r="F2858" s="45">
        <v>996</v>
      </c>
      <c r="G2858" s="44">
        <v>6</v>
      </c>
      <c r="H2858" s="45">
        <v>1795</v>
      </c>
      <c r="I2858" s="45">
        <v>332</v>
      </c>
      <c r="J2858" s="45">
        <v>299.16666666666669</v>
      </c>
      <c r="K2858" s="46">
        <v>-9.8895582329317208E-2</v>
      </c>
    </row>
    <row r="2859" spans="1:11" x14ac:dyDescent="0.2">
      <c r="A2859" s="38" t="s">
        <v>7</v>
      </c>
      <c r="B2859" s="38" t="s">
        <v>11944</v>
      </c>
      <c r="C2859" s="43" t="s">
        <v>11945</v>
      </c>
      <c r="D2859" s="38" t="s">
        <v>12240</v>
      </c>
      <c r="G2859" s="44">
        <v>5</v>
      </c>
      <c r="H2859" s="45">
        <v>1069</v>
      </c>
      <c r="J2859" s="45">
        <v>213.8</v>
      </c>
    </row>
    <row r="2860" spans="1:11" x14ac:dyDescent="0.2">
      <c r="A2860" s="38" t="s">
        <v>7</v>
      </c>
      <c r="B2860" s="38" t="s">
        <v>11947</v>
      </c>
      <c r="C2860" s="43" t="s">
        <v>11948</v>
      </c>
      <c r="D2860" s="38" t="s">
        <v>12240</v>
      </c>
      <c r="G2860" s="44">
        <v>14</v>
      </c>
      <c r="H2860" s="45">
        <v>4648</v>
      </c>
      <c r="J2860" s="45">
        <v>332</v>
      </c>
    </row>
    <row r="2861" spans="1:11" x14ac:dyDescent="0.2">
      <c r="A2861" s="38" t="s">
        <v>7</v>
      </c>
      <c r="B2861" s="38" t="s">
        <v>11950</v>
      </c>
      <c r="C2861" s="43" t="s">
        <v>11951</v>
      </c>
      <c r="D2861" s="38" t="s">
        <v>12240</v>
      </c>
      <c r="E2861" s="44">
        <v>16</v>
      </c>
      <c r="F2861" s="45">
        <v>2478.5</v>
      </c>
      <c r="G2861" s="44">
        <v>13</v>
      </c>
      <c r="H2861" s="45">
        <v>1625</v>
      </c>
      <c r="I2861" s="45">
        <v>154.90625</v>
      </c>
      <c r="J2861" s="45">
        <v>125</v>
      </c>
      <c r="K2861" s="46">
        <v>-0.1930603187411741</v>
      </c>
    </row>
    <row r="2862" spans="1:11" x14ac:dyDescent="0.2">
      <c r="A2862" s="38" t="s">
        <v>7</v>
      </c>
      <c r="B2862" s="38" t="s">
        <v>11953</v>
      </c>
      <c r="C2862" s="43" t="s">
        <v>11954</v>
      </c>
      <c r="D2862" s="38" t="s">
        <v>12240</v>
      </c>
      <c r="G2862" s="44">
        <v>2</v>
      </c>
      <c r="H2862" s="45">
        <v>1590</v>
      </c>
      <c r="J2862" s="45">
        <v>795</v>
      </c>
    </row>
    <row r="2863" spans="1:11" x14ac:dyDescent="0.2">
      <c r="A2863" s="38" t="s">
        <v>7</v>
      </c>
      <c r="B2863" s="38" t="s">
        <v>11955</v>
      </c>
      <c r="C2863" s="43" t="s">
        <v>11956</v>
      </c>
      <c r="D2863" s="38" t="s">
        <v>12213</v>
      </c>
      <c r="E2863" s="44">
        <v>145</v>
      </c>
      <c r="F2863" s="45">
        <v>67135.59</v>
      </c>
      <c r="G2863" s="44">
        <v>66</v>
      </c>
      <c r="H2863" s="45">
        <v>62093.06</v>
      </c>
      <c r="I2863" s="45">
        <v>463.00406896551721</v>
      </c>
      <c r="J2863" s="45">
        <v>940.80393939393934</v>
      </c>
      <c r="K2863" s="46">
        <v>1.0319560938113632</v>
      </c>
    </row>
    <row r="2864" spans="1:11" x14ac:dyDescent="0.2">
      <c r="A2864" s="38" t="s">
        <v>7</v>
      </c>
      <c r="B2864" s="38" t="s">
        <v>11960</v>
      </c>
      <c r="C2864" s="43" t="s">
        <v>11961</v>
      </c>
      <c r="D2864" s="38" t="s">
        <v>13189</v>
      </c>
      <c r="G2864" s="44">
        <v>1</v>
      </c>
      <c r="H2864" s="45">
        <v>60918</v>
      </c>
      <c r="J2864" s="45">
        <v>60918</v>
      </c>
    </row>
    <row r="2865" spans="1:11" x14ac:dyDescent="0.2">
      <c r="A2865" s="38" t="s">
        <v>7</v>
      </c>
      <c r="B2865" s="38" t="s">
        <v>11963</v>
      </c>
      <c r="C2865" s="43" t="s">
        <v>11964</v>
      </c>
      <c r="D2865" s="38" t="s">
        <v>12241</v>
      </c>
      <c r="E2865" s="44">
        <v>26</v>
      </c>
      <c r="F2865" s="45">
        <v>6688</v>
      </c>
      <c r="G2865" s="44">
        <v>35</v>
      </c>
      <c r="H2865" s="45">
        <v>9905</v>
      </c>
      <c r="I2865" s="45">
        <v>257.23076923076923</v>
      </c>
      <c r="J2865" s="45">
        <v>283</v>
      </c>
      <c r="K2865" s="46">
        <v>0.10017942583732059</v>
      </c>
    </row>
    <row r="2866" spans="1:11" x14ac:dyDescent="0.2">
      <c r="A2866" s="38" t="s">
        <v>7</v>
      </c>
      <c r="B2866" s="38" t="s">
        <v>11966</v>
      </c>
      <c r="C2866" s="43" t="s">
        <v>11967</v>
      </c>
      <c r="D2866" s="38" t="s">
        <v>12210</v>
      </c>
      <c r="G2866" s="44">
        <v>4</v>
      </c>
      <c r="H2866" s="45">
        <v>8012</v>
      </c>
      <c r="J2866" s="45">
        <v>2003</v>
      </c>
    </row>
    <row r="2867" spans="1:11" x14ac:dyDescent="0.2">
      <c r="A2867" s="38" t="s">
        <v>7</v>
      </c>
      <c r="B2867" s="38" t="s">
        <v>11969</v>
      </c>
      <c r="C2867" s="43" t="s">
        <v>11970</v>
      </c>
      <c r="D2867" s="38" t="s">
        <v>12210</v>
      </c>
      <c r="G2867" s="44">
        <v>1</v>
      </c>
      <c r="H2867" s="45">
        <v>1846</v>
      </c>
      <c r="J2867" s="45">
        <v>1846</v>
      </c>
    </row>
    <row r="2868" spans="1:11" x14ac:dyDescent="0.2">
      <c r="A2868" s="38" t="s">
        <v>7</v>
      </c>
      <c r="B2868" s="38" t="s">
        <v>11971</v>
      </c>
      <c r="C2868" s="43" t="s">
        <v>11972</v>
      </c>
      <c r="D2868" s="38" t="s">
        <v>12210</v>
      </c>
      <c r="G2868" s="44">
        <v>3</v>
      </c>
      <c r="H2868" s="45">
        <v>14376.63</v>
      </c>
      <c r="J2868" s="45">
        <v>4792.21</v>
      </c>
    </row>
    <row r="2869" spans="1:11" x14ac:dyDescent="0.2">
      <c r="A2869" s="38" t="s">
        <v>7</v>
      </c>
      <c r="B2869" s="38" t="s">
        <v>11974</v>
      </c>
      <c r="C2869" s="43" t="s">
        <v>11975</v>
      </c>
      <c r="D2869" s="38" t="s">
        <v>12220</v>
      </c>
      <c r="G2869" s="44">
        <v>7</v>
      </c>
      <c r="H2869" s="45">
        <v>5717.11</v>
      </c>
      <c r="J2869" s="45">
        <v>816.7299999999999</v>
      </c>
    </row>
    <row r="2870" spans="1:11" x14ac:dyDescent="0.2">
      <c r="A2870" s="38" t="s">
        <v>7</v>
      </c>
      <c r="B2870" s="38" t="s">
        <v>11978</v>
      </c>
      <c r="C2870" s="43" t="s">
        <v>11979</v>
      </c>
      <c r="D2870" s="38" t="s">
        <v>13188</v>
      </c>
      <c r="G2870" s="44">
        <v>1</v>
      </c>
      <c r="H2870" s="45">
        <v>1650</v>
      </c>
      <c r="J2870" s="45">
        <v>1650</v>
      </c>
    </row>
    <row r="2871" spans="1:11" x14ac:dyDescent="0.2">
      <c r="A2871" s="38" t="s">
        <v>7</v>
      </c>
      <c r="B2871" s="38" t="s">
        <v>11986</v>
      </c>
      <c r="C2871" s="43" t="s">
        <v>11987</v>
      </c>
      <c r="D2871" s="38" t="s">
        <v>13171</v>
      </c>
      <c r="E2871" s="44">
        <v>2</v>
      </c>
      <c r="F2871" s="45">
        <v>23029</v>
      </c>
      <c r="G2871" s="44">
        <v>1</v>
      </c>
      <c r="H2871" s="45">
        <v>23338.92</v>
      </c>
      <c r="I2871" s="45">
        <v>11514.5</v>
      </c>
      <c r="J2871" s="45">
        <v>23338.92</v>
      </c>
      <c r="K2871" s="46">
        <v>1.0269156281210645</v>
      </c>
    </row>
    <row r="2872" spans="1:11" x14ac:dyDescent="0.2">
      <c r="A2872" s="38" t="s">
        <v>7</v>
      </c>
      <c r="B2872" s="38" t="s">
        <v>11989</v>
      </c>
      <c r="C2872" s="43" t="s">
        <v>11990</v>
      </c>
      <c r="D2872" s="38" t="s">
        <v>12229</v>
      </c>
      <c r="E2872" s="44">
        <v>0</v>
      </c>
      <c r="F2872" s="45">
        <v>0</v>
      </c>
      <c r="G2872" s="44">
        <v>1</v>
      </c>
      <c r="H2872" s="45">
        <v>1155.8399999999999</v>
      </c>
      <c r="J2872" s="45">
        <v>1155.8399999999999</v>
      </c>
    </row>
    <row r="2873" spans="1:11" x14ac:dyDescent="0.2">
      <c r="A2873" s="38" t="s">
        <v>7</v>
      </c>
      <c r="B2873" s="38" t="s">
        <v>11998</v>
      </c>
      <c r="C2873" s="43" t="s">
        <v>11999</v>
      </c>
      <c r="D2873" s="38" t="s">
        <v>12218</v>
      </c>
      <c r="E2873" s="44">
        <v>3</v>
      </c>
      <c r="F2873" s="45">
        <v>16215.81</v>
      </c>
      <c r="G2873" s="44">
        <v>10</v>
      </c>
      <c r="H2873" s="45">
        <v>50461.86</v>
      </c>
      <c r="I2873" s="45">
        <v>5405.2699999999995</v>
      </c>
      <c r="J2873" s="45">
        <v>5046.1859999999997</v>
      </c>
      <c r="K2873" s="46">
        <v>-6.6432204126713343E-2</v>
      </c>
    </row>
    <row r="2874" spans="1:11" x14ac:dyDescent="0.2">
      <c r="A2874" s="38" t="s">
        <v>7</v>
      </c>
      <c r="B2874" s="38" t="s">
        <v>12002</v>
      </c>
      <c r="C2874" s="43" t="s">
        <v>12003</v>
      </c>
      <c r="D2874" s="38" t="s">
        <v>12221</v>
      </c>
      <c r="G2874" s="44">
        <v>10</v>
      </c>
      <c r="H2874" s="45">
        <v>40930</v>
      </c>
      <c r="J2874" s="45">
        <v>4093</v>
      </c>
    </row>
    <row r="2875" spans="1:11" x14ac:dyDescent="0.2">
      <c r="A2875" s="38" t="s">
        <v>7</v>
      </c>
      <c r="B2875" s="38" t="s">
        <v>12004</v>
      </c>
      <c r="C2875" s="43" t="s">
        <v>12005</v>
      </c>
      <c r="D2875" s="38" t="s">
        <v>13155</v>
      </c>
      <c r="E2875" s="44">
        <v>9</v>
      </c>
      <c r="F2875" s="45">
        <v>1912</v>
      </c>
      <c r="G2875" s="44">
        <v>33</v>
      </c>
      <c r="H2875" s="45">
        <v>7614.05</v>
      </c>
      <c r="I2875" s="45">
        <v>212.44444444444446</v>
      </c>
      <c r="J2875" s="45">
        <v>230.7287878787879</v>
      </c>
      <c r="K2875" s="46">
        <v>8.6066470140737955E-2</v>
      </c>
    </row>
    <row r="2876" spans="1:11" x14ac:dyDescent="0.2">
      <c r="A2876" s="38" t="s">
        <v>7</v>
      </c>
      <c r="B2876" s="38" t="s">
        <v>12007</v>
      </c>
      <c r="C2876" s="43" t="s">
        <v>12008</v>
      </c>
      <c r="D2876" s="38" t="s">
        <v>12216</v>
      </c>
      <c r="E2876" s="44">
        <v>98</v>
      </c>
      <c r="F2876" s="45">
        <v>32864</v>
      </c>
      <c r="G2876" s="44">
        <v>118</v>
      </c>
      <c r="H2876" s="45">
        <v>262054</v>
      </c>
      <c r="I2876" s="45">
        <v>335.34693877551018</v>
      </c>
      <c r="J2876" s="45">
        <v>2220.7966101694915</v>
      </c>
      <c r="K2876" s="46">
        <v>5.6223852177644291</v>
      </c>
    </row>
    <row r="2877" spans="1:11" x14ac:dyDescent="0.2">
      <c r="A2877" s="38" t="s">
        <v>7</v>
      </c>
      <c r="B2877" s="38" t="s">
        <v>12010</v>
      </c>
      <c r="C2877" s="43" t="s">
        <v>12011</v>
      </c>
      <c r="D2877" s="38" t="s">
        <v>12240</v>
      </c>
      <c r="E2877" s="44">
        <v>127</v>
      </c>
      <c r="F2877" s="45">
        <v>10277</v>
      </c>
      <c r="G2877" s="44">
        <v>152</v>
      </c>
      <c r="H2877" s="45">
        <v>14072</v>
      </c>
      <c r="I2877" s="45">
        <v>80.921259842519689</v>
      </c>
      <c r="J2877" s="45">
        <v>92.578947368421055</v>
      </c>
      <c r="K2877" s="46">
        <v>0.14406211110143752</v>
      </c>
    </row>
    <row r="2878" spans="1:11" x14ac:dyDescent="0.2">
      <c r="A2878" s="38" t="s">
        <v>7</v>
      </c>
      <c r="B2878" s="38" t="s">
        <v>12013</v>
      </c>
      <c r="C2878" s="43" t="s">
        <v>12014</v>
      </c>
      <c r="D2878" s="38" t="s">
        <v>12240</v>
      </c>
      <c r="E2878" s="44">
        <v>83</v>
      </c>
      <c r="F2878" s="45">
        <v>68766</v>
      </c>
      <c r="G2878" s="44">
        <v>71</v>
      </c>
      <c r="H2878" s="45">
        <v>55995</v>
      </c>
      <c r="I2878" s="45">
        <v>828.50602409638554</v>
      </c>
      <c r="J2878" s="45">
        <v>788.66197183098586</v>
      </c>
      <c r="K2878" s="46">
        <v>-4.8091445453104349E-2</v>
      </c>
    </row>
    <row r="2879" spans="1:11" x14ac:dyDescent="0.2">
      <c r="A2879" s="38" t="s">
        <v>7</v>
      </c>
      <c r="B2879" s="38" t="s">
        <v>12018</v>
      </c>
      <c r="C2879" s="43" t="s">
        <v>12019</v>
      </c>
      <c r="D2879" s="38" t="s">
        <v>12240</v>
      </c>
      <c r="E2879" s="44">
        <v>48</v>
      </c>
      <c r="F2879" s="45">
        <v>8254</v>
      </c>
      <c r="G2879" s="44">
        <v>41</v>
      </c>
      <c r="H2879" s="45">
        <v>7251</v>
      </c>
      <c r="I2879" s="45">
        <v>171.95833333333334</v>
      </c>
      <c r="J2879" s="45">
        <v>176.85365853658536</v>
      </c>
      <c r="K2879" s="46">
        <v>2.846808938164486E-2</v>
      </c>
    </row>
    <row r="2880" spans="1:11" x14ac:dyDescent="0.2">
      <c r="A2880" s="38" t="s">
        <v>7</v>
      </c>
      <c r="B2880" s="38" t="s">
        <v>12020</v>
      </c>
      <c r="C2880" s="43" t="s">
        <v>12021</v>
      </c>
      <c r="D2880" s="38" t="s">
        <v>12240</v>
      </c>
      <c r="E2880" s="44">
        <v>33</v>
      </c>
      <c r="F2880" s="45">
        <v>6725</v>
      </c>
      <c r="G2880" s="44">
        <v>27</v>
      </c>
      <c r="H2880" s="45">
        <v>5517</v>
      </c>
      <c r="I2880" s="45">
        <v>203.78787878787878</v>
      </c>
      <c r="J2880" s="45">
        <v>204.33333333333334</v>
      </c>
      <c r="K2880" s="46">
        <v>2.6765799256506339E-3</v>
      </c>
    </row>
    <row r="2881" spans="1:11" x14ac:dyDescent="0.2">
      <c r="A2881" s="38" t="s">
        <v>7</v>
      </c>
      <c r="B2881" s="38" t="s">
        <v>12022</v>
      </c>
      <c r="C2881" s="43" t="s">
        <v>12023</v>
      </c>
      <c r="D2881" s="38" t="s">
        <v>12240</v>
      </c>
      <c r="E2881" s="44">
        <v>15</v>
      </c>
      <c r="F2881" s="45">
        <v>5836.5</v>
      </c>
      <c r="G2881" s="44">
        <v>6</v>
      </c>
      <c r="H2881" s="45">
        <v>1874</v>
      </c>
      <c r="I2881" s="45">
        <v>389.1</v>
      </c>
      <c r="J2881" s="45">
        <v>312.33333333333331</v>
      </c>
      <c r="K2881" s="46">
        <v>-0.19729289814100925</v>
      </c>
    </row>
    <row r="2882" spans="1:11" x14ac:dyDescent="0.2">
      <c r="A2882" s="38" t="s">
        <v>7</v>
      </c>
      <c r="B2882" s="38" t="s">
        <v>12024</v>
      </c>
      <c r="C2882" s="43" t="s">
        <v>12025</v>
      </c>
      <c r="D2882" s="38" t="s">
        <v>12240</v>
      </c>
      <c r="E2882" s="44">
        <v>13</v>
      </c>
      <c r="F2882" s="45">
        <v>4187.75</v>
      </c>
      <c r="G2882" s="44">
        <v>6</v>
      </c>
      <c r="H2882" s="45">
        <v>2167.5</v>
      </c>
      <c r="I2882" s="45">
        <v>322.13461538461536</v>
      </c>
      <c r="J2882" s="45">
        <v>361.25</v>
      </c>
      <c r="K2882" s="46">
        <v>0.12142558653214743</v>
      </c>
    </row>
    <row r="2883" spans="1:11" x14ac:dyDescent="0.2">
      <c r="A2883" s="38" t="s">
        <v>7</v>
      </c>
      <c r="B2883" s="38" t="s">
        <v>12027</v>
      </c>
      <c r="C2883" s="43" t="s">
        <v>12028</v>
      </c>
      <c r="D2883" s="38" t="s">
        <v>12240</v>
      </c>
      <c r="E2883" s="44">
        <v>4</v>
      </c>
      <c r="F2883" s="45">
        <v>832</v>
      </c>
      <c r="G2883" s="44">
        <v>9</v>
      </c>
      <c r="H2883" s="45">
        <v>1799</v>
      </c>
      <c r="I2883" s="45">
        <v>208</v>
      </c>
      <c r="J2883" s="45">
        <v>199.88888888888889</v>
      </c>
      <c r="K2883" s="46">
        <v>-3.899572649572651E-2</v>
      </c>
    </row>
    <row r="2884" spans="1:11" x14ac:dyDescent="0.2">
      <c r="A2884" s="38" t="s">
        <v>7</v>
      </c>
      <c r="B2884" s="38" t="s">
        <v>12030</v>
      </c>
      <c r="C2884" s="43" t="s">
        <v>12031</v>
      </c>
      <c r="D2884" s="38" t="s">
        <v>12241</v>
      </c>
      <c r="G2884" s="44">
        <v>11</v>
      </c>
      <c r="H2884" s="45">
        <v>3067</v>
      </c>
      <c r="J2884" s="45">
        <v>278.81818181818181</v>
      </c>
    </row>
    <row r="2885" spans="1:11" x14ac:dyDescent="0.2">
      <c r="A2885" s="38" t="s">
        <v>7</v>
      </c>
      <c r="B2885" s="38" t="s">
        <v>12039</v>
      </c>
      <c r="C2885" s="43" t="s">
        <v>12040</v>
      </c>
      <c r="D2885" s="38" t="s">
        <v>12213</v>
      </c>
      <c r="E2885" s="44">
        <v>9</v>
      </c>
      <c r="F2885" s="45">
        <v>9404.3799999999992</v>
      </c>
      <c r="G2885" s="44">
        <v>7</v>
      </c>
      <c r="H2885" s="45">
        <v>10228.24</v>
      </c>
      <c r="I2885" s="45">
        <v>1044.931111111111</v>
      </c>
      <c r="J2885" s="45">
        <v>1461.1771428571428</v>
      </c>
      <c r="K2885" s="46">
        <v>0.39834782151660042</v>
      </c>
    </row>
    <row r="2886" spans="1:11" x14ac:dyDescent="0.2">
      <c r="E2886" s="45">
        <f>SUM(E5:E2885)</f>
        <v>3881321</v>
      </c>
      <c r="F2886" s="45">
        <f>SUM(F5:F2885)</f>
        <v>1581452466.7700002</v>
      </c>
      <c r="G2886" s="45">
        <f>SUM(G5:G2885)</f>
        <v>5214625</v>
      </c>
      <c r="H2886" s="45">
        <f>SUM(H5:H2885)</f>
        <v>1567104953.3199995</v>
      </c>
    </row>
    <row r="2889" spans="1:11" x14ac:dyDescent="0.2">
      <c r="A2889" s="54" t="s">
        <v>13190</v>
      </c>
      <c r="B2889" s="45">
        <f>F2886</f>
        <v>1581452466.7700002</v>
      </c>
    </row>
    <row r="2890" spans="1:11" x14ac:dyDescent="0.2">
      <c r="A2890" s="54" t="s">
        <v>13191</v>
      </c>
      <c r="B2890" s="45">
        <f>H2886</f>
        <v>1567104953.3199995</v>
      </c>
    </row>
    <row r="2891" spans="1:11" x14ac:dyDescent="0.2">
      <c r="A2891" s="54" t="s">
        <v>13192</v>
      </c>
      <c r="B2891" s="46">
        <f>((B2890-B2889)/B2889)</f>
        <v>-9.0723646467253602E-3</v>
      </c>
    </row>
  </sheetData>
  <autoFilter ref="A4:K2885" xr:uid="{5346019A-D994-403F-945D-001DB2F59A79}"/>
  <printOptions horizontalCentered="1"/>
  <pageMargins left="0.25" right="0.25" top="0.5" bottom="0.75" header="0.3" footer="0.3"/>
  <pageSetup scale="76" fitToHeight="999" orientation="landscape" r:id="rId1"/>
  <headerFooter>
    <oddFooter>&amp;LUPA 106301297_PCT_CHG&amp;CCDM Service by 
Conifer Health Solutions&amp;R06/05/2025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106301297_CDM</vt:lpstr>
      <vt:lpstr>106301297_Common 25</vt:lpstr>
      <vt:lpstr>106301297_PCT_CHG</vt:lpstr>
      <vt:lpstr>'106301297_CDM'!Print_Area</vt:lpstr>
      <vt:lpstr>'106301297_Common 25'!Print_Area</vt:lpstr>
      <vt:lpstr>'106301297_PCT_CHG'!Print_Area</vt:lpstr>
      <vt:lpstr>'106301297_CDM'!Print_Titles</vt:lpstr>
      <vt:lpstr>'106301297_Common 25'!Print_Titles</vt:lpstr>
      <vt:lpstr>'106301297_PCT_CHG'!Print_Titles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2025-06-06T15:58:40Z</cp:lastPrinted>
  <dcterms:created xsi:type="dcterms:W3CDTF">2025-06-05T19:17:03Z</dcterms:created>
  <dcterms:modified xsi:type="dcterms:W3CDTF">2025-06-24T17:09:43Z</dcterms:modified>
</cp:coreProperties>
</file>